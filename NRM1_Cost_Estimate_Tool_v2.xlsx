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:x15="http://schemas.microsoft.com/office/spreadsheetml/2010/11/main" xmlns="http://schemas.openxmlformats.org/spreadsheetml/2006/main">
  <fileVersion appName="Calc"/>
  <mc:AlternateContent xmlns:mc="http://schemas.openxmlformats.org/markup-compatibility/2006">
    <mc:Choice Requires="x15">
      <x15ac:absPath xmlns:x15ac="http://schemas.microsoft.com/office/spreadsheetml/2010/11/ac" url="C:\Users\nabil\estates-ai-tool\estates-ai-tool\"/>
    </mc:Choice>
  </mc:AlternateContent>
  <bookViews>
    <workbookView xWindow="0" yWindow="0" windowWidth="16384" windowHeight="8192" tabRatio="500" activeTab="1"/>
  </bookViews>
  <sheets>
    <sheet name="Instructions" sheetId="1" r:id="rId1"/>
    <sheet name="Rates Reference Table" sheetId="2" r:id="rId2"/>
    <sheet name="Rfb – Basic" sheetId="3" r:id="rId3"/>
    <sheet name="Rfb – Standard" sheetId="4" r:id="rId4"/>
    <sheet name="Rfb – High Spec" sheetId="5" r:id="rId5"/>
    <sheet name="NB – Standard" sheetId="6" r:id="rId6"/>
    <sheet name="NB – High Spec" sheetId="7" r:id="rId7"/>
    <sheet name="Extension – Std" sheetId="8" r:id="rId8"/>
    <sheet name="Extension – High" sheetId="9" r:id="rId9"/>
    <sheet name="External Works" sheetId="10" r:id="rId10"/>
    <sheet name="BCIS Factors" sheetId="11" r:id="rId11"/>
  </sheets>
  <calcPr iterateDelta="0.0001"/>
</workbook>
</file>

<file path=xl/calcChain.xml><?xml version="1.0" encoding="utf-8"?>
<calcChain xmlns="http://schemas.openxmlformats.org/spreadsheetml/2006/main">
  <c i="10" l="1" r="G88"/>
  <c r="E88"/>
  <c r="I86"/>
  <c r="H86"/>
  <c r="I85"/>
  <c r="H85"/>
  <c r="I84"/>
  <c r="H84"/>
  <c r="I83"/>
  <c r="H83"/>
  <c r="I82"/>
  <c r="H82"/>
  <c r="I81"/>
  <c r="H81"/>
  <c r="I80"/>
  <c r="H80"/>
  <c r="I79"/>
  <c r="H79"/>
  <c r="I78"/>
  <c r="H78"/>
  <c r="I77"/>
  <c r="H77"/>
  <c r="I73"/>
  <c r="H73"/>
  <c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12"/>
  <c r="H12"/>
  <c r="G12"/>
  <c r="F12"/>
  <c r="E12"/>
  <c r="I11"/>
  <c r="H11"/>
  <c r="G11"/>
  <c r="F11"/>
  <c r="E11"/>
  <c r="I10"/>
  <c r="H10"/>
  <c r="G10"/>
  <c r="F10"/>
  <c r="E10"/>
  <c r="I9"/>
  <c r="H9"/>
  <c r="G9"/>
  <c r="F9"/>
  <c r="E9"/>
  <c i="9" r="G88"/>
  <c r="E88"/>
  <c r="I86"/>
  <c r="H86"/>
  <c r="I85"/>
  <c r="H85"/>
  <c r="I84"/>
  <c r="H84"/>
  <c r="I83"/>
  <c r="H83"/>
  <c r="I82"/>
  <c r="H82"/>
  <c r="I81"/>
  <c r="H81"/>
  <c r="I80"/>
  <c r="H80"/>
  <c r="I79"/>
  <c r="H79"/>
  <c r="I78"/>
  <c r="H78"/>
  <c r="I77"/>
  <c r="H77"/>
  <c r="I73"/>
  <c r="H73"/>
  <c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62"/>
  <c r="H62"/>
  <c r="G62"/>
  <c r="F62"/>
  <c r="E62"/>
  <c r="I61"/>
  <c r="H61"/>
  <c r="G61"/>
  <c r="F61"/>
  <c r="E61"/>
  <c r="I60"/>
  <c r="H60"/>
  <c r="G60"/>
  <c r="F60"/>
  <c r="E60"/>
  <c r="I59"/>
  <c r="H59"/>
  <c r="G59"/>
  <c r="F59"/>
  <c r="E59"/>
  <c r="I58"/>
  <c r="H58"/>
  <c r="G58"/>
  <c r="F58"/>
  <c r="E58"/>
  <c r="I53"/>
  <c r="H53"/>
  <c r="G53"/>
  <c r="F53"/>
  <c r="E53"/>
  <c r="I52"/>
  <c r="H52"/>
  <c r="G52"/>
  <c r="F52"/>
  <c r="E52"/>
  <c r="I51"/>
  <c r="H51"/>
  <c r="G51"/>
  <c r="F51"/>
  <c r="E51"/>
  <c r="I50"/>
  <c r="H50"/>
  <c r="G50"/>
  <c r="F50"/>
  <c r="E50"/>
  <c r="I49"/>
  <c r="H49"/>
  <c r="G49"/>
  <c r="F49"/>
  <c r="E49"/>
  <c r="I48"/>
  <c r="H48"/>
  <c r="G48"/>
  <c r="F48"/>
  <c r="E48"/>
  <c r="I47"/>
  <c r="H47"/>
  <c r="G47"/>
  <c r="F47"/>
  <c r="E47"/>
  <c r="I46"/>
  <c r="H46"/>
  <c r="G46"/>
  <c r="F46"/>
  <c r="E46"/>
  <c r="I45"/>
  <c r="H45"/>
  <c r="G45"/>
  <c r="F45"/>
  <c r="E45"/>
  <c r="I44"/>
  <c r="H44"/>
  <c r="G44"/>
  <c r="F44"/>
  <c r="E44"/>
  <c r="I43"/>
  <c r="H43"/>
  <c r="G43"/>
  <c r="F43"/>
  <c r="E43"/>
  <c r="I42"/>
  <c r="H42"/>
  <c r="G42"/>
  <c r="F42"/>
  <c r="E42"/>
  <c r="I41"/>
  <c r="H41"/>
  <c r="G41"/>
  <c r="F41"/>
  <c r="E41"/>
  <c r="I40"/>
  <c r="H40"/>
  <c r="G40"/>
  <c r="F40"/>
  <c r="E40"/>
  <c r="I39"/>
  <c r="H39"/>
  <c r="G39"/>
  <c r="F39"/>
  <c r="E39"/>
  <c r="I38"/>
  <c r="H38"/>
  <c r="G38"/>
  <c r="F38"/>
  <c r="E38"/>
  <c r="I37"/>
  <c r="H37"/>
  <c r="G37"/>
  <c r="F37"/>
  <c r="E37"/>
  <c r="I35"/>
  <c r="H35"/>
  <c r="G35"/>
  <c r="F35"/>
  <c r="E35"/>
  <c r="I34"/>
  <c r="H34"/>
  <c r="G34"/>
  <c r="F34"/>
  <c r="E34"/>
  <c r="I33"/>
  <c r="H33"/>
  <c r="G33"/>
  <c r="F33"/>
  <c r="E33"/>
  <c r="I32"/>
  <c r="H32"/>
  <c r="G32"/>
  <c r="F32"/>
  <c r="E32"/>
  <c r="I30"/>
  <c r="H30"/>
  <c r="G30"/>
  <c r="F30"/>
  <c r="E30"/>
  <c r="I29"/>
  <c r="H29"/>
  <c r="G29"/>
  <c r="F29"/>
  <c r="E29"/>
  <c r="I28"/>
  <c r="H28"/>
  <c r="G28"/>
  <c r="F28"/>
  <c r="E28"/>
  <c r="I26"/>
  <c r="H26"/>
  <c r="G26"/>
  <c r="F26"/>
  <c r="E26"/>
  <c r="I25"/>
  <c r="H25"/>
  <c r="G25"/>
  <c r="F25"/>
  <c r="E25"/>
  <c r="I24"/>
  <c r="H24"/>
  <c r="G24"/>
  <c r="F24"/>
  <c r="E24"/>
  <c r="I23"/>
  <c r="H23"/>
  <c r="G23"/>
  <c r="F23"/>
  <c r="E23"/>
  <c r="I22"/>
  <c r="H22"/>
  <c r="G22"/>
  <c r="F22"/>
  <c r="E22"/>
  <c r="I21"/>
  <c r="H21"/>
  <c r="G21"/>
  <c r="F21"/>
  <c r="E21"/>
  <c r="I20"/>
  <c r="H20"/>
  <c r="G20"/>
  <c r="F20"/>
  <c r="E20"/>
  <c r="I19"/>
  <c r="H19"/>
  <c r="G19"/>
  <c r="F19"/>
  <c r="E19"/>
  <c r="I17"/>
  <c r="H17"/>
  <c r="G17"/>
  <c r="F17"/>
  <c r="E17"/>
  <c r="I16"/>
  <c r="H16"/>
  <c r="G16"/>
  <c r="F16"/>
  <c r="E16"/>
  <c r="I15"/>
  <c r="H15"/>
  <c r="G15"/>
  <c r="F15"/>
  <c r="E15"/>
  <c r="I14"/>
  <c r="H14"/>
  <c r="G14"/>
  <c r="F14"/>
  <c r="E14"/>
  <c r="I12"/>
  <c r="H12"/>
  <c r="G12"/>
  <c r="F12"/>
  <c r="E12"/>
  <c r="I11"/>
  <c r="H11"/>
  <c r="G11"/>
  <c r="F11"/>
  <c r="E11"/>
  <c r="I10"/>
  <c r="H10"/>
  <c r="G10"/>
  <c r="F10"/>
  <c r="E10"/>
  <c r="I9"/>
  <c r="H9"/>
  <c r="G9"/>
  <c r="F9"/>
  <c r="E9"/>
  <c i="8" r="G88"/>
  <c r="E88"/>
  <c r="I86"/>
  <c r="H86"/>
  <c r="I85"/>
  <c r="H85"/>
  <c r="I84"/>
  <c r="H84"/>
  <c r="I83"/>
  <c r="H83"/>
  <c r="I82"/>
  <c r="H82"/>
  <c r="I81"/>
  <c r="H81"/>
  <c r="I80"/>
  <c r="H80"/>
  <c r="I79"/>
  <c r="H79"/>
  <c r="I78"/>
  <c r="H78"/>
  <c r="I77"/>
  <c r="H77"/>
  <c r="I73"/>
  <c r="H73"/>
  <c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62"/>
  <c r="H62"/>
  <c r="G62"/>
  <c r="F62"/>
  <c r="E62"/>
  <c r="I61"/>
  <c r="H61"/>
  <c r="G61"/>
  <c r="F61"/>
  <c r="E61"/>
  <c r="I60"/>
  <c r="H60"/>
  <c r="G60"/>
  <c r="F60"/>
  <c r="E60"/>
  <c r="I59"/>
  <c r="H59"/>
  <c r="G59"/>
  <c r="F59"/>
  <c r="E59"/>
  <c r="I58"/>
  <c r="H58"/>
  <c r="G58"/>
  <c r="F58"/>
  <c r="E58"/>
  <c r="I53"/>
  <c r="H53"/>
  <c r="G53"/>
  <c r="F53"/>
  <c r="E53"/>
  <c r="I52"/>
  <c r="H52"/>
  <c r="G52"/>
  <c r="F52"/>
  <c r="E52"/>
  <c r="I51"/>
  <c r="H51"/>
  <c r="G51"/>
  <c r="F51"/>
  <c r="E51"/>
  <c r="I50"/>
  <c r="H50"/>
  <c r="G50"/>
  <c r="F50"/>
  <c r="E50"/>
  <c r="I49"/>
  <c r="H49"/>
  <c r="G49"/>
  <c r="F49"/>
  <c r="E49"/>
  <c r="I48"/>
  <c r="H48"/>
  <c r="G48"/>
  <c r="F48"/>
  <c r="E48"/>
  <c r="I47"/>
  <c r="H47"/>
  <c r="G47"/>
  <c r="F47"/>
  <c r="E47"/>
  <c r="I46"/>
  <c r="H46"/>
  <c r="G46"/>
  <c r="F46"/>
  <c r="E46"/>
  <c r="I45"/>
  <c r="H45"/>
  <c r="G45"/>
  <c r="F45"/>
  <c r="E45"/>
  <c r="I44"/>
  <c r="H44"/>
  <c r="G44"/>
  <c r="F44"/>
  <c r="E44"/>
  <c r="I43"/>
  <c r="H43"/>
  <c r="G43"/>
  <c r="F43"/>
  <c r="E43"/>
  <c r="I42"/>
  <c r="H42"/>
  <c r="G42"/>
  <c r="F42"/>
  <c r="E42"/>
  <c r="I41"/>
  <c r="H41"/>
  <c r="G41"/>
  <c r="F41"/>
  <c r="E41"/>
  <c r="I40"/>
  <c r="H40"/>
  <c r="G40"/>
  <c r="F40"/>
  <c r="E40"/>
  <c r="I39"/>
  <c r="H39"/>
  <c r="G39"/>
  <c r="F39"/>
  <c r="E39"/>
  <c r="I38"/>
  <c r="H38"/>
  <c r="G38"/>
  <c r="F38"/>
  <c r="E38"/>
  <c r="I37"/>
  <c r="H37"/>
  <c r="G37"/>
  <c r="F37"/>
  <c r="E37"/>
  <c r="I35"/>
  <c r="H35"/>
  <c r="G35"/>
  <c r="F35"/>
  <c r="E35"/>
  <c r="I34"/>
  <c r="H34"/>
  <c r="G34"/>
  <c r="F34"/>
  <c r="E34"/>
  <c r="I33"/>
  <c r="H33"/>
  <c r="G33"/>
  <c r="F33"/>
  <c r="E33"/>
  <c r="I32"/>
  <c r="H32"/>
  <c r="G32"/>
  <c r="F32"/>
  <c r="E32"/>
  <c r="I30"/>
  <c r="H30"/>
  <c r="G30"/>
  <c r="F30"/>
  <c r="E30"/>
  <c r="I29"/>
  <c r="H29"/>
  <c r="G29"/>
  <c r="F29"/>
  <c r="E29"/>
  <c r="I28"/>
  <c r="H28"/>
  <c r="G28"/>
  <c r="F28"/>
  <c r="E28"/>
  <c r="I26"/>
  <c r="H26"/>
  <c r="G26"/>
  <c r="F26"/>
  <c r="E26"/>
  <c r="I25"/>
  <c r="H25"/>
  <c r="G25"/>
  <c r="F25"/>
  <c r="E25"/>
  <c r="I24"/>
  <c r="H24"/>
  <c r="G24"/>
  <c r="F24"/>
  <c r="E24"/>
  <c r="I23"/>
  <c r="H23"/>
  <c r="G23"/>
  <c r="F23"/>
  <c r="E23"/>
  <c r="I22"/>
  <c r="H22"/>
  <c r="G22"/>
  <c r="F22"/>
  <c r="E22"/>
  <c r="I21"/>
  <c r="H21"/>
  <c r="G21"/>
  <c r="F21"/>
  <c r="E21"/>
  <c r="I20"/>
  <c r="H20"/>
  <c r="G20"/>
  <c r="F20"/>
  <c r="E20"/>
  <c r="I19"/>
  <c r="H19"/>
  <c r="G19"/>
  <c r="F19"/>
  <c r="E19"/>
  <c r="I17"/>
  <c r="H17"/>
  <c r="G17"/>
  <c r="F17"/>
  <c r="E17"/>
  <c r="I16"/>
  <c r="H16"/>
  <c r="G16"/>
  <c r="F16"/>
  <c r="E16"/>
  <c r="I15"/>
  <c r="H15"/>
  <c r="G15"/>
  <c r="F15"/>
  <c r="E15"/>
  <c r="I14"/>
  <c r="H14"/>
  <c r="G14"/>
  <c r="F14"/>
  <c r="E14"/>
  <c r="I12"/>
  <c r="H12"/>
  <c r="G12"/>
  <c r="F12"/>
  <c r="E12"/>
  <c r="I11"/>
  <c r="H11"/>
  <c r="G11"/>
  <c r="F11"/>
  <c r="E11"/>
  <c r="I10"/>
  <c r="H10"/>
  <c r="G10"/>
  <c r="F10"/>
  <c r="E10"/>
  <c r="I9"/>
  <c r="H9"/>
  <c r="G9"/>
  <c r="F9"/>
  <c r="E9"/>
  <c i="7" r="G88"/>
  <c r="E88"/>
  <c r="I86"/>
  <c r="H86"/>
  <c r="I85"/>
  <c r="H85"/>
  <c r="I84"/>
  <c r="H84"/>
  <c r="I83"/>
  <c r="H83"/>
  <c r="I82"/>
  <c r="H82"/>
  <c r="I81"/>
  <c r="H81"/>
  <c r="I80"/>
  <c r="H80"/>
  <c r="I79"/>
  <c r="H79"/>
  <c r="I78"/>
  <c r="H78"/>
  <c r="I77"/>
  <c r="H77"/>
  <c r="I73"/>
  <c r="H73"/>
  <c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56"/>
  <c r="H56"/>
  <c r="G56"/>
  <c r="F56"/>
  <c r="E56"/>
  <c r="I55"/>
  <c r="H55"/>
  <c r="G55"/>
  <c r="F55"/>
  <c r="E55"/>
  <c r="I53"/>
  <c r="H53"/>
  <c r="G53"/>
  <c r="F53"/>
  <c r="E53"/>
  <c r="I52"/>
  <c r="H52"/>
  <c r="G52"/>
  <c r="F52"/>
  <c r="E52"/>
  <c r="I51"/>
  <c r="H51"/>
  <c r="G51"/>
  <c r="F51"/>
  <c r="E51"/>
  <c r="I50"/>
  <c r="H50"/>
  <c r="G50"/>
  <c r="F50"/>
  <c r="E50"/>
  <c r="I49"/>
  <c r="H49"/>
  <c r="G49"/>
  <c r="F49"/>
  <c r="E49"/>
  <c r="I48"/>
  <c r="H48"/>
  <c r="G48"/>
  <c r="F48"/>
  <c r="E48"/>
  <c r="I47"/>
  <c r="H47"/>
  <c r="G47"/>
  <c r="F47"/>
  <c r="E47"/>
  <c r="I46"/>
  <c r="H46"/>
  <c r="G46"/>
  <c r="F46"/>
  <c r="E46"/>
  <c r="I45"/>
  <c r="H45"/>
  <c r="G45"/>
  <c r="F45"/>
  <c r="E45"/>
  <c r="I44"/>
  <c r="H44"/>
  <c r="G44"/>
  <c r="F44"/>
  <c r="E44"/>
  <c r="I43"/>
  <c r="H43"/>
  <c r="G43"/>
  <c r="F43"/>
  <c r="E43"/>
  <c r="I42"/>
  <c r="H42"/>
  <c r="G42"/>
  <c r="F42"/>
  <c r="E42"/>
  <c r="I41"/>
  <c r="H41"/>
  <c r="G41"/>
  <c r="F41"/>
  <c r="E41"/>
  <c r="I40"/>
  <c r="H40"/>
  <c r="G40"/>
  <c r="F40"/>
  <c r="E40"/>
  <c r="I39"/>
  <c r="H39"/>
  <c r="G39"/>
  <c r="F39"/>
  <c r="E39"/>
  <c r="I38"/>
  <c r="H38"/>
  <c r="G38"/>
  <c r="F38"/>
  <c r="E38"/>
  <c r="I37"/>
  <c r="H37"/>
  <c r="G37"/>
  <c r="F37"/>
  <c r="E37"/>
  <c r="I35"/>
  <c r="H35"/>
  <c r="G35"/>
  <c r="F35"/>
  <c r="E35"/>
  <c r="I34"/>
  <c r="H34"/>
  <c r="G34"/>
  <c r="F34"/>
  <c r="E34"/>
  <c r="I33"/>
  <c r="H33"/>
  <c r="G33"/>
  <c r="F33"/>
  <c r="E33"/>
  <c r="I32"/>
  <c r="H32"/>
  <c r="G32"/>
  <c r="F32"/>
  <c r="E32"/>
  <c r="I30"/>
  <c r="H30"/>
  <c r="G30"/>
  <c r="F30"/>
  <c r="E30"/>
  <c r="I29"/>
  <c r="H29"/>
  <c r="G29"/>
  <c r="F29"/>
  <c r="E29"/>
  <c r="I28"/>
  <c r="H28"/>
  <c r="G28"/>
  <c r="F28"/>
  <c r="E28"/>
  <c r="I26"/>
  <c r="H26"/>
  <c r="G26"/>
  <c r="F26"/>
  <c r="E26"/>
  <c r="I25"/>
  <c r="H25"/>
  <c r="G25"/>
  <c r="F25"/>
  <c r="E25"/>
  <c r="I24"/>
  <c r="H24"/>
  <c r="G24"/>
  <c r="F24"/>
  <c r="E24"/>
  <c r="I23"/>
  <c r="H23"/>
  <c r="G23"/>
  <c r="F23"/>
  <c r="E23"/>
  <c r="I22"/>
  <c r="H22"/>
  <c r="G22"/>
  <c r="F22"/>
  <c r="E22"/>
  <c r="I21"/>
  <c r="H21"/>
  <c r="G21"/>
  <c r="F21"/>
  <c r="E21"/>
  <c r="I20"/>
  <c r="H20"/>
  <c r="G20"/>
  <c r="F20"/>
  <c r="E20"/>
  <c r="I19"/>
  <c r="H19"/>
  <c r="G19"/>
  <c r="F19"/>
  <c r="E19"/>
  <c r="I17"/>
  <c r="H17"/>
  <c r="G17"/>
  <c r="F17"/>
  <c r="E17"/>
  <c r="I16"/>
  <c r="H16"/>
  <c r="G16"/>
  <c r="F16"/>
  <c r="E16"/>
  <c r="I15"/>
  <c r="H15"/>
  <c r="G15"/>
  <c r="F15"/>
  <c r="E15"/>
  <c r="I14"/>
  <c r="H14"/>
  <c r="G14"/>
  <c r="F14"/>
  <c r="E14"/>
  <c r="I12"/>
  <c r="H12"/>
  <c r="G12"/>
  <c r="F12"/>
  <c r="E12"/>
  <c r="I11"/>
  <c r="H11"/>
  <c r="G11"/>
  <c r="F11"/>
  <c r="E11"/>
  <c r="I10"/>
  <c r="H10"/>
  <c r="G10"/>
  <c r="F10"/>
  <c r="E10"/>
  <c r="I9"/>
  <c r="H9"/>
  <c r="G9"/>
  <c r="F9"/>
  <c r="E9"/>
  <c i="6" r="G88"/>
  <c r="E88"/>
  <c r="I86"/>
  <c r="H86"/>
  <c r="I85"/>
  <c r="H85"/>
  <c r="I84"/>
  <c r="H84"/>
  <c r="I83"/>
  <c r="H83"/>
  <c r="I82"/>
  <c r="H82"/>
  <c r="I81"/>
  <c r="H81"/>
  <c r="I80"/>
  <c r="H80"/>
  <c r="I79"/>
  <c r="H79"/>
  <c r="I78"/>
  <c r="H78"/>
  <c r="I77"/>
  <c r="H77"/>
  <c r="I73"/>
  <c r="H73"/>
  <c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56"/>
  <c r="H56"/>
  <c r="G56"/>
  <c r="F56"/>
  <c r="E56"/>
  <c r="I55"/>
  <c r="H55"/>
  <c r="G55"/>
  <c r="F55"/>
  <c r="E55"/>
  <c r="I53"/>
  <c r="H53"/>
  <c r="G53"/>
  <c r="F53"/>
  <c r="E53"/>
  <c r="I52"/>
  <c r="H52"/>
  <c r="G52"/>
  <c r="F52"/>
  <c r="E52"/>
  <c r="I51"/>
  <c r="H51"/>
  <c r="G51"/>
  <c r="F51"/>
  <c r="E51"/>
  <c r="I50"/>
  <c r="H50"/>
  <c r="G50"/>
  <c r="F50"/>
  <c r="E50"/>
  <c r="I49"/>
  <c r="H49"/>
  <c r="G49"/>
  <c r="F49"/>
  <c r="E49"/>
  <c r="I48"/>
  <c r="H48"/>
  <c r="G48"/>
  <c r="F48"/>
  <c r="E48"/>
  <c r="I47"/>
  <c r="H47"/>
  <c r="G47"/>
  <c r="F47"/>
  <c r="E47"/>
  <c r="I46"/>
  <c r="H46"/>
  <c r="G46"/>
  <c r="F46"/>
  <c r="E46"/>
  <c r="I45"/>
  <c r="H45"/>
  <c r="G45"/>
  <c r="F45"/>
  <c r="E45"/>
  <c r="I44"/>
  <c r="H44"/>
  <c r="G44"/>
  <c r="F44"/>
  <c r="E44"/>
  <c r="I43"/>
  <c r="H43"/>
  <c r="G43"/>
  <c r="F43"/>
  <c r="E43"/>
  <c r="I42"/>
  <c r="H42"/>
  <c r="G42"/>
  <c r="F42"/>
  <c r="E42"/>
  <c r="I41"/>
  <c r="H41"/>
  <c r="G41"/>
  <c r="F41"/>
  <c r="E41"/>
  <c r="I40"/>
  <c r="H40"/>
  <c r="G40"/>
  <c r="F40"/>
  <c r="E40"/>
  <c r="I39"/>
  <c r="H39"/>
  <c r="G39"/>
  <c r="F39"/>
  <c r="E39"/>
  <c r="I38"/>
  <c r="H38"/>
  <c r="G38"/>
  <c r="F38"/>
  <c r="E38"/>
  <c r="I37"/>
  <c r="H37"/>
  <c r="G37"/>
  <c r="F37"/>
  <c r="E37"/>
  <c r="I35"/>
  <c r="H35"/>
  <c r="G35"/>
  <c r="F35"/>
  <c r="E35"/>
  <c r="I34"/>
  <c r="H34"/>
  <c r="G34"/>
  <c r="F34"/>
  <c r="E34"/>
  <c r="I33"/>
  <c r="H33"/>
  <c r="G33"/>
  <c r="F33"/>
  <c r="E33"/>
  <c r="I32"/>
  <c r="H32"/>
  <c r="G32"/>
  <c r="F32"/>
  <c r="E32"/>
  <c r="I30"/>
  <c r="H30"/>
  <c r="G30"/>
  <c r="F30"/>
  <c r="E30"/>
  <c r="I29"/>
  <c r="H29"/>
  <c r="G29"/>
  <c r="F29"/>
  <c r="E29"/>
  <c r="I28"/>
  <c r="H28"/>
  <c r="G28"/>
  <c r="F28"/>
  <c r="E28"/>
  <c r="I26"/>
  <c r="H26"/>
  <c r="G26"/>
  <c r="F26"/>
  <c r="E26"/>
  <c r="I25"/>
  <c r="H25"/>
  <c r="G25"/>
  <c r="F25"/>
  <c r="E25"/>
  <c r="I24"/>
  <c r="H24"/>
  <c r="G24"/>
  <c r="F24"/>
  <c r="E24"/>
  <c r="I23"/>
  <c r="H23"/>
  <c r="G23"/>
  <c r="F23"/>
  <c r="E23"/>
  <c r="I22"/>
  <c r="H22"/>
  <c r="G22"/>
  <c r="F22"/>
  <c r="E22"/>
  <c r="I21"/>
  <c r="H21"/>
  <c r="G21"/>
  <c r="F21"/>
  <c r="E21"/>
  <c r="I20"/>
  <c r="H20"/>
  <c r="G20"/>
  <c r="F20"/>
  <c r="E20"/>
  <c r="I19"/>
  <c r="H19"/>
  <c r="G19"/>
  <c r="F19"/>
  <c r="E19"/>
  <c r="I17"/>
  <c r="H17"/>
  <c r="G17"/>
  <c r="F17"/>
  <c r="E17"/>
  <c r="I16"/>
  <c r="H16"/>
  <c r="G16"/>
  <c r="F16"/>
  <c r="E16"/>
  <c r="I15"/>
  <c r="H15"/>
  <c r="G15"/>
  <c r="F15"/>
  <c r="E15"/>
  <c r="I14"/>
  <c r="H14"/>
  <c r="G14"/>
  <c r="F14"/>
  <c r="E14"/>
  <c r="I12"/>
  <c r="H12"/>
  <c r="G12"/>
  <c r="F12"/>
  <c r="E12"/>
  <c r="I11"/>
  <c r="H11"/>
  <c r="G11"/>
  <c r="F11"/>
  <c r="E11"/>
  <c r="I10"/>
  <c r="H10"/>
  <c r="G10"/>
  <c r="F10"/>
  <c r="E10"/>
  <c r="I9"/>
  <c r="H9"/>
  <c r="G9"/>
  <c r="F9"/>
  <c r="E9"/>
  <c i="5" r="G88"/>
  <c r="E88"/>
  <c r="I86"/>
  <c r="H86"/>
  <c r="I85"/>
  <c r="H85"/>
  <c r="I84"/>
  <c r="H84"/>
  <c r="I83"/>
  <c r="H83"/>
  <c r="I82"/>
  <c r="H82"/>
  <c r="I81"/>
  <c r="H81"/>
  <c r="I80"/>
  <c r="H80"/>
  <c r="I79"/>
  <c r="H79"/>
  <c r="I78"/>
  <c r="H78"/>
  <c r="I77"/>
  <c r="H77"/>
  <c r="I73"/>
  <c r="H73"/>
  <c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62"/>
  <c r="H62"/>
  <c r="G62"/>
  <c r="F62"/>
  <c r="E62"/>
  <c r="I61"/>
  <c r="H61"/>
  <c r="G61"/>
  <c r="F61"/>
  <c r="E61"/>
  <c r="I60"/>
  <c r="H60"/>
  <c r="G60"/>
  <c r="F60"/>
  <c r="E60"/>
  <c r="I59"/>
  <c r="H59"/>
  <c r="G59"/>
  <c r="F59"/>
  <c r="E59"/>
  <c r="I58"/>
  <c r="H58"/>
  <c r="G58"/>
  <c r="F58"/>
  <c r="E58"/>
  <c r="I53"/>
  <c r="H53"/>
  <c r="G53"/>
  <c r="F53"/>
  <c r="E53"/>
  <c r="I52"/>
  <c r="H52"/>
  <c r="G52"/>
  <c r="F52"/>
  <c r="E52"/>
  <c r="I51"/>
  <c r="H51"/>
  <c r="G51"/>
  <c r="F51"/>
  <c r="E51"/>
  <c r="I50"/>
  <c r="H50"/>
  <c r="G50"/>
  <c r="F50"/>
  <c r="E50"/>
  <c r="I49"/>
  <c r="H49"/>
  <c r="G49"/>
  <c r="F49"/>
  <c r="E49"/>
  <c r="I48"/>
  <c r="H48"/>
  <c r="G48"/>
  <c r="F48"/>
  <c r="E48"/>
  <c r="I47"/>
  <c r="H47"/>
  <c r="G47"/>
  <c r="F47"/>
  <c r="E47"/>
  <c r="I46"/>
  <c r="H46"/>
  <c r="G46"/>
  <c r="F46"/>
  <c r="E46"/>
  <c r="I45"/>
  <c r="H45"/>
  <c r="G45"/>
  <c r="F45"/>
  <c r="E45"/>
  <c r="I44"/>
  <c r="H44"/>
  <c r="G44"/>
  <c r="F44"/>
  <c r="E44"/>
  <c r="I43"/>
  <c r="H43"/>
  <c r="G43"/>
  <c r="F43"/>
  <c r="E43"/>
  <c r="I42"/>
  <c r="H42"/>
  <c r="G42"/>
  <c r="F42"/>
  <c r="E42"/>
  <c r="I41"/>
  <c r="H41"/>
  <c r="G41"/>
  <c r="F41"/>
  <c r="E41"/>
  <c r="I40"/>
  <c r="H40"/>
  <c r="G40"/>
  <c r="F40"/>
  <c r="E40"/>
  <c r="I39"/>
  <c r="H39"/>
  <c r="G39"/>
  <c r="F39"/>
  <c r="E39"/>
  <c r="I38"/>
  <c r="H38"/>
  <c r="G38"/>
  <c r="F38"/>
  <c r="E38"/>
  <c r="I37"/>
  <c r="H37"/>
  <c r="G37"/>
  <c r="F37"/>
  <c r="E37"/>
  <c r="I35"/>
  <c r="H35"/>
  <c r="G35"/>
  <c r="F35"/>
  <c r="E35"/>
  <c r="I34"/>
  <c r="H34"/>
  <c r="G34"/>
  <c r="F34"/>
  <c r="E34"/>
  <c r="I33"/>
  <c r="H33"/>
  <c r="G33"/>
  <c r="F33"/>
  <c r="E33"/>
  <c r="I32"/>
  <c r="H32"/>
  <c r="G32"/>
  <c r="F32"/>
  <c r="E32"/>
  <c r="I30"/>
  <c r="H30"/>
  <c r="G30"/>
  <c r="F30"/>
  <c r="E30"/>
  <c r="I29"/>
  <c r="H29"/>
  <c r="G29"/>
  <c r="F29"/>
  <c r="E29"/>
  <c r="I28"/>
  <c r="H28"/>
  <c r="G28"/>
  <c r="F28"/>
  <c r="E28"/>
  <c r="I26"/>
  <c r="H26"/>
  <c r="G26"/>
  <c r="F26"/>
  <c r="E26"/>
  <c r="I25"/>
  <c r="H25"/>
  <c r="G25"/>
  <c r="F25"/>
  <c r="E25"/>
  <c r="I24"/>
  <c r="H24"/>
  <c r="G24"/>
  <c r="F24"/>
  <c r="E24"/>
  <c r="I23"/>
  <c r="H23"/>
  <c r="G23"/>
  <c r="F23"/>
  <c r="E23"/>
  <c r="I22"/>
  <c r="H22"/>
  <c r="G22"/>
  <c r="F22"/>
  <c r="E22"/>
  <c r="I21"/>
  <c r="H21"/>
  <c r="G21"/>
  <c r="F21"/>
  <c r="E21"/>
  <c r="I20"/>
  <c r="H20"/>
  <c r="G20"/>
  <c r="F20"/>
  <c r="E20"/>
  <c r="I19"/>
  <c r="H19"/>
  <c r="G19"/>
  <c r="F19"/>
  <c r="E19"/>
  <c r="I12"/>
  <c r="H12"/>
  <c r="G12"/>
  <c r="F12"/>
  <c r="E12"/>
  <c r="I11"/>
  <c r="H11"/>
  <c r="G11"/>
  <c r="F11"/>
  <c r="E11"/>
  <c r="I10"/>
  <c r="H10"/>
  <c r="G10"/>
  <c r="F10"/>
  <c r="E10"/>
  <c r="I9"/>
  <c r="H9"/>
  <c r="G9"/>
  <c r="F9"/>
  <c r="E9"/>
  <c i="4" r="G88"/>
  <c r="E88"/>
  <c r="I86"/>
  <c r="H86"/>
  <c r="I85"/>
  <c r="H85"/>
  <c r="I84"/>
  <c r="H84"/>
  <c r="I83"/>
  <c r="H83"/>
  <c r="I82"/>
  <c r="H82"/>
  <c r="I81"/>
  <c r="H81"/>
  <c r="I80"/>
  <c r="H80"/>
  <c r="I79"/>
  <c r="H79"/>
  <c r="I78"/>
  <c r="H78"/>
  <c r="I77"/>
  <c r="H77"/>
  <c r="I73"/>
  <c r="H73"/>
  <c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62"/>
  <c r="H62"/>
  <c r="G62"/>
  <c r="F62"/>
  <c r="E62"/>
  <c r="I61"/>
  <c r="H61"/>
  <c r="G61"/>
  <c r="F61"/>
  <c r="E61"/>
  <c r="I60"/>
  <c r="H60"/>
  <c r="G60"/>
  <c r="F60"/>
  <c r="E60"/>
  <c r="I59"/>
  <c r="H59"/>
  <c r="G59"/>
  <c r="F59"/>
  <c r="E59"/>
  <c r="I58"/>
  <c r="H58"/>
  <c r="G58"/>
  <c r="F58"/>
  <c r="E58"/>
  <c r="I53"/>
  <c r="H53"/>
  <c r="G53"/>
  <c r="F53"/>
  <c r="E53"/>
  <c r="I52"/>
  <c r="H52"/>
  <c r="G52"/>
  <c r="F52"/>
  <c r="E52"/>
  <c r="I51"/>
  <c r="H51"/>
  <c r="G51"/>
  <c r="F51"/>
  <c r="E51"/>
  <c r="I50"/>
  <c r="H50"/>
  <c r="G50"/>
  <c r="F50"/>
  <c r="E50"/>
  <c r="I49"/>
  <c r="H49"/>
  <c r="G49"/>
  <c r="F49"/>
  <c r="E49"/>
  <c r="I48"/>
  <c r="H48"/>
  <c r="G48"/>
  <c r="F48"/>
  <c r="E48"/>
  <c r="I47"/>
  <c r="H47"/>
  <c r="G47"/>
  <c r="F47"/>
  <c r="E47"/>
  <c r="I46"/>
  <c r="H46"/>
  <c r="G46"/>
  <c r="F46"/>
  <c r="E46"/>
  <c r="I45"/>
  <c r="H45"/>
  <c r="G45"/>
  <c r="F45"/>
  <c r="E45"/>
  <c r="I44"/>
  <c r="H44"/>
  <c r="G44"/>
  <c r="F44"/>
  <c r="E44"/>
  <c r="I43"/>
  <c r="H43"/>
  <c r="G43"/>
  <c r="F43"/>
  <c r="E43"/>
  <c r="I42"/>
  <c r="H42"/>
  <c r="G42"/>
  <c r="F42"/>
  <c r="E42"/>
  <c r="I41"/>
  <c r="H41"/>
  <c r="G41"/>
  <c r="F41"/>
  <c r="E41"/>
  <c r="I40"/>
  <c r="H40"/>
  <c r="G40"/>
  <c r="F40"/>
  <c r="E40"/>
  <c r="I39"/>
  <c r="H39"/>
  <c r="G39"/>
  <c r="F39"/>
  <c r="E39"/>
  <c r="I38"/>
  <c r="H38"/>
  <c r="G38"/>
  <c r="F38"/>
  <c r="E38"/>
  <c r="I37"/>
  <c r="H37"/>
  <c r="G37"/>
  <c r="F37"/>
  <c r="E37"/>
  <c r="I35"/>
  <c r="H35"/>
  <c r="G35"/>
  <c r="F35"/>
  <c r="E35"/>
  <c r="I34"/>
  <c r="H34"/>
  <c r="G34"/>
  <c r="F34"/>
  <c r="E34"/>
  <c r="I33"/>
  <c r="H33"/>
  <c r="G33"/>
  <c r="F33"/>
  <c r="E33"/>
  <c r="I32"/>
  <c r="H32"/>
  <c r="G32"/>
  <c r="F32"/>
  <c r="E32"/>
  <c r="I30"/>
  <c r="H30"/>
  <c r="G30"/>
  <c r="F30"/>
  <c r="E30"/>
  <c r="I29"/>
  <c r="H29"/>
  <c r="G29"/>
  <c r="F29"/>
  <c r="E29"/>
  <c r="I28"/>
  <c r="H28"/>
  <c r="G28"/>
  <c r="F28"/>
  <c r="E28"/>
  <c r="I26"/>
  <c r="H26"/>
  <c r="G26"/>
  <c r="F26"/>
  <c r="E26"/>
  <c r="I25"/>
  <c r="H25"/>
  <c r="G25"/>
  <c r="F25"/>
  <c r="E25"/>
  <c r="I24"/>
  <c r="H24"/>
  <c r="G24"/>
  <c r="F24"/>
  <c r="E24"/>
  <c r="I23"/>
  <c r="H23"/>
  <c r="G23"/>
  <c r="F23"/>
  <c r="E23"/>
  <c r="I22"/>
  <c r="H22"/>
  <c r="G22"/>
  <c r="F22"/>
  <c r="E22"/>
  <c r="I21"/>
  <c r="H21"/>
  <c r="G21"/>
  <c r="F21"/>
  <c r="E21"/>
  <c r="I20"/>
  <c r="H20"/>
  <c r="G20"/>
  <c r="F20"/>
  <c r="E20"/>
  <c r="I19"/>
  <c r="H19"/>
  <c r="G19"/>
  <c r="F19"/>
  <c r="E19"/>
  <c r="I12"/>
  <c r="H12"/>
  <c r="G12"/>
  <c r="F12"/>
  <c r="E12"/>
  <c r="I11"/>
  <c r="H11"/>
  <c r="G11"/>
  <c r="F11"/>
  <c r="E11"/>
  <c r="I10"/>
  <c r="H10"/>
  <c r="G10"/>
  <c r="F10"/>
  <c r="E10"/>
  <c r="I9"/>
  <c r="H9"/>
  <c r="G9"/>
  <c r="F9"/>
  <c r="E9"/>
  <c i="3" r="I72"/>
  <c r="H72"/>
  <c r="G72"/>
  <c r="F72"/>
  <c r="E72"/>
  <c r="I71"/>
  <c r="H71"/>
  <c r="G71"/>
  <c r="F71"/>
  <c r="E71"/>
  <c r="I70"/>
  <c r="H70"/>
  <c r="G70"/>
  <c r="F70"/>
  <c r="E70"/>
  <c r="I69"/>
  <c r="H69"/>
  <c r="G69"/>
  <c r="F69"/>
  <c r="E69"/>
  <c r="I68"/>
  <c r="H68"/>
  <c r="G68"/>
  <c r="F68"/>
  <c r="E68"/>
  <c r="I67"/>
  <c r="H67"/>
  <c r="G67"/>
  <c r="F67"/>
  <c r="E67"/>
  <c r="I66"/>
  <c r="H66"/>
  <c r="G66"/>
  <c r="F66"/>
  <c r="E66"/>
  <c r="I65"/>
  <c r="H65"/>
  <c r="G65"/>
  <c r="F65"/>
  <c r="E65"/>
  <c r="I64"/>
  <c r="H64"/>
  <c r="G64"/>
  <c r="F64"/>
  <c r="E64"/>
  <c r="I62"/>
  <c r="H62"/>
  <c r="G62"/>
  <c r="F62"/>
  <c r="E62"/>
  <c r="I61"/>
  <c r="H61"/>
  <c r="G61"/>
  <c r="F61"/>
  <c r="E61"/>
  <c r="I60"/>
  <c r="H60"/>
  <c r="G60"/>
  <c r="F60"/>
  <c r="E60"/>
  <c r="I59"/>
  <c r="H59"/>
  <c r="G59"/>
  <c r="F59"/>
  <c r="E59"/>
  <c r="I58"/>
  <c r="H58"/>
  <c r="G58"/>
  <c r="F58"/>
  <c r="E58"/>
  <c r="I53"/>
  <c r="H53"/>
  <c r="G53"/>
  <c r="F53"/>
  <c r="E53"/>
  <c r="I52"/>
  <c r="H52"/>
  <c r="G52"/>
  <c r="F52"/>
  <c r="E52"/>
  <c r="I51"/>
  <c r="H51"/>
  <c r="G51"/>
  <c r="F51"/>
  <c r="E51"/>
  <c r="I50"/>
  <c r="H50"/>
  <c r="G50"/>
  <c r="F50"/>
  <c r="E50"/>
  <c r="I49"/>
  <c r="H49"/>
  <c r="G49"/>
  <c r="F49"/>
  <c r="E49"/>
  <c r="I48"/>
  <c r="H48"/>
  <c r="G48"/>
  <c r="F48"/>
  <c r="E48"/>
  <c r="I47"/>
  <c r="H47"/>
  <c r="G47"/>
  <c r="F47"/>
  <c r="E47"/>
  <c r="I46"/>
  <c r="H46"/>
  <c r="G46"/>
  <c r="F46"/>
  <c r="E46"/>
  <c r="I45"/>
  <c r="H45"/>
  <c r="G45"/>
  <c r="F45"/>
  <c r="E45"/>
  <c r="I44"/>
  <c r="H44"/>
  <c r="G44"/>
  <c r="F44"/>
  <c r="E44"/>
  <c r="I43"/>
  <c r="H43"/>
  <c r="G43"/>
  <c r="F43"/>
  <c r="E43"/>
  <c r="I42"/>
  <c r="H42"/>
  <c r="G42"/>
  <c r="F42"/>
  <c r="E42"/>
  <c r="I41"/>
  <c r="H41"/>
  <c r="G41"/>
  <c r="F41"/>
  <c r="E41"/>
  <c r="I40"/>
  <c r="H40"/>
  <c r="G40"/>
  <c r="F40"/>
  <c r="E40"/>
  <c r="I39"/>
  <c r="H39"/>
  <c r="G39"/>
  <c r="F39"/>
  <c r="E39"/>
  <c r="I38"/>
  <c r="H38"/>
  <c r="G38"/>
  <c r="F38"/>
  <c r="E38"/>
  <c r="I37"/>
  <c r="H37"/>
  <c r="G37"/>
  <c r="F37"/>
  <c r="E37"/>
  <c r="I35"/>
  <c r="H35"/>
  <c r="G35"/>
  <c r="F35"/>
  <c r="E35"/>
  <c r="I34"/>
  <c r="H34"/>
  <c r="G34"/>
  <c r="F34"/>
  <c r="E34"/>
  <c r="I33"/>
  <c r="H33"/>
  <c r="G33"/>
  <c r="F33"/>
  <c r="E33"/>
  <c r="I32"/>
  <c r="H32"/>
  <c r="G32"/>
  <c r="F32"/>
  <c r="E32"/>
  <c r="I30"/>
  <c r="H30"/>
  <c r="G30"/>
  <c r="F30"/>
  <c r="E30"/>
  <c r="I29"/>
  <c r="H29"/>
  <c r="G29"/>
  <c r="F29"/>
  <c r="E29"/>
  <c r="I28"/>
  <c r="H28"/>
  <c r="G28"/>
  <c r="F28"/>
  <c r="E28"/>
  <c r="I26"/>
  <c r="H26"/>
  <c r="G26"/>
  <c r="F26"/>
  <c r="E26"/>
  <c r="I25"/>
  <c r="H25"/>
  <c r="G25"/>
  <c r="F25"/>
  <c r="E25"/>
  <c r="I24"/>
  <c r="H24"/>
  <c r="G24"/>
  <c r="F24"/>
  <c r="E24"/>
  <c r="I23"/>
  <c r="H23"/>
  <c r="G23"/>
  <c r="F23"/>
  <c r="E23"/>
  <c r="I22"/>
  <c r="H22"/>
  <c r="G22"/>
  <c r="F22"/>
  <c r="E22"/>
  <c r="I21"/>
  <c r="H21"/>
  <c r="G21"/>
  <c r="F21"/>
  <c r="E21"/>
  <c r="I20"/>
  <c r="H20"/>
  <c r="G20"/>
  <c r="F20"/>
  <c r="E20"/>
  <c r="I19"/>
  <c r="H19"/>
  <c r="G19"/>
  <c r="F19"/>
  <c r="E19"/>
  <c r="I12"/>
  <c r="H12"/>
  <c r="G12"/>
  <c r="F12"/>
  <c r="E12"/>
  <c r="I11"/>
  <c r="H11"/>
  <c r="G11"/>
  <c r="F11"/>
  <c r="E11"/>
  <c r="E10"/>
  <c r="G10"/>
  <c r="I10"/>
  <c r="E9"/>
  <c r="G9"/>
  <c r="I9"/>
  <c l="1" r="I73"/>
  <c r="G88"/>
  <c r="F10"/>
  <c r="H10"/>
  <c r="F9"/>
  <c r="H9"/>
  <c r="H73"/>
  <c r="E88"/>
  <c l="1" r="I82"/>
  <c r="I77"/>
  <c r="I84"/>
  <c r="I83"/>
  <c r="I78"/>
  <c r="H78"/>
  <c r="H82"/>
  <c r="H83"/>
  <c r="H84"/>
  <c r="H77"/>
  <c r="H79"/>
  <c l="1" r="I79"/>
  <c r="I81"/>
  <c r="I80"/>
  <c r="I85"/>
  <c r="I86"/>
  <c r="H80"/>
  <c r="H85"/>
  <c r="H86"/>
  <c r="H81"/>
</calcChain>
</file>

<file path=xl/sharedStrings.xml><?xml version="1.0" encoding="utf-8"?>
<sst xmlns="http://schemas.openxmlformats.org/spreadsheetml/2006/main">
  <si>
    <t xml:space="preserve">NRM1 ORDER OF COST ESTIMATE TOOL  |  Estates AI  |  Version 2.0  |  May 2026</t>
  </si>
  <si>
    <t xml:space="preserve">RIBA Stage 0–1 Indicative Estimates  |  Prepared by Nabil Kayali  |  Base date Q2 2026  |  West Midlands default</t>
  </si>
  <si>
    <t>WHAT'S NEW IN VERSION 2.0</t>
  </si>
  <si>
    <t xml:space="preserve">▸  Mid-point rate architecture — each element now has a single benchmark mid-point (£/m²) with ±spread applied automatically</t>
  </si>
  <si>
    <t xml:space="preserve">▸  Tighter 20-25% spread (Low–High range) replacing the previous wide ranges that were not useful for feasibility reporting</t>
  </si>
  <si>
    <t xml:space="preserve">▸  Three specification levels per project type — Basic, Standard, High Spec — each on a separate tab</t>
  </si>
  <si>
    <t xml:space="preserve">▸  Rates Reference Table tab — all benchmark mid-point rates in one place; update here and all tabs recalculate</t>
  </si>
  <si>
    <t xml:space="preserve">▸  BCIS-traceable structure — rate cells reference a named source column; when a BCIS subscription is obtained, update the Rates Table</t>
  </si>
  <si>
    <t>SPECIFICATION LEVELS — WHICH TAB TO USE</t>
  </si>
  <si>
    <t xml:space="preserve">  Level 1 — Basic / Maintenance:   Like-for-like replacement, redecoration, basic M&amp;E refresh. No layout change. Functional finish only.</t>
  </si>
  <si>
    <t xml:space="preserve">  Level 2 — Standard / Cat A–B:    Modified layout, new M&amp;E distribution, Cat A or Cat B office/teaching finish. Most university estates projects.</t>
  </si>
  <si>
    <t xml:space="preserve">  Level 3 — High Spec / Specialist: Flagship, lab, healthcare, or bespoke. Heavy M&amp;E, specialist fit-out, feature finishes. Premium.</t>
  </si>
  <si>
    <t>HOW TO USE THIS WORKBOOK</t>
  </si>
  <si>
    <t xml:space="preserve">1.  Select the tab for your project type and specification level.</t>
  </si>
  <si>
    <t xml:space="preserve">2.  Update the GIFA (m²) — yellow input cell at the top of the tab. All totals recalculate instantly.</t>
  </si>
  <si>
    <t xml:space="preserve">3.  Update the BCIS Location Factor — yellow input cell. See the BCIS Factors tab for your region.</t>
  </si>
  <si>
    <t xml:space="preserve">4.  Adjust the Spread % if needed (default 22% gives approx ±11% around the mid-point).</t>
  </si>
  <si>
    <t xml:space="preserve">5.  Review each element. Adjust mid-point rates in the Rates Reference Table if you have better local data.</t>
  </si>
  <si>
    <t xml:space="preserve">6.  Adjust the Additions section (Prelims, Fees, Risk) using the signal rules shown in the Notes column.</t>
  </si>
  <si>
    <t xml:space="preserve">7.  The Total Project Cost (excl. VAT) calculates automatically. VAT is shown separately for reference only.</t>
  </si>
  <si>
    <t>HOW TO UPDATE RATES WHEN BCIS DATA IS AVAILABLE</t>
  </si>
  <si>
    <t>All benchmark mid-point rates sit in the Rates Reference Table tab (columns E–L).</t>
  </si>
  <si>
    <t>Each cell in that table is the single source of truth for the estimate tabs — update the table, all tabs update.</t>
  </si>
  <si>
    <t>Recommended update frequency: quarterly (align with BCIS Quarterly Review of Building Prices).</t>
  </si>
  <si>
    <t>When BCIS subscription is obtained: replace mid-point rates with BCIS elemental benchmarks for your building type and region.</t>
  </si>
  <si>
    <t>Record the BCIS edition/date in the Source column of the Rates Table — this creates an audit trail.</t>
  </si>
  <si>
    <t>COLOUR CODING</t>
  </si>
  <si>
    <t xml:space="preserve">  Yellow cells = User input — GIFA, BCIS factor, Spread %, individual rate overrides</t>
  </si>
  <si>
    <t xml:space="preserve">  Blue cells = Calculated values from rates table (do not edit directly — update rates table instead)</t>
  </si>
  <si>
    <t xml:space="preserve">  Green rows = Subtotals and Total Project Cost</t>
  </si>
  <si>
    <t xml:space="preserve">  Amber rows = Risk Allowance — must be built from project risk register signals</t>
  </si>
  <si>
    <t xml:space="preserve">  Teal rows = Client Contingency — always fixed at 5%</t>
  </si>
  <si>
    <t xml:space="preserve">  Grey rows = Elements excluded for this project type</t>
  </si>
  <si>
    <t xml:space="preserve">  Orange/red rows = VAT (reference only) and Disclaimer</t>
  </si>
  <si>
    <t xml:space="preserve">⚠  MANDATORY DISCLAIMER</t>
  </si>
  <si>
    <t>This Order of Cost Estimate is INDICATIVE ONLY, produced at RIBA Stage 0–1 without measured quantities or detailed design.</t>
  </si>
  <si>
    <t>Rates are based on £/m² benchmarks cross-referenced against Q2 2026 market data (RICS/BCIS published ranges).</t>
  </si>
  <si>
    <t>This estimate MUST be reviewed and validated by a Chartered Quantity Surveyor before use in any business case or budget approval.</t>
  </si>
  <si>
    <t>All figures are LOW–HIGH ranges only. No single-point estimates are shown. Rates should be updated against BCIS data before formal use.</t>
  </si>
  <si>
    <t xml:space="preserve">RATES REFERENCE TABLE  —  Mid-point £/m² GIFA Benchmark Rates  |  Q2 2026  |  UK National Mean  |  Update this table to refresh all estimate tabs</t>
  </si>
  <si>
    <t>Source: Sense-checked against RICS/BCIS published ranges Q4 2025–Q2 2026, Cushman &amp; Wakefield UK Fit-Out Guide 2025, RateQS benchmarks Nov 2025. All rates are mid-point estimates at UK national mean. Apply BCIS regional factor in estimate tabs. Update quarterly when BCIS subscription is available.</t>
  </si>
  <si>
    <t>Grp</t>
  </si>
  <si>
    <t>Sub</t>
  </si>
  <si>
    <t>Element / Description</t>
  </si>
  <si>
    <t>Unit</t>
  </si>
  <si>
    <t>Rfb
Basic</t>
  </si>
  <si>
    <t>Rfb
Standard</t>
  </si>
  <si>
    <t>Rfb
High Spec</t>
  </si>
  <si>
    <t>New Build
Standard</t>
  </si>
  <si>
    <t>New Build
High Spec</t>
  </si>
  <si>
    <t>Extension
Standard</t>
  </si>
  <si>
    <t>Extension
High Spec</t>
  </si>
  <si>
    <t>External
Works Only</t>
  </si>
  <si>
    <t>Notes / Rate Driver</t>
  </si>
  <si>
    <t xml:space="preserve">GROUP 0  —  FACILITATING WORKS   —   Include if demolition, known asbestos, or brownfield site identified in questionnaire</t>
  </si>
  <si>
    <t>0</t>
  </si>
  <si>
    <t>0.1</t>
  </si>
  <si>
    <t>Toxic/hazardous material removal</t>
  </si>
  <si>
    <t>Item</t>
  </si>
  <si>
    <t>Asbestos; increase if confirmed present (refurb/demo only)</t>
  </si>
  <si>
    <t>0.2</t>
  </si>
  <si>
    <t>Demolition &amp; structural alterations</t>
  </si>
  <si>
    <t>Selective or full demolition; structural openings</t>
  </si>
  <si>
    <t>0.3</t>
  </si>
  <si>
    <t>Contaminated land remediation</t>
  </si>
  <si>
    <t>Brownfield/contaminated; specialist quote needed</t>
  </si>
  <si>
    <t>0.4</t>
  </si>
  <si>
    <t>Ground stabilisation</t>
  </si>
  <si>
    <t>Underpinning/piling if ground risk identified</t>
  </si>
  <si>
    <t xml:space="preserve">GROUP 1  —  SUBSTRUCTURE   —   New build and extension only; always exclude for pure refurb/fit-out</t>
  </si>
  <si>
    <t>1</t>
  </si>
  <si>
    <t>1.1</t>
  </si>
  <si>
    <t>Standard foundations (strip/pad)</t>
  </si>
  <si>
    <t>m²</t>
  </si>
  <si>
    <t>New build only; included in Group 7 rate for extensions</t>
  </si>
  <si>
    <t>1.2</t>
  </si>
  <si>
    <t>Specialist foundations (piled)</t>
  </si>
  <si>
    <t>Poor ground conditions; trigger from GI report</t>
  </si>
  <si>
    <t>1.3</t>
  </si>
  <si>
    <t>Lowest floor construction (slab)</t>
  </si>
  <si>
    <t>Ground bearing or suspended; inc DPM and insulation</t>
  </si>
  <si>
    <t>1.4</t>
  </si>
  <si>
    <t>Basement excavation &amp; structure</t>
  </si>
  <si>
    <t>High uncertainty; specialist estimate recommended</t>
  </si>
  <si>
    <t xml:space="preserve">GROUP 2  —  SUPERSTRUCTURE   —   Core element for new build; partial inclusion for extension/refurb with structural alterations</t>
  </si>
  <si>
    <t>2</t>
  </si>
  <si>
    <t>2.1</t>
  </si>
  <si>
    <t>Structural frame</t>
  </si>
  <si>
    <t>Steel/concrete/timber; new build or major extensions only</t>
  </si>
  <si>
    <t>2.2</t>
  </si>
  <si>
    <t>Upper floors</t>
  </si>
  <si>
    <t>New build or added floors; inc topping and insulation</t>
  </si>
  <si>
    <t>2.3</t>
  </si>
  <si>
    <t>Roof structure &amp; covering</t>
  </si>
  <si>
    <t>New or replacement; inc insulation, waterproofing, rainwater</t>
  </si>
  <si>
    <t>2.4</t>
  </si>
  <si>
    <t>Stairs &amp; ramps</t>
  </si>
  <si>
    <t>RC, steel or timber; accessibility ramps</t>
  </si>
  <si>
    <t>2.5</t>
  </si>
  <si>
    <t>External walls &amp; facade</t>
  </si>
  <si>
    <t>Masonry/cladding; refurb = overcladding or repair only</t>
  </si>
  <si>
    <t>2.6</t>
  </si>
  <si>
    <t>Windows &amp; external doors</t>
  </si>
  <si>
    <t>uPVC (low) to aluminium curtain wall (high)</t>
  </si>
  <si>
    <t>2.7</t>
  </si>
  <si>
    <t>Internal walls &amp; partitions</t>
  </si>
  <si>
    <t>Blockwork, drywall or glazed; do not double-count Grp 3</t>
  </si>
  <si>
    <t>2.8</t>
  </si>
  <si>
    <t>Internal doors &amp; ironmongery</t>
  </si>
  <si>
    <t>Nr</t>
  </si>
  <si>
    <t>Fire-rated at upper range; standard at lower</t>
  </si>
  <si>
    <t xml:space="preserve">GROUP 3  —  INTERNAL FINISHES  ★ ALWAYS INCLUDED   —   NEVER excluded — every project has internal finishes to some level</t>
  </si>
  <si>
    <t>3</t>
  </si>
  <si>
    <t>3.1</t>
  </si>
  <si>
    <t>Wall finishes</t>
  </si>
  <si>
    <t>Emulsion (low) → specialist tiling/feature panelling (high)</t>
  </si>
  <si>
    <t>3.2</t>
  </si>
  <si>
    <t>Floor finishes</t>
  </si>
  <si>
    <t>Vinyl/carpet (low) → stone/raised access floor (high)</t>
  </si>
  <si>
    <t>3.3</t>
  </si>
  <si>
    <t>Ceiling finishes</t>
  </si>
  <si>
    <t>Emulsion (low) → bespoke acoustic ceiling system (high)</t>
  </si>
  <si>
    <t xml:space="preserve">GROUP 4  —  FITTINGS, FURNISHINGS &amp; EQUIPMENT   —   Include if joinery, kitchens, toilets or specialist fit-out selected in Q2.2</t>
  </si>
  <si>
    <t>4</t>
  </si>
  <si>
    <t>4.1</t>
  </si>
  <si>
    <t>General fittings &amp; built-in joinery</t>
  </si>
  <si>
    <t>Reception desks, shelving, built-in furniture</t>
  </si>
  <si>
    <t>4.2</t>
  </si>
  <si>
    <t>Sanitary fittings &amp; toilet fit-out</t>
  </si>
  <si>
    <t>WC packs; uplift for accessible/changing facilities</t>
  </si>
  <si>
    <t>4.3</t>
  </si>
  <si>
    <t>Kitchen / break-out area</t>
  </si>
  <si>
    <t>Fitted units, worktops, appliances</t>
  </si>
  <si>
    <t>4.4</t>
  </si>
  <si>
    <t>Specialist equipment (lab/AV/med)</t>
  </si>
  <si>
    <t>Laboratory, medical, AV; confirm with specialist</t>
  </si>
  <si>
    <t xml:space="preserve">GROUP 5  —  MECHANICAL &amp; ELECTRICAL SERVICES  ★ KEY ELEMENT   —   Always price separately — never bundle into superstructure rate</t>
  </si>
  <si>
    <t>5</t>
  </si>
  <si>
    <t>5.1</t>
  </si>
  <si>
    <t>Sanitary plumbing (1st &amp; 2nd fix)</t>
  </si>
  <si>
    <t>HWS, cold water, drainage connections</t>
  </si>
  <si>
    <t>5.2</t>
  </si>
  <si>
    <t>Heating &amp; hot water (LTHW/heat pump)</t>
  </si>
  <si>
    <t>LTHW system or heat pump; include buffer vessel</t>
  </si>
  <si>
    <t>5.3</t>
  </si>
  <si>
    <t>Ventilation &amp; air handling</t>
  </si>
  <si>
    <t>MVHR/AHU; uplift for lab/healthcare extract (+50-100%)</t>
  </si>
  <si>
    <t>5.4</t>
  </si>
  <si>
    <t>Air conditioning &amp; cooling</t>
  </si>
  <si>
    <t>VRF/splits; omit if not in scope</t>
  </si>
  <si>
    <t>5.5</t>
  </si>
  <si>
    <t>Gas installation</t>
  </si>
  <si>
    <t>Omit if all-electric; confirm with utility</t>
  </si>
  <si>
    <t>5.6</t>
  </si>
  <si>
    <t>Sprinkler / fire suppression</t>
  </si>
  <si>
    <t>&gt;18m height or insurer requirement</t>
  </si>
  <si>
    <t>5.7</t>
  </si>
  <si>
    <t>Electrical distribution &amp; switchgear</t>
  </si>
  <si>
    <t>LV panels, distribution boards, earthing, containment</t>
  </si>
  <si>
    <t>5.8</t>
  </si>
  <si>
    <t>Electrical wiring (1st &amp; 2nd fix)</t>
  </si>
  <si>
    <t>All power and lighting circuits; inc containment</t>
  </si>
  <si>
    <t>5.9</t>
  </si>
  <si>
    <t>Emergency lighting &amp; fire alarm</t>
  </si>
  <si>
    <t>L2 minimum; upgrade for multi-zone/complex layouts</t>
  </si>
  <si>
    <t>5.10</t>
  </si>
  <si>
    <t>External lighting</t>
  </si>
  <si>
    <t>Column/wall-mounted perimeter lighting</t>
  </si>
  <si>
    <t>5.11</t>
  </si>
  <si>
    <t>Solar PV / renewables</t>
  </si>
  <si>
    <t>kWp</t>
  </si>
  <si>
    <t>£/kWp installed; coordinate structural loading + electrical</t>
  </si>
  <si>
    <t>5.12</t>
  </si>
  <si>
    <t>EV charging points</t>
  </si>
  <si>
    <t>Per charge point inc groundworks; 7kW fast charger</t>
  </si>
  <si>
    <t>5.13</t>
  </si>
  <si>
    <t>IT / data infrastructure (Cat6A)</t>
  </si>
  <si>
    <t>Cabling, containment, patch panels</t>
  </si>
  <si>
    <t>5.14</t>
  </si>
  <si>
    <t>AV systems</t>
  </si>
  <si>
    <t>Lecture rooms, boardrooms; specialist-designed</t>
  </si>
  <si>
    <t>5.15</t>
  </si>
  <si>
    <t>Access control &amp; CCTV / security</t>
  </si>
  <si>
    <t>Door access readers, CCTV; varies by security level</t>
  </si>
  <si>
    <t>5.16</t>
  </si>
  <si>
    <t>Lifts &amp; platform lifts</t>
  </si>
  <si>
    <t>Per installation × Nr; inc shaft if new build</t>
  </si>
  <si>
    <t>5.17</t>
  </si>
  <si>
    <t>Builder's work in connection (BWIC)</t>
  </si>
  <si>
    <t>Penetrations, plinths, ducts, concrete bases for plant</t>
  </si>
  <si>
    <t xml:space="preserve">GROUP 6  —  PREFABRICATED / MODULAR  (if applicable)   —   Exclude if not applicable; specialist contractor quote always required</t>
  </si>
  <si>
    <t>6</t>
  </si>
  <si>
    <t>6.1</t>
  </si>
  <si>
    <t>Prefabricated / modular units</t>
  </si>
  <si>
    <t>Factory-built modular; specialist quote required</t>
  </si>
  <si>
    <t>6.2</t>
  </si>
  <si>
    <t>Pre-engineered systems (mezzanine)</t>
  </si>
  <si>
    <t>Mezzanine floors, demountable partitions</t>
  </si>
  <si>
    <t xml:space="preserve">GROUP 7  —  WORK TO EXISTING BUILDINGS   —   Refurbishment and extension only; +15-25% rate uplift for pre-1900 or listed buildings</t>
  </si>
  <si>
    <t>7</t>
  </si>
  <si>
    <t>7.1</t>
  </si>
  <si>
    <t>Structural repairs</t>
  </si>
  <si>
    <t>Crack stitching, bearing repairs; increase for poor condition</t>
  </si>
  <si>
    <t>7.2</t>
  </si>
  <si>
    <t>Fabric / envelope repairs</t>
  </si>
  <si>
    <t>Repointing, waterproofing, weathertight works</t>
  </si>
  <si>
    <t>7.3</t>
  </si>
  <si>
    <t>Damp proof course treatment</t>
  </si>
  <si>
    <t>Chemical DPC; increase for severe rising damp</t>
  </si>
  <si>
    <t>7.4</t>
  </si>
  <si>
    <t>M&amp;E overhaul / life-expired services</t>
  </si>
  <si>
    <t>Replacement of end-of-life mechanical &amp; electrical plant</t>
  </si>
  <si>
    <t>7.5</t>
  </si>
  <si>
    <t>Making good after structural works</t>
  </si>
  <si>
    <t>Patch plaster, redecoration after structural alterations</t>
  </si>
  <si>
    <t xml:space="preserve">GROUP 8  —  EXTERNAL WORKS   —   Always include; External Works tab uses these as primary cost driver</t>
  </si>
  <si>
    <t>8</t>
  </si>
  <si>
    <t>8.1</t>
  </si>
  <si>
    <t>Site preparation &amp; clearance</t>
  </si>
  <si>
    <t>Strip topsoil, vegetation, temp fencing and hoarding</t>
  </si>
  <si>
    <t>8.2</t>
  </si>
  <si>
    <t>Roads, paths &amp; hard paving</t>
  </si>
  <si>
    <t>Macadam/block paving; inc edging and drainage channels</t>
  </si>
  <si>
    <t>8.3</t>
  </si>
  <si>
    <t>Car parking (line-marked bays)</t>
  </si>
  <si>
    <t>Surfacing, line markings, disabled bays</t>
  </si>
  <si>
    <t>8.4</t>
  </si>
  <si>
    <t>Surface water drainage</t>
  </si>
  <si>
    <t>Gullies, pipes, SuDS if required by planning</t>
  </si>
  <si>
    <t>8.5</t>
  </si>
  <si>
    <t>Foul drainage connections</t>
  </si>
  <si>
    <t>Connection to existing drain or new manhole</t>
  </si>
  <si>
    <t>8.6</t>
  </si>
  <si>
    <t>External utility services</t>
  </si>
  <si>
    <t>Gas/water/electric diversions; early check with DNO</t>
  </si>
  <si>
    <t>8.7</t>
  </si>
  <si>
    <t>Soft landscaping</t>
  </si>
  <si>
    <t>Planting, seeding, topsoil reinstatement</t>
  </si>
  <si>
    <t>8.8</t>
  </si>
  <si>
    <t>Boundary enclosures (fences/gates)</t>
  </si>
  <si>
    <t>Security fencing, gates, boundary walls, railings</t>
  </si>
  <si>
    <t>8.9</t>
  </si>
  <si>
    <t>Column or wall-mounted lighting (see also 5.10)</t>
  </si>
  <si>
    <t xml:space="preserve">UPDATE LOG:  Version 2.0 — May 2026 — Rates sense-checked against: BCIS Q4 2025 index (+5% from Q4 2024); RICS new build £1,800–£2,500/m² national (standard-good spec); Cushman &amp; Wakefield Cat B office £800–£1,300/m² national; RapidQS commercial fit-out £800–£2,500/m²; K2 Space/Fusion office fit-out £500–£1,300/m² national. Next review due: Q4 2026. When BCIS subscription obtained, replace rates above with BCIS elemental benchmarks.</t>
  </si>
  <si>
    <t xml:space="preserve">NRM1 ESTIMATE  —  REFURB / FIT-OUT  —  BASIC / MAINTENANCE</t>
  </si>
  <si>
    <t xml:space="preserve">Spec level: Like-for-like replacement, redecoration, basic M&amp;E refresh. No layout changes.  |  RIBA Stage 0–1 indicative only  |  Base date Q2 2026</t>
  </si>
  <si>
    <t>Project Type:</t>
  </si>
  <si>
    <t>Refurb / Fit-Out</t>
  </si>
  <si>
    <t>Spec Level:</t>
  </si>
  <si>
    <t>Basic / Maintenance</t>
  </si>
  <si>
    <t>Region:</t>
  </si>
  <si>
    <t>West Midlands</t>
  </si>
  <si>
    <t xml:space="preserve">GIFA (m²)  ▼ update:</t>
  </si>
  <si>
    <t xml:space="preserve">BCIS Location Factor  ▼:</t>
  </si>
  <si>
    <t xml:space="preserve">Spread ±%  ▼:</t>
  </si>
  <si>
    <t>Mid-Point
£/m²</t>
  </si>
  <si>
    <t>Low
£/m²</t>
  </si>
  <si>
    <t>High
£/m²</t>
  </si>
  <si>
    <t xml:space="preserve">Total  LOW (£)</t>
  </si>
  <si>
    <t xml:space="preserve">Total  HIGH (£)</t>
  </si>
  <si>
    <t xml:space="preserve">GROUP 0  —  FACILITATING WORKS</t>
  </si>
  <si>
    <t xml:space="preserve">GROUP 1  —  SUBSTRUCTURE</t>
  </si>
  <si>
    <t>EXCLUDED</t>
  </si>
  <si>
    <t xml:space="preserve">GROUP 2  —  SUPERSTRUCTURE</t>
  </si>
  <si>
    <t xml:space="preserve">GROUP 3  —  INTERNAL FINISHES  ★ ALWAYS INCLUDED</t>
  </si>
  <si>
    <t xml:space="preserve">GROUP 4  —  FITTINGS, FURNISHINGS &amp; EQUIPMENT</t>
  </si>
  <si>
    <t xml:space="preserve">GROUP 5  —  MECHANICAL &amp; ELECTRICAL SERVICES  ★ KEY ELEMENT</t>
  </si>
  <si>
    <t xml:space="preserve">GROUP 6  —  PREFABRICATED / MODULAR  (if applicable)</t>
  </si>
  <si>
    <t xml:space="preserve">GROUP 7  —  WORK TO EXISTING BUILDINGS</t>
  </si>
  <si>
    <t xml:space="preserve">GROUP 8  —  EXTERNAL WORKS</t>
  </si>
  <si>
    <t xml:space="preserve">WORKS COST SUBTOTAL  (Groups 0–8)</t>
  </si>
  <si>
    <t xml:space="preserve">ADDITIONS TO WORKS COST  —  Adjust % using signal rules in Notes column</t>
  </si>
  <si>
    <t>Code</t>
  </si>
  <si>
    <t>Description</t>
  </si>
  <si>
    <t>Applied To</t>
  </si>
  <si>
    <t>Low %</t>
  </si>
  <si>
    <t>High %</t>
  </si>
  <si>
    <t>Total LOW (£)</t>
  </si>
  <si>
    <t>Total HIGH (£)</t>
  </si>
  <si>
    <t>Signal Rules / Notes</t>
  </si>
  <si>
    <t>A</t>
  </si>
  <si>
    <t>Contractor's Preliminaries</t>
  </si>
  <si>
    <t>Works Cost</t>
  </si>
  <si>
    <t xml:space="preserve">8%=clean/vacant/short prog  |  +0.5% per: 6-18mo prog, partial occ, restricted access  |  cap 10%</t>
  </si>
  <si>
    <t>B</t>
  </si>
  <si>
    <t>Contractor's Overheads &amp; Profit</t>
  </si>
  <si>
    <t xml:space="preserve">&gt;£5M→8-9%  |  £1-5M→9-10%  |  &lt;£1M→10-12%  |  Lower end = cost priority; upper = D&amp;B/speed</t>
  </si>
  <si>
    <t xml:space="preserve">CONSTRUCTION COST SUBTOTAL  (Works + Prelims + OH&amp;P)</t>
  </si>
  <si>
    <t>C</t>
  </si>
  <si>
    <t>Professional Fees</t>
  </si>
  <si>
    <t>Construction Cost</t>
  </si>
  <si>
    <t xml:space="preserve">Stage 0-1→12-15%  |  Stage 2→10-13%  |  Stage 3→7-10%  |  Stage 4→5-7%  |  +1-2% M&amp;E/struct/BREEAM</t>
  </si>
  <si>
    <t>D</t>
  </si>
  <si>
    <t>Dev &amp; Project Costs</t>
  </si>
  <si>
    <t xml:space="preserve">Full planning→3-4%  |  LBC also→4%  |  Permitted dev→2%  |  +0.5% if no surveys yet</t>
  </si>
  <si>
    <t>E</t>
  </si>
  <si>
    <t>Risk Allowance</t>
  </si>
  <si>
    <t xml:space="preserve">Baseline 5%  |  +2% no surveys  |  +1.5% asbestos/contamination  |  +1% structural concern  |  +1% hard deadline  |  cap 10%</t>
  </si>
  <si>
    <t>H</t>
  </si>
  <si>
    <t xml:space="preserve">Client Contingency  [FIXED 5%]</t>
  </si>
  <si>
    <t>FIXED at 5% — held by client, not released to contractor. Do not adjust.</t>
  </si>
  <si>
    <t>F</t>
  </si>
  <si>
    <t>Inflation Allowance</t>
  </si>
  <si>
    <t xml:space="preserve">Component 1: tender delay (0-18mo=2-6%)  +  Component 2: construction mid-point (6-24mo=1-4%)  |  cap 12%</t>
  </si>
  <si>
    <t xml:space="preserve">TOTAL PROJECT COST  (excl. VAT)</t>
  </si>
  <si>
    <t>G</t>
  </si>
  <si>
    <t>VAT — reference only, NOT in total</t>
  </si>
  <si>
    <t>Project Total</t>
  </si>
  <si>
    <t>Recoverability must be confirmed with client Finance team. New build may attract zero-rating.</t>
  </si>
  <si>
    <t>Implied blended Works Cost rate — cross-check against BCIS benchmarks:</t>
  </si>
  <si>
    <t xml:space="preserve">⚠  DISCLAIMER: Indicative only — RIBA Stage 0–1 without measured quantities. Rates from Rates Reference Table, cross-referenced Q2 2026 market data. Must be reviewed by a Chartered QS before use in any business case or budget approval. LOW–HIGH range = mid-point ± 11% (default spread 22%). Update GIFA, BCIS factor and Spread as required.</t>
  </si>
  <si>
    <t xml:space="preserve">NRM1 ESTIMATE  —  REFURB / FIT-OUT  —  STANDARD / CAT A–B</t>
  </si>
  <si>
    <t xml:space="preserve">Spec level: Modified layout, new M&amp;E distribution, Cat A/B office or teaching space finish.  |  RIBA Stage 0–1 indicative only  |  Base date Q2 2026</t>
  </si>
  <si>
    <t>Standard / Cat A–B</t>
  </si>
  <si>
    <t xml:space="preserve">NRM1 ESTIMATE  —  REFURB / FIT-OUT  —  HIGH SPEC / SPECIALIST</t>
  </si>
  <si>
    <t xml:space="preserve">Spec level: Flagship, lab, healthcare or bespoke. Heavy M&amp;E, specialist fit-out, feature finishes.  |  RIBA Stage 0–1 indicative only  |  Base date Q2 2026</t>
  </si>
  <si>
    <t>High Spec / Specialist</t>
  </si>
  <si>
    <t xml:space="preserve">NRM1 ESTIMATE  —  NEW BUILD  —  STANDARD</t>
  </si>
  <si>
    <t xml:space="preserve">Spec level: Standard commercial/education new build. Conventional construction, standard M&amp;E.  |  RIBA Stage 0–1 indicative only  |  Base date Q2 2026</t>
  </si>
  <si>
    <t>New Build</t>
  </si>
  <si>
    <t>Standard</t>
  </si>
  <si>
    <t xml:space="preserve">NRM1 ESTIMATE  —  NEW BUILD  —  HIGH SPEC / SPECIALIST</t>
  </si>
  <si>
    <t xml:space="preserve">Spec level: High specification new build — lab, healthcare, flagship or technically complex.  |  RIBA Stage 0–1 indicative only  |  Base date Q2 2026</t>
  </si>
  <si>
    <t xml:space="preserve">NRM1 ESTIMATE  —  EXTENSION  —  STANDARD</t>
  </si>
  <si>
    <t xml:space="preserve">Spec level: Standard extension to existing building, matching existing spec and construction.  |  RIBA Stage 0–1 indicative only  |  Base date Q2 2026</t>
  </si>
  <si>
    <t>Extension</t>
  </si>
  <si>
    <t xml:space="preserve">NRM1 ESTIMATE  —  EXTENSION  —  HIGH SPEC</t>
  </si>
  <si>
    <t xml:space="preserve">Spec level: High-spec or technically complex extension (lab, glazed atrium, bespoke facade).  |  RIBA Stage 0–1 indicative only  |  Base date Q2 2026</t>
  </si>
  <si>
    <t>High Spec</t>
  </si>
  <si>
    <t xml:space="preserve">NRM1 ESTIMATE  —  EXTERNAL WORKS  —  SITE WORKS</t>
  </si>
  <si>
    <t xml:space="preserve">Spec level: Site-only works: roads, parking, drainage, landscaping, utilities, lighting.  |  RIBA Stage 0–1 indicative only  |  Base date Q2 2026</t>
  </si>
  <si>
    <t>External Works</t>
  </si>
  <si>
    <t>Site Works</t>
  </si>
  <si>
    <t xml:space="preserve">BCIS REGIONAL LOCATION FACTORS  —  Q2 2026 Indicative</t>
  </si>
  <si>
    <t>Region</t>
  </si>
  <si>
    <t>Low Factor</t>
  </si>
  <si>
    <t>High Factor</t>
  </si>
  <si>
    <t>Notes</t>
  </si>
  <si>
    <t>Inner London</t>
  </si>
  <si>
    <t>Central London boroughs; highest UK cost premium</t>
  </si>
  <si>
    <t>Outer London</t>
  </si>
  <si>
    <t>Greater London boroughs</t>
  </si>
  <si>
    <t>South East</t>
  </si>
  <si>
    <t>Kent, Surrey, Berkshire, Hampshire, Sussex, Oxfordshire</t>
  </si>
  <si>
    <t>East of England</t>
  </si>
  <si>
    <t>Essex, Hertfordshire, Cambridgeshire, Norfolk, Suffolk</t>
  </si>
  <si>
    <t xml:space="preserve">Birmingham, Coventry, Warwickshire  ★ DEFAULT for this tool</t>
  </si>
  <si>
    <t>East Midlands</t>
  </si>
  <si>
    <t>Leicestershire, Nottinghamshire, Derbyshire</t>
  </si>
  <si>
    <t>Yorkshire &amp; Humberside</t>
  </si>
  <si>
    <t>Leeds, Sheffield, Hull, York</t>
  </si>
  <si>
    <t>North West</t>
  </si>
  <si>
    <t>Manchester, Liverpool, Cheshire, Lancashire</t>
  </si>
  <si>
    <t>North East</t>
  </si>
  <si>
    <t>Newcastle, Sunderland, Teesside</t>
  </si>
  <si>
    <t>Wales</t>
  </si>
  <si>
    <t>All Welsh regions; Cardiff at upper end</t>
  </si>
  <si>
    <t>Scotland</t>
  </si>
  <si>
    <t>Edinburgh and central belt; Highlands higher</t>
  </si>
  <si>
    <t>Northern Ireland</t>
  </si>
  <si>
    <t>Belfast and Northern Ireland — lowest UK factor</t>
  </si>
  <si>
    <t>USE MID-POINT: For a single-factor estimate use the average of Low and High factors shown. Example: West Midlands = (0.92+0.97)/2 = 0.945 → enter 0.94 in the estimate tab. Source: BCIS Location Factors; broadly stable year-on-year. Update if BCIS publishes revised regional indices.</t>
  </si>
</sst>
</file>

<file path=xl/styles.xml><?xml version="1.0" encoding="utf-8"?>
<styleSheet xmlns="http://schemas.openxmlformats.org/spreadsheetml/2006/main">
  <numFmts count="4">
    <numFmt numFmtId="164" formatCode="£#,##0"/>
    <numFmt numFmtId="165" formatCode="0.0%"/>
    <numFmt numFmtId="166" formatCode="&quot;Low £&quot;#,##0&quot;/m²&quot;"/>
    <numFmt numFmtId="167" formatCode="&quot;High £&quot;#,##0&quot;/m²&quot;"/>
  </numFmts>
  <fonts count="21">
    <font>
      <sz val="11"/>
      <color theme="1"/>
      <name val="Calibri"/>
      <family val="2"/>
      <charset val="1"/>
    </font>
    <font>
      <b/>
      <sz val="13"/>
      <color rgb="FFFFFFFF"/>
      <name val="Arial"/>
      <family val="0"/>
      <charset val="1"/>
    </font>
    <font>
      <sz val="9"/>
      <color rgb="FFFFFFFF"/>
      <name val="Arial"/>
      <family val="0"/>
      <charset val="1"/>
    </font>
    <font>
      <b/>
      <sz val="11"/>
      <color rgb="FFFFFFFF"/>
      <name val="Arial"/>
      <family val="0"/>
      <charset val="1"/>
    </font>
    <font>
      <sz val="9"/>
      <color rgb="FF000000"/>
      <name val="Arial"/>
      <family val="0"/>
      <charset val="1"/>
    </font>
    <font>
      <sz val="9"/>
      <color rgb="FF595959"/>
      <name val="Arial"/>
      <family val="0"/>
      <charset val="1"/>
    </font>
    <font>
      <sz val="9"/>
      <color rgb="FFC00000"/>
      <name val="Arial"/>
      <family val="0"/>
      <charset val="1"/>
    </font>
    <font>
      <sz val="8"/>
      <color rgb="FFFFFFFF"/>
      <name val="Arial"/>
      <family val="0"/>
      <charset val="1"/>
    </font>
    <font>
      <b/>
      <sz val="9"/>
      <color rgb="FFFFFFFF"/>
      <name val="Arial"/>
      <family val="0"/>
      <charset val="1"/>
    </font>
    <font>
      <i/>
      <sz val="9"/>
      <color rgb="FFAAAAAA"/>
      <name val="Arial"/>
      <family val="0"/>
      <charset val="1"/>
    </font>
    <font>
      <sz val="8"/>
      <color rgb="FF7F6000"/>
      <name val="Arial"/>
      <family val="0"/>
      <charset val="1"/>
    </font>
    <font>
      <b/>
      <sz val="12"/>
      <color rgb="FFFFFFFF"/>
      <name val="Arial"/>
      <family val="0"/>
      <charset val="1"/>
    </font>
    <font>
      <b/>
      <sz val="9"/>
      <color rgb="FF000000"/>
      <name val="Arial"/>
      <family val="0"/>
      <charset val="1"/>
    </font>
    <font>
      <b/>
      <sz val="10"/>
      <color rgb="FF000000"/>
      <name val="Arial"/>
      <family val="0"/>
      <charset val="1"/>
    </font>
    <font>
      <b/>
      <sz val="10"/>
      <color rgb="FFFFFFFF"/>
      <name val="Arial"/>
      <family val="0"/>
      <charset val="1"/>
    </font>
    <font>
      <b/>
      <sz val="10"/>
      <color rgb="FF595959"/>
      <name val="Arial"/>
      <family val="0"/>
      <charset val="1"/>
    </font>
    <font>
      <sz val="9"/>
      <color rgb="FF888888"/>
      <name val="Arial"/>
      <family val="0"/>
      <charset val="1"/>
    </font>
    <font>
      <b/>
      <sz val="9"/>
      <color rgb="FF1F3864"/>
      <name val="Arial"/>
      <family val="0"/>
      <charset val="1"/>
    </font>
    <font>
      <sz val="8"/>
      <color rgb="FFC00000"/>
      <name val="Arial"/>
      <family val="0"/>
      <charset val="1"/>
    </font>
    <font>
      <sz val="10"/>
      <color rgb="FF000000"/>
      <name val="Arial"/>
      <family val="0"/>
      <charset val="1"/>
    </font>
    <font>
      <sz val="9"/>
      <color rgb="FF7F6000"/>
      <name val="Arial"/>
      <family val="0"/>
      <charset val="1"/>
    </font>
  </fonts>
  <fills count="16">
    <fill>
      <patternFill patternType="none"/>
    </fill>
    <fill>
      <patternFill patternType="gray125"/>
    </fill>
    <fill>
      <patternFill patternType="solid">
        <fgColor rgb="FF1F3864"/>
        <bgColor rgb="FF333399"/>
      </patternFill>
    </fill>
    <fill>
      <patternFill patternType="solid">
        <fgColor rgb="FF2E5FAC"/>
        <bgColor rgb="FF3366FF"/>
      </patternFill>
    </fill>
    <fill>
      <patternFill patternType="solid">
        <fgColor rgb="FFBDD7EE"/>
        <bgColor rgb="FFD9D9D9"/>
      </patternFill>
    </fill>
    <fill>
      <patternFill patternType="solid">
        <fgColor rgb="FFDEEAF1"/>
        <bgColor rgb="FFE2EFDA"/>
      </patternFill>
    </fill>
    <fill>
      <patternFill patternType="solid">
        <fgColor rgb="FFFFE699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70AD47"/>
        <bgColor rgb="FF888888"/>
      </patternFill>
    </fill>
    <fill>
      <patternFill patternType="solid">
        <fgColor rgb="FFFFC000"/>
        <bgColor rgb="FFFF9900"/>
      </patternFill>
    </fill>
    <fill>
      <patternFill patternType="solid">
        <fgColor rgb="FFE2EFDA"/>
        <bgColor rgb="FFDEEAF1"/>
      </patternFill>
    </fill>
    <fill>
      <patternFill patternType="solid">
        <fgColor rgb="FFD9D9D9"/>
        <bgColor rgb="FFDEEAF1"/>
      </patternFill>
    </fill>
    <fill>
      <patternFill patternType="solid">
        <fgColor rgb="FFFCE4D6"/>
        <bgColor rgb="FFFFF2CC"/>
      </patternFill>
    </fill>
    <fill>
      <patternFill patternType="solid">
        <fgColor rgb="FFC00000"/>
        <bgColor rgb="FF800000"/>
      </patternFill>
    </fill>
    <fill>
      <patternFill patternType="solid">
        <fgColor rgb="FFFFFFFF"/>
        <bgColor rgb="FFFFF2CC"/>
      </patternFill>
    </fill>
    <fill>
      <patternFill patternType="solid">
        <fgColor rgb="FF375623"/>
        <bgColor rgb="FF595959"/>
      </patternFill>
    </fill>
  </fills>
  <borders count="3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1">
    <xf numFmtId="0" fontId="0" fillId="0" borderId="0"/>
  </cellStyleXfs>
  <cellXfs count="75">
    <xf numFmtId="0" fontId="0" fillId="0" borderId="0" xfId="0"/>
    <xf numFmtId="0" fontId="0" fillId="0" borderId="0" xfId="0" applyAlignment="1"/>
    <xf numFmtId="0" fontId="1" fillId="2" borderId="0" xfId="0" applyFont="1" applyFill="1" applyAlignment="1">
      <alignment horizontal="left" vertical="center" wrapText="1"/>
    </xf>
    <xf numFmtId="0" fontId="2" fillId="3" borderId="0" xfId="0" applyFont="1" applyFill="1" applyAlignment="1">
      <alignment horizontal="left" vertical="center" wrapText="1"/>
    </xf>
    <xf numFmtId="0" fontId="3" fillId="3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5" borderId="0" xfId="0" applyFont="1" applyFill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0" xfId="0" applyFont="1" applyFill="1" applyAlignment="1">
      <alignment horizontal="left" vertical="center" wrapText="1"/>
    </xf>
    <xf numFmtId="0" fontId="2" fillId="8" borderId="0" xfId="0" applyFont="1" applyFill="1" applyAlignment="1">
      <alignment horizontal="left" vertical="center" wrapText="1"/>
    </xf>
    <xf numFmtId="0" fontId="4" fillId="9" borderId="0" xfId="0" applyFont="1" applyFill="1" applyAlignment="1">
      <alignment horizontal="left" vertical="center" wrapText="1"/>
    </xf>
    <xf numFmtId="0" fontId="4" fillId="10" borderId="0" xfId="0" applyFont="1" applyFill="1" applyAlignment="1">
      <alignment horizontal="left" vertical="center" wrapText="1"/>
    </xf>
    <xf numFmtId="0" fontId="5" fillId="11" borderId="0" xfId="0" applyFont="1" applyFill="1" applyAlignment="1">
      <alignment horizontal="left" vertical="center" wrapText="1"/>
    </xf>
    <xf numFmtId="0" fontId="6" fillId="12" borderId="0" xfId="0" applyFont="1" applyFill="1" applyAlignment="1">
      <alignment horizontal="left" vertical="center" wrapText="1"/>
    </xf>
    <xf numFmtId="0" fontId="3" fillId="13" borderId="0" xfId="0" applyFont="1" applyFill="1" applyAlignment="1">
      <alignment horizontal="left" vertical="center" wrapText="1"/>
    </xf>
    <xf numFmtId="0" fontId="3" fillId="2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left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3" borderId="1" xfId="0" applyFont="1" applyFill="1" applyBorder="1" applyAlignment="1">
      <alignment horizontal="left" vertical="center"/>
    </xf>
    <xf numFmtId="0" fontId="4" fillId="14" borderId="2" xfId="0" applyFont="1" applyFill="1" applyBorder="1" applyAlignment="1">
      <alignment horizontal="center" vertical="center"/>
    </xf>
    <xf numFmtId="0" fontId="4" fillId="14" borderId="2" xfId="0" applyFont="1" applyFill="1" applyBorder="1" applyAlignment="1">
      <alignment horizontal="left" vertical="center"/>
    </xf>
    <xf numFmtId="164" fontId="4" fillId="14" borderId="2" xfId="0" applyNumberFormat="1" applyFont="1" applyFill="1" applyBorder="1" applyAlignment="1">
      <alignment horizontal="right" vertical="center"/>
    </xf>
    <xf numFmtId="164" fontId="9" fillId="14" borderId="2" xfId="0" applyNumberFormat="1" applyFont="1" applyFill="1" applyBorder="1" applyAlignment="1">
      <alignment horizontal="right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left" vertical="center"/>
    </xf>
    <xf numFmtId="164" fontId="4" fillId="5" borderId="2" xfId="0" applyNumberFormat="1" applyFont="1" applyFill="1" applyBorder="1" applyAlignment="1">
      <alignment horizontal="right" vertical="center"/>
    </xf>
    <xf numFmtId="164" fontId="9" fillId="5" borderId="2" xfId="0" applyNumberFormat="1" applyFont="1" applyFill="1" applyBorder="1" applyAlignment="1">
      <alignment horizontal="right" vertical="center"/>
    </xf>
    <xf numFmtId="0" fontId="10" fillId="7" borderId="1" xfId="0" applyFont="1" applyFill="1" applyBorder="1" applyAlignment="1">
      <alignment horizontal="left" vertical="center" wrapText="1"/>
    </xf>
    <xf numFmtId="0" fontId="11" fillId="2" borderId="1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 wrapText="1"/>
    </xf>
    <xf numFmtId="0" fontId="12" fillId="0" borderId="2" xfId="0" applyFont="1" applyBorder="1" applyAlignment="1">
      <alignment horizontal="right" vertical="center"/>
    </xf>
    <xf numFmtId="0" fontId="4" fillId="0" borderId="2" xfId="0" applyFont="1" applyBorder="1" applyAlignment="1">
      <alignment horizontal="center" vertical="center"/>
    </xf>
    <xf numFmtId="0" fontId="4" fillId="0" borderId="2" xfId="0" applyFont="1" applyBorder="1" applyAlignment="1">
      <alignment horizontal="left" vertical="center"/>
    </xf>
    <xf numFmtId="0" fontId="13" fillId="7" borderId="2" xfId="0" applyFont="1" applyFill="1" applyBorder="1" applyAlignment="1">
      <alignment horizontal="center" vertical="center"/>
    </xf>
    <xf numFmtId="9" fontId="13" fillId="7" borderId="2" xfId="0" applyNumberFormat="1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left" vertical="center"/>
    </xf>
    <xf numFmtId="0" fontId="15" fillId="11" borderId="1" xfId="0" applyFont="1" applyFill="1" applyBorder="1" applyAlignment="1">
      <alignment horizontal="left" vertical="center"/>
    </xf>
    <xf numFmtId="0" fontId="16" fillId="11" borderId="2" xfId="0" applyFont="1" applyFill="1" applyBorder="1" applyAlignment="1">
      <alignment horizontal="center" vertical="center"/>
    </xf>
    <xf numFmtId="0" fontId="16" fillId="11" borderId="2" xfId="0" applyFont="1" applyFill="1" applyBorder="1" applyAlignment="1">
      <alignment horizontal="left" vertical="center"/>
    </xf>
    <xf numFmtId="0" fontId="9" fillId="11" borderId="2" xfId="0" applyFont="1" applyFill="1" applyBorder="1" applyAlignment="1">
      <alignment horizontal="right" vertical="center"/>
    </xf>
    <xf numFmtId="164" fontId="16" fillId="11" borderId="2" xfId="0" applyNumberFormat="1" applyFont="1" applyFill="1" applyBorder="1" applyAlignment="1">
      <alignment horizontal="right" vertical="center"/>
    </xf>
    <xf numFmtId="0" fontId="14" fillId="15" borderId="1" xfId="0" applyFont="1" applyFill="1" applyBorder="1" applyAlignment="1">
      <alignment horizontal="left" vertical="center"/>
    </xf>
    <xf numFmtId="164" fontId="14" fillId="15" borderId="2" xfId="0" applyNumberFormat="1" applyFont="1" applyFill="1" applyBorder="1" applyAlignment="1">
      <alignment horizontal="right" vertical="center"/>
    </xf>
    <xf numFmtId="0" fontId="14" fillId="2" borderId="1" xfId="0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165" fontId="4" fillId="14" borderId="2" xfId="0" applyNumberFormat="1" applyFont="1" applyFill="1" applyBorder="1" applyAlignment="1">
      <alignment horizontal="center" vertical="center"/>
    </xf>
    <xf numFmtId="165" fontId="4" fillId="5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/>
    </xf>
    <xf numFmtId="165" fontId="4" fillId="9" borderId="2" xfId="0" applyNumberFormat="1" applyFont="1" applyFill="1" applyBorder="1" applyAlignment="1">
      <alignment horizontal="center" vertical="center"/>
    </xf>
    <xf numFmtId="164" fontId="4" fillId="9" borderId="2" xfId="0" applyNumberFormat="1" applyFont="1" applyFill="1" applyBorder="1" applyAlignment="1">
      <alignment horizontal="right" vertical="center"/>
    </xf>
    <xf numFmtId="0" fontId="4" fillId="10" borderId="2" xfId="0" applyFont="1" applyFill="1" applyBorder="1" applyAlignment="1">
      <alignment horizontal="center" vertical="center"/>
    </xf>
    <xf numFmtId="0" fontId="4" fillId="10" borderId="2" xfId="0" applyFont="1" applyFill="1" applyBorder="1" applyAlignment="1">
      <alignment horizontal="left" vertical="center"/>
    </xf>
    <xf numFmtId="165" fontId="4" fillId="10" borderId="2" xfId="0" applyNumberFormat="1" applyFont="1" applyFill="1" applyBorder="1" applyAlignment="1">
      <alignment horizontal="center" vertical="center"/>
    </xf>
    <xf numFmtId="164" fontId="4" fillId="10" borderId="2" xfId="0" applyNumberFormat="1" applyFont="1" applyFill="1" applyBorder="1" applyAlignment="1">
      <alignment horizontal="right" vertical="center"/>
    </xf>
    <xf numFmtId="0" fontId="11" fillId="15" borderId="1" xfId="0" applyFont="1" applyFill="1" applyBorder="1" applyAlignment="1">
      <alignment horizontal="left" vertical="center"/>
    </xf>
    <xf numFmtId="164" fontId="11" fillId="15" borderId="2" xfId="0" applyNumberFormat="1" applyFont="1" applyFill="1" applyBorder="1" applyAlignment="1">
      <alignment horizontal="right" vertical="center"/>
    </xf>
    <xf numFmtId="0" fontId="6" fillId="12" borderId="2" xfId="0" applyFont="1" applyFill="1" applyBorder="1" applyAlignment="1">
      <alignment horizontal="center" vertical="center"/>
    </xf>
    <xf numFmtId="0" fontId="6" fillId="12" borderId="2" xfId="0" applyFont="1" applyFill="1" applyBorder="1" applyAlignment="1">
      <alignment horizontal="left" vertical="center"/>
    </xf>
    <xf numFmtId="165" fontId="6" fillId="12" borderId="2" xfId="0" applyNumberFormat="1" applyFont="1" applyFill="1" applyBorder="1" applyAlignment="1">
      <alignment horizontal="center" vertical="center"/>
    </xf>
    <xf numFmtId="164" fontId="6" fillId="12" borderId="2" xfId="0" applyNumberFormat="1" applyFont="1" applyFill="1" applyBorder="1" applyAlignment="1">
      <alignment horizontal="right" vertical="center"/>
    </xf>
    <xf numFmtId="0" fontId="17" fillId="4" borderId="2" xfId="0" applyFont="1" applyFill="1" applyBorder="1" applyAlignment="1">
      <alignment horizontal="left" vertical="center"/>
    </xf>
    <xf numFmtId="166" fontId="17" fillId="4" borderId="2" xfId="0" applyNumberFormat="1" applyFont="1" applyFill="1" applyBorder="1" applyAlignment="1">
      <alignment horizontal="center" vertical="center"/>
    </xf>
    <xf numFmtId="0" fontId="4" fillId="4" borderId="2" xfId="0" applyFont="1" applyFill="1" applyBorder="1" applyAlignment="1">
      <alignment horizontal="left" vertical="center"/>
    </xf>
    <xf numFmtId="167" fontId="17" fillId="4" borderId="2" xfId="0" applyNumberFormat="1" applyFont="1" applyFill="1" applyBorder="1" applyAlignment="1">
      <alignment horizontal="center" vertical="center"/>
    </xf>
    <xf numFmtId="0" fontId="18" fillId="12" borderId="1" xfId="0" applyFont="1" applyFill="1" applyBorder="1" applyAlignment="1">
      <alignment horizontal="left" vertical="center" wrapText="1"/>
    </xf>
    <xf numFmtId="0" fontId="14" fillId="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left" vertical="center"/>
    </xf>
    <xf numFmtId="2" fontId="19" fillId="14" borderId="2" xfId="0" applyNumberFormat="1" applyFont="1" applyFill="1" applyBorder="1" applyAlignment="1">
      <alignment horizontal="center" vertical="center"/>
    </xf>
    <xf numFmtId="0" fontId="19" fillId="5" borderId="2" xfId="0" applyFont="1" applyFill="1" applyBorder="1" applyAlignment="1">
      <alignment horizontal="left" vertical="center"/>
    </xf>
    <xf numFmtId="2" fontId="19" fillId="5" borderId="2" xfId="0" applyNumberFormat="1" applyFont="1" applyFill="1" applyBorder="1" applyAlignment="1">
      <alignment horizontal="center" vertical="center"/>
    </xf>
    <xf numFmtId="0" fontId="13" fillId="4" borderId="2" xfId="0" applyFont="1" applyFill="1" applyBorder="1" applyAlignment="1">
      <alignment horizontal="left" vertical="center"/>
    </xf>
    <xf numFmtId="2" fontId="13" fillId="4" borderId="2" xfId="0" applyNumberFormat="1" applyFont="1" applyFill="1" applyBorder="1" applyAlignment="1">
      <alignment horizontal="center" vertical="center"/>
    </xf>
    <xf numFmtId="0" fontId="20" fillId="7" borderId="1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88888"/>
      <rgbColor rgb="FF9999FF"/>
      <rgbColor rgb="FF993366"/>
      <rgbColor rgb="FFFFF2CC"/>
      <rgbColor rgb="FFDEEAF1"/>
      <rgbColor rgb="FF660066"/>
      <rgbColor rgb="FFFF8080"/>
      <rgbColor rgb="FF2E5FA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D9D9"/>
      <rgbColor rgb="FFE2EFDA"/>
      <rgbColor rgb="FFFFE699"/>
      <rgbColor rgb="FF99CCFF"/>
      <rgbColor rgb="FFFF99CC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595959"/>
      <rgbColor rgb="FFAAAAAA"/>
      <rgbColor rgb="FF1F3864"/>
      <rgbColor rgb="FF70AD47"/>
      <rgbColor rgb="FF003300"/>
      <rgbColor rgb="FF333300"/>
      <rgbColor rgb="FF993300"/>
      <rgbColor rgb="FF993366"/>
      <rgbColor rgb="FF33339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worksheet" Target="worksheets/sheet1.xml" /><Relationship Id="rId2" Type="http://schemas.openxmlformats.org/officeDocument/2006/relationships/worksheet" Target="worksheets/sheet2.xml" /><Relationship Id="rId3" Type="http://schemas.openxmlformats.org/officeDocument/2006/relationships/worksheet" Target="worksheets/sheet3.xml" /><Relationship Id="rId4" Type="http://schemas.openxmlformats.org/officeDocument/2006/relationships/worksheet" Target="worksheets/sheet4.xml" /><Relationship Id="rId5" Type="http://schemas.openxmlformats.org/officeDocument/2006/relationships/worksheet" Target="worksheets/sheet5.xml" /><Relationship Id="rId6" Type="http://schemas.openxmlformats.org/officeDocument/2006/relationships/worksheet" Target="worksheets/sheet6.xml" /><Relationship Id="rId7" Type="http://schemas.openxmlformats.org/officeDocument/2006/relationships/worksheet" Target="worksheets/sheet7.xml" /><Relationship Id="rId8" Type="http://schemas.openxmlformats.org/officeDocument/2006/relationships/worksheet" Target="worksheets/sheet8.xml" /><Relationship Id="rId9" Type="http://schemas.openxmlformats.org/officeDocument/2006/relationships/worksheet" Target="worksheets/sheet9.xml" /><Relationship Id="rId10" Type="http://schemas.openxmlformats.org/officeDocument/2006/relationships/worksheet" Target="worksheets/sheet10.xml" /><Relationship Id="rId11" Type="http://schemas.openxmlformats.org/officeDocument/2006/relationships/worksheet" Target="worksheets/sheet11.xml" /><Relationship Id="rId12" Type="http://schemas.openxmlformats.org/officeDocument/2006/relationships/styles" Target="styles.xml" /><Relationship Id="rId13" Type="http://schemas.openxmlformats.org/officeDocument/2006/relationships/theme" Target="theme/theme1.xml" /><Relationship Id="rId14" Type="http://schemas.openxmlformats.org/officeDocument/2006/relationships/calcChain" Target="calcChain.xml" /><Relationship Id="rId15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mpd="sng" algn="ctr">
          <a:prstDash val="solid"/>
        </a:ln>
        <a:ln w="25400" cmpd="sng" algn="ctr">
          <a:prstDash val="solid"/>
        </a:ln>
        <a:ln w="38100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/>
  </sheetViews>
  <sheetFormatPr defaultColWidth="8.710938" defaultRowHeight="15"/>
  <cols>
    <col min="1" max="1" width="3" style="1" customWidth="1"/>
    <col min="2" max="2" width="95" style="1" customWidth="1"/>
  </cols>
  <sheetData>
    <row r="1" ht="19.5" customHeight="1">
      <c r="B1" s="2" t="s">
        <v>0</v>
      </c>
    </row>
    <row r="2" ht="15.75" customHeight="1">
      <c r="B2" s="3" t="s">
        <v>1</v>
      </c>
    </row>
    <row r="3" ht="6" customHeight="1"/>
    <row r="4" ht="19.5" customHeight="1">
      <c r="B4" s="4" t="s">
        <v>2</v>
      </c>
    </row>
    <row r="5" ht="15.75" customHeight="1">
      <c r="B5" s="5" t="s">
        <v>3</v>
      </c>
    </row>
    <row r="6" ht="15.75" customHeight="1">
      <c r="B6" s="5" t="s">
        <v>4</v>
      </c>
    </row>
    <row r="7" ht="15.75" customHeight="1">
      <c r="B7" s="5" t="s">
        <v>5</v>
      </c>
    </row>
    <row r="8" ht="15.75" customHeight="1">
      <c r="B8" s="5" t="s">
        <v>6</v>
      </c>
    </row>
    <row r="9" ht="15.75" customHeight="1">
      <c r="B9" s="5" t="s">
        <v>7</v>
      </c>
    </row>
    <row r="10" ht="6" customHeight="1"/>
    <row r="11" ht="19.5" customHeight="1">
      <c r="B11" s="4" t="s">
        <v>8</v>
      </c>
    </row>
    <row r="12" ht="15.75" customHeight="1">
      <c r="B12" s="6" t="s">
        <v>9</v>
      </c>
    </row>
    <row r="13" ht="15.75" customHeight="1">
      <c r="B13" s="7" t="s">
        <v>10</v>
      </c>
    </row>
    <row r="14" ht="15.75" customHeight="1">
      <c r="B14" s="8" t="s">
        <v>11</v>
      </c>
    </row>
    <row r="15" ht="6" customHeight="1"/>
    <row r="16" ht="19.5" customHeight="1">
      <c r="B16" s="4" t="s">
        <v>12</v>
      </c>
    </row>
    <row r="17" ht="15.75" customHeight="1">
      <c r="B17" s="5" t="s">
        <v>13</v>
      </c>
    </row>
    <row r="18" ht="15.75" customHeight="1">
      <c r="B18" s="5" t="s">
        <v>14</v>
      </c>
    </row>
    <row r="19" ht="15.75" customHeight="1">
      <c r="B19" s="5" t="s">
        <v>15</v>
      </c>
    </row>
    <row r="20" ht="15.75" customHeight="1">
      <c r="B20" s="5" t="s">
        <v>16</v>
      </c>
    </row>
    <row r="21" ht="15.75" customHeight="1">
      <c r="B21" s="5" t="s">
        <v>17</v>
      </c>
    </row>
    <row r="22" ht="15.75" customHeight="1">
      <c r="B22" s="5" t="s">
        <v>18</v>
      </c>
    </row>
    <row r="23" ht="15.75" customHeight="1">
      <c r="B23" s="5" t="s">
        <v>19</v>
      </c>
    </row>
    <row r="24" ht="6" customHeight="1"/>
    <row r="25" ht="19.5" customHeight="1">
      <c r="B25" s="4" t="s">
        <v>20</v>
      </c>
    </row>
    <row r="26" ht="15.75" customHeight="1">
      <c r="B26" s="5" t="s">
        <v>21</v>
      </c>
    </row>
    <row r="27" ht="15.75" customHeight="1">
      <c r="B27" s="5" t="s">
        <v>22</v>
      </c>
    </row>
    <row r="28" ht="15.75" customHeight="1">
      <c r="B28" s="5" t="s">
        <v>23</v>
      </c>
    </row>
    <row r="29" ht="15.75" customHeight="1">
      <c r="B29" s="5" t="s">
        <v>24</v>
      </c>
    </row>
    <row r="30" ht="15.75" customHeight="1">
      <c r="B30" s="5" t="s">
        <v>25</v>
      </c>
    </row>
    <row r="31" ht="6" customHeight="1"/>
    <row r="32" ht="19.5" customHeight="1">
      <c r="B32" s="4" t="s">
        <v>26</v>
      </c>
    </row>
    <row r="33" ht="15.75" customHeight="1">
      <c r="B33" s="9" t="s">
        <v>27</v>
      </c>
    </row>
    <row r="34" ht="15.75" customHeight="1">
      <c r="B34" s="6" t="s">
        <v>28</v>
      </c>
    </row>
    <row r="35" ht="15.75" customHeight="1">
      <c r="B35" s="10" t="s">
        <v>29</v>
      </c>
    </row>
    <row r="36" ht="15.75" customHeight="1">
      <c r="B36" s="11" t="s">
        <v>30</v>
      </c>
    </row>
    <row r="37" ht="15.75" customHeight="1">
      <c r="B37" s="12" t="s">
        <v>31</v>
      </c>
    </row>
    <row r="38" ht="15.75" customHeight="1">
      <c r="B38" s="13" t="s">
        <v>32</v>
      </c>
    </row>
    <row r="39" ht="15.75" customHeight="1">
      <c r="B39" s="14" t="s">
        <v>33</v>
      </c>
    </row>
    <row r="40" ht="6" customHeight="1"/>
    <row r="41" ht="19.5" customHeight="1">
      <c r="B41" s="15" t="s">
        <v>34</v>
      </c>
    </row>
    <row r="42" ht="15.75" customHeight="1">
      <c r="B42" s="14" t="s">
        <v>35</v>
      </c>
    </row>
    <row r="43" ht="15.75" customHeight="1">
      <c r="B43" s="14" t="s">
        <v>36</v>
      </c>
    </row>
    <row r="44" ht="15.75" customHeight="1">
      <c r="B44" s="14" t="s">
        <v>37</v>
      </c>
    </row>
    <row r="45" ht="15.75" customHeight="1">
      <c r="B45" s="14" t="s">
        <v>38</v>
      </c>
    </row>
  </sheetData>
  <pageMargins left="0.75" right="0.75" top="1" bottom="1" header="0.5118055" footer="0.5118055"/>
  <pageSetup paperSize="9" orientation="portrait" horizontalDpi="300" verticalDpi="300"/>
</worksheet>
</file>

<file path=xl/worksheets/sheet2.xml><?xml version="1.0" encoding="utf-8"?>
<worksheet xmlns:r="http://schemas.openxmlformats.org/officeDocument/2006/relationships" xmlns="http://schemas.openxmlformats.org/spreadsheetml/2006/main">
  <sheetViews>
    <sheetView tabSelected="1" showGridLines="0" zoomScaleNormal="100" zoomScalePageLayoutView="100" workbookViewId="0">
      <pane activePane="bottomLeft" state="frozen" topLeftCell="A5" ySplit="4"/>
      <selection pane="bottomLeft" activeCell="E7" sqref="E7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12" width="14" style="1" customWidth="1"/>
    <col min="13" max="13" width="45" style="1" customWidth="1"/>
  </cols>
  <sheetData>
    <row r="1" ht="19.5" customHeight="1">
      <c r="A1" s="16" t="s">
        <v>39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</row>
    <row r="2" ht="27.75" customHeight="1">
      <c r="A2" s="17" t="s">
        <v>40</v>
      </c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ht="6" customHeight="1"/>
    <row r="4" ht="31.5" customHeight="1">
      <c r="A4" s="18" t="s">
        <v>41</v>
      </c>
      <c r="B4" s="18" t="s">
        <v>42</v>
      </c>
      <c r="C4" s="18" t="s">
        <v>43</v>
      </c>
      <c r="D4" s="18" t="s">
        <v>44</v>
      </c>
      <c r="E4" s="18" t="s">
        <v>45</v>
      </c>
      <c r="F4" s="18" t="s">
        <v>46</v>
      </c>
      <c r="G4" s="18" t="s">
        <v>47</v>
      </c>
      <c r="H4" s="18" t="s">
        <v>48</v>
      </c>
      <c r="I4" s="18" t="s">
        <v>49</v>
      </c>
      <c r="J4" s="18" t="s">
        <v>50</v>
      </c>
      <c r="K4" s="18" t="s">
        <v>51</v>
      </c>
      <c r="L4" s="18" t="s">
        <v>52</v>
      </c>
      <c r="M4" s="18" t="s">
        <v>53</v>
      </c>
    </row>
    <row r="5" ht="15" customHeight="1">
      <c r="A5" s="19" t="s">
        <v>54</v>
      </c>
      <c r="B5" s="19"/>
      <c r="C5" s="19"/>
      <c r="D5" s="19"/>
      <c r="E5" s="19"/>
      <c r="F5" s="19"/>
      <c r="G5" s="19"/>
      <c r="H5" s="19"/>
      <c r="I5" s="19"/>
      <c r="J5" s="19"/>
      <c r="K5" s="19"/>
      <c r="L5" s="19"/>
      <c r="M5" s="19"/>
    </row>
    <row r="6" ht="13.5" customHeight="1">
      <c r="A6" s="20" t="s">
        <v>55</v>
      </c>
      <c r="B6" s="20" t="s">
        <v>56</v>
      </c>
      <c r="C6" s="21" t="s">
        <v>57</v>
      </c>
      <c r="D6" s="20" t="s">
        <v>58</v>
      </c>
      <c r="E6" s="22">
        <v>16</v>
      </c>
      <c r="F6" s="22">
        <v>25</v>
      </c>
      <c r="G6" s="22">
        <v>40</v>
      </c>
      <c r="H6" s="22">
        <v>10</v>
      </c>
      <c r="I6" s="22">
        <v>20</v>
      </c>
      <c r="J6" s="22">
        <v>10</v>
      </c>
      <c r="K6" s="22">
        <v>20</v>
      </c>
      <c r="L6" s="23">
        <v>0</v>
      </c>
      <c r="M6" s="21" t="s">
        <v>59</v>
      </c>
    </row>
    <row r="7" ht="13.5" customHeight="1">
      <c r="A7" s="24" t="s">
        <v>55</v>
      </c>
      <c r="B7" s="24" t="s">
        <v>60</v>
      </c>
      <c r="C7" s="25" t="s">
        <v>61</v>
      </c>
      <c r="D7" s="24" t="s">
        <v>58</v>
      </c>
      <c r="E7" s="26">
        <v>20</v>
      </c>
      <c r="F7" s="26">
        <v>35</v>
      </c>
      <c r="G7" s="26">
        <v>55</v>
      </c>
      <c r="H7" s="26">
        <v>15</v>
      </c>
      <c r="I7" s="26">
        <v>25</v>
      </c>
      <c r="J7" s="26">
        <v>20</v>
      </c>
      <c r="K7" s="26">
        <v>35</v>
      </c>
      <c r="L7" s="26">
        <v>5</v>
      </c>
      <c r="M7" s="25" t="s">
        <v>62</v>
      </c>
    </row>
    <row r="8" ht="13.5" customHeight="1">
      <c r="A8" s="20" t="s">
        <v>55</v>
      </c>
      <c r="B8" s="20" t="s">
        <v>63</v>
      </c>
      <c r="C8" s="21" t="s">
        <v>64</v>
      </c>
      <c r="D8" s="20" t="s">
        <v>58</v>
      </c>
      <c r="E8" s="22">
        <v>5</v>
      </c>
      <c r="F8" s="22">
        <v>10</v>
      </c>
      <c r="G8" s="22">
        <v>20</v>
      </c>
      <c r="H8" s="22">
        <v>10</v>
      </c>
      <c r="I8" s="22">
        <v>20</v>
      </c>
      <c r="J8" s="22">
        <v>5</v>
      </c>
      <c r="K8" s="22">
        <v>15</v>
      </c>
      <c r="L8" s="22">
        <v>10</v>
      </c>
      <c r="M8" s="21" t="s">
        <v>65</v>
      </c>
    </row>
    <row r="9" ht="13.5" customHeight="1">
      <c r="A9" s="24" t="s">
        <v>55</v>
      </c>
      <c r="B9" s="24" t="s">
        <v>66</v>
      </c>
      <c r="C9" s="25" t="s">
        <v>67</v>
      </c>
      <c r="D9" s="24" t="s">
        <v>58</v>
      </c>
      <c r="E9" s="26">
        <v>5</v>
      </c>
      <c r="F9" s="26">
        <v>8</v>
      </c>
      <c r="G9" s="26">
        <v>15</v>
      </c>
      <c r="H9" s="26">
        <v>8</v>
      </c>
      <c r="I9" s="26">
        <v>15</v>
      </c>
      <c r="J9" s="26">
        <v>5</v>
      </c>
      <c r="K9" s="26">
        <v>12</v>
      </c>
      <c r="L9" s="26">
        <v>5</v>
      </c>
      <c r="M9" s="25" t="s">
        <v>68</v>
      </c>
    </row>
    <row r="10" ht="15" customHeight="1">
      <c r="A10" s="19" t="s">
        <v>69</v>
      </c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9"/>
      <c r="M10" s="19"/>
    </row>
    <row r="11" ht="13.5" customHeight="1">
      <c r="A11" s="20" t="s">
        <v>70</v>
      </c>
      <c r="B11" s="20" t="s">
        <v>71</v>
      </c>
      <c r="C11" s="21" t="s">
        <v>72</v>
      </c>
      <c r="D11" s="20" t="s">
        <v>73</v>
      </c>
      <c r="E11" s="23">
        <v>0</v>
      </c>
      <c r="F11" s="23">
        <v>0</v>
      </c>
      <c r="G11" s="23">
        <v>0</v>
      </c>
      <c r="H11" s="22">
        <v>55</v>
      </c>
      <c r="I11" s="22">
        <v>80</v>
      </c>
      <c r="J11" s="22">
        <v>55</v>
      </c>
      <c r="K11" s="22">
        <v>80</v>
      </c>
      <c r="L11" s="23">
        <v>0</v>
      </c>
      <c r="M11" s="21" t="s">
        <v>74</v>
      </c>
    </row>
    <row r="12" ht="13.5" customHeight="1">
      <c r="A12" s="24" t="s">
        <v>70</v>
      </c>
      <c r="B12" s="24" t="s">
        <v>75</v>
      </c>
      <c r="C12" s="25" t="s">
        <v>76</v>
      </c>
      <c r="D12" s="24" t="s">
        <v>73</v>
      </c>
      <c r="E12" s="27">
        <v>0</v>
      </c>
      <c r="F12" s="27">
        <v>0</v>
      </c>
      <c r="G12" s="27">
        <v>0</v>
      </c>
      <c r="H12" s="26">
        <v>40</v>
      </c>
      <c r="I12" s="26">
        <v>60</v>
      </c>
      <c r="J12" s="26">
        <v>40</v>
      </c>
      <c r="K12" s="26">
        <v>60</v>
      </c>
      <c r="L12" s="27">
        <v>0</v>
      </c>
      <c r="M12" s="25" t="s">
        <v>77</v>
      </c>
    </row>
    <row r="13" ht="13.5" customHeight="1">
      <c r="A13" s="20" t="s">
        <v>70</v>
      </c>
      <c r="B13" s="20" t="s">
        <v>78</v>
      </c>
      <c r="C13" s="21" t="s">
        <v>79</v>
      </c>
      <c r="D13" s="20" t="s">
        <v>73</v>
      </c>
      <c r="E13" s="23">
        <v>0</v>
      </c>
      <c r="F13" s="23">
        <v>0</v>
      </c>
      <c r="G13" s="23">
        <v>0</v>
      </c>
      <c r="H13" s="22">
        <v>35</v>
      </c>
      <c r="I13" s="22">
        <v>55</v>
      </c>
      <c r="J13" s="22">
        <v>35</v>
      </c>
      <c r="K13" s="22">
        <v>55</v>
      </c>
      <c r="L13" s="23">
        <v>0</v>
      </c>
      <c r="M13" s="21" t="s">
        <v>80</v>
      </c>
    </row>
    <row r="14" ht="13.5" customHeight="1">
      <c r="A14" s="24" t="s">
        <v>70</v>
      </c>
      <c r="B14" s="24" t="s">
        <v>81</v>
      </c>
      <c r="C14" s="25" t="s">
        <v>82</v>
      </c>
      <c r="D14" s="24" t="s">
        <v>58</v>
      </c>
      <c r="E14" s="27">
        <v>0</v>
      </c>
      <c r="F14" s="27">
        <v>0</v>
      </c>
      <c r="G14" s="27">
        <v>0</v>
      </c>
      <c r="H14" s="26">
        <v>80</v>
      </c>
      <c r="I14" s="26">
        <v>150</v>
      </c>
      <c r="J14" s="26">
        <v>80</v>
      </c>
      <c r="K14" s="26">
        <v>150</v>
      </c>
      <c r="L14" s="27">
        <v>0</v>
      </c>
      <c r="M14" s="25" t="s">
        <v>83</v>
      </c>
    </row>
    <row r="15" ht="15" customHeight="1">
      <c r="A15" s="19" t="s">
        <v>84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</row>
    <row r="16" ht="13.5" customHeight="1">
      <c r="A16" s="20" t="s">
        <v>85</v>
      </c>
      <c r="B16" s="20" t="s">
        <v>86</v>
      </c>
      <c r="C16" s="21" t="s">
        <v>87</v>
      </c>
      <c r="D16" s="20" t="s">
        <v>73</v>
      </c>
      <c r="E16" s="23">
        <v>0</v>
      </c>
      <c r="F16" s="22">
        <v>20</v>
      </c>
      <c r="G16" s="22">
        <v>40</v>
      </c>
      <c r="H16" s="22">
        <v>150</v>
      </c>
      <c r="I16" s="22">
        <v>220</v>
      </c>
      <c r="J16" s="22">
        <v>130</v>
      </c>
      <c r="K16" s="22">
        <v>200</v>
      </c>
      <c r="L16" s="23">
        <v>0</v>
      </c>
      <c r="M16" s="21" t="s">
        <v>88</v>
      </c>
    </row>
    <row r="17" ht="13.5" customHeight="1">
      <c r="A17" s="24" t="s">
        <v>85</v>
      </c>
      <c r="B17" s="24" t="s">
        <v>89</v>
      </c>
      <c r="C17" s="25" t="s">
        <v>90</v>
      </c>
      <c r="D17" s="24" t="s">
        <v>73</v>
      </c>
      <c r="E17" s="27">
        <v>0</v>
      </c>
      <c r="F17" s="26">
        <v>15</v>
      </c>
      <c r="G17" s="26">
        <v>30</v>
      </c>
      <c r="H17" s="26">
        <v>65</v>
      </c>
      <c r="I17" s="26">
        <v>95</v>
      </c>
      <c r="J17" s="26">
        <v>65</v>
      </c>
      <c r="K17" s="26">
        <v>95</v>
      </c>
      <c r="L17" s="27">
        <v>0</v>
      </c>
      <c r="M17" s="25" t="s">
        <v>91</v>
      </c>
    </row>
    <row r="18" ht="13.5" customHeight="1">
      <c r="A18" s="20" t="s">
        <v>85</v>
      </c>
      <c r="B18" s="20" t="s">
        <v>92</v>
      </c>
      <c r="C18" s="21" t="s">
        <v>93</v>
      </c>
      <c r="D18" s="20" t="s">
        <v>73</v>
      </c>
      <c r="E18" s="22">
        <v>35</v>
      </c>
      <c r="F18" s="22">
        <v>55</v>
      </c>
      <c r="G18" s="22">
        <v>90</v>
      </c>
      <c r="H18" s="22">
        <v>75</v>
      </c>
      <c r="I18" s="22">
        <v>120</v>
      </c>
      <c r="J18" s="22">
        <v>75</v>
      </c>
      <c r="K18" s="22">
        <v>120</v>
      </c>
      <c r="L18" s="23">
        <v>0</v>
      </c>
      <c r="M18" s="21" t="s">
        <v>94</v>
      </c>
    </row>
    <row r="19" ht="13.5" customHeight="1">
      <c r="A19" s="24" t="s">
        <v>85</v>
      </c>
      <c r="B19" s="24" t="s">
        <v>95</v>
      </c>
      <c r="C19" s="25" t="s">
        <v>96</v>
      </c>
      <c r="D19" s="24" t="s">
        <v>58</v>
      </c>
      <c r="E19" s="26">
        <v>10</v>
      </c>
      <c r="F19" s="26">
        <v>15</v>
      </c>
      <c r="G19" s="26">
        <v>25</v>
      </c>
      <c r="H19" s="26">
        <v>20</v>
      </c>
      <c r="I19" s="26">
        <v>35</v>
      </c>
      <c r="J19" s="26">
        <v>20</v>
      </c>
      <c r="K19" s="26">
        <v>35</v>
      </c>
      <c r="L19" s="27">
        <v>0</v>
      </c>
      <c r="M19" s="25" t="s">
        <v>97</v>
      </c>
    </row>
    <row r="20" ht="13.5" customHeight="1">
      <c r="A20" s="20" t="s">
        <v>85</v>
      </c>
      <c r="B20" s="20" t="s">
        <v>98</v>
      </c>
      <c r="C20" s="21" t="s">
        <v>99</v>
      </c>
      <c r="D20" s="20" t="s">
        <v>73</v>
      </c>
      <c r="E20" s="22">
        <v>30</v>
      </c>
      <c r="F20" s="22">
        <v>60</v>
      </c>
      <c r="G20" s="22">
        <v>110</v>
      </c>
      <c r="H20" s="22">
        <v>200</v>
      </c>
      <c r="I20" s="22">
        <v>320</v>
      </c>
      <c r="J20" s="22">
        <v>180</v>
      </c>
      <c r="K20" s="22">
        <v>280</v>
      </c>
      <c r="L20" s="23">
        <v>0</v>
      </c>
      <c r="M20" s="21" t="s">
        <v>100</v>
      </c>
    </row>
    <row r="21" ht="13.5" customHeight="1">
      <c r="A21" s="24" t="s">
        <v>85</v>
      </c>
      <c r="B21" s="24" t="s">
        <v>101</v>
      </c>
      <c r="C21" s="25" t="s">
        <v>102</v>
      </c>
      <c r="D21" s="24" t="s">
        <v>73</v>
      </c>
      <c r="E21" s="26">
        <v>80</v>
      </c>
      <c r="F21" s="26">
        <v>130</v>
      </c>
      <c r="G21" s="26">
        <v>200</v>
      </c>
      <c r="H21" s="26">
        <v>100</v>
      </c>
      <c r="I21" s="26">
        <v>160</v>
      </c>
      <c r="J21" s="26">
        <v>90</v>
      </c>
      <c r="K21" s="26">
        <v>150</v>
      </c>
      <c r="L21" s="27">
        <v>0</v>
      </c>
      <c r="M21" s="25" t="s">
        <v>103</v>
      </c>
    </row>
    <row r="22" ht="13.5" customHeight="1">
      <c r="A22" s="20" t="s">
        <v>85</v>
      </c>
      <c r="B22" s="20" t="s">
        <v>104</v>
      </c>
      <c r="C22" s="21" t="s">
        <v>105</v>
      </c>
      <c r="D22" s="20" t="s">
        <v>73</v>
      </c>
      <c r="E22" s="22">
        <v>20</v>
      </c>
      <c r="F22" s="22">
        <v>35</v>
      </c>
      <c r="G22" s="22">
        <v>60</v>
      </c>
      <c r="H22" s="22">
        <v>30</v>
      </c>
      <c r="I22" s="22">
        <v>50</v>
      </c>
      <c r="J22" s="22">
        <v>25</v>
      </c>
      <c r="K22" s="22">
        <v>45</v>
      </c>
      <c r="L22" s="23">
        <v>0</v>
      </c>
      <c r="M22" s="21" t="s">
        <v>106</v>
      </c>
    </row>
    <row r="23" ht="13.5" customHeight="1">
      <c r="A23" s="24" t="s">
        <v>85</v>
      </c>
      <c r="B23" s="24" t="s">
        <v>107</v>
      </c>
      <c r="C23" s="25" t="s">
        <v>108</v>
      </c>
      <c r="D23" s="24" t="s">
        <v>109</v>
      </c>
      <c r="E23" s="26">
        <v>15</v>
      </c>
      <c r="F23" s="26">
        <v>25</v>
      </c>
      <c r="G23" s="26">
        <v>40</v>
      </c>
      <c r="H23" s="26">
        <v>20</v>
      </c>
      <c r="I23" s="26">
        <v>35</v>
      </c>
      <c r="J23" s="26">
        <v>18</v>
      </c>
      <c r="K23" s="26">
        <v>30</v>
      </c>
      <c r="L23" s="27">
        <v>0</v>
      </c>
      <c r="M23" s="25" t="s">
        <v>110</v>
      </c>
    </row>
    <row r="24" ht="15" customHeight="1">
      <c r="A24" s="19" t="s">
        <v>111</v>
      </c>
      <c r="B24" s="19"/>
      <c r="C24" s="19"/>
      <c r="D24" s="19"/>
      <c r="E24" s="19"/>
      <c r="F24" s="19"/>
      <c r="G24" s="19"/>
      <c r="H24" s="19"/>
      <c r="I24" s="19"/>
      <c r="J24" s="19"/>
      <c r="K24" s="19"/>
      <c r="L24" s="19"/>
      <c r="M24" s="19"/>
    </row>
    <row r="25" ht="13.5" customHeight="1">
      <c r="A25" s="20" t="s">
        <v>112</v>
      </c>
      <c r="B25" s="20" t="s">
        <v>113</v>
      </c>
      <c r="C25" s="21" t="s">
        <v>114</v>
      </c>
      <c r="D25" s="20" t="s">
        <v>73</v>
      </c>
      <c r="E25" s="22">
        <v>15</v>
      </c>
      <c r="F25" s="22">
        <v>35</v>
      </c>
      <c r="G25" s="22">
        <v>75</v>
      </c>
      <c r="H25" s="22">
        <v>25</v>
      </c>
      <c r="I25" s="22">
        <v>55</v>
      </c>
      <c r="J25" s="22">
        <v>20</v>
      </c>
      <c r="K25" s="22">
        <v>50</v>
      </c>
      <c r="L25" s="23">
        <v>0</v>
      </c>
      <c r="M25" s="21" t="s">
        <v>115</v>
      </c>
    </row>
    <row r="26" ht="13.5" customHeight="1">
      <c r="A26" s="24" t="s">
        <v>112</v>
      </c>
      <c r="B26" s="24" t="s">
        <v>116</v>
      </c>
      <c r="C26" s="25" t="s">
        <v>117</v>
      </c>
      <c r="D26" s="24" t="s">
        <v>73</v>
      </c>
      <c r="E26" s="26">
        <v>20</v>
      </c>
      <c r="F26" s="26">
        <v>55</v>
      </c>
      <c r="G26" s="26">
        <v>130</v>
      </c>
      <c r="H26" s="26">
        <v>30</v>
      </c>
      <c r="I26" s="26">
        <v>80</v>
      </c>
      <c r="J26" s="26">
        <v>25</v>
      </c>
      <c r="K26" s="26">
        <v>70</v>
      </c>
      <c r="L26" s="27">
        <v>0</v>
      </c>
      <c r="M26" s="25" t="s">
        <v>118</v>
      </c>
    </row>
    <row r="27" ht="13.5" customHeight="1">
      <c r="A27" s="20" t="s">
        <v>112</v>
      </c>
      <c r="B27" s="20" t="s">
        <v>119</v>
      </c>
      <c r="C27" s="21" t="s">
        <v>120</v>
      </c>
      <c r="D27" s="20" t="s">
        <v>73</v>
      </c>
      <c r="E27" s="22">
        <v>10</v>
      </c>
      <c r="F27" s="22">
        <v>30</v>
      </c>
      <c r="G27" s="22">
        <v>65</v>
      </c>
      <c r="H27" s="22">
        <v>15</v>
      </c>
      <c r="I27" s="22">
        <v>45</v>
      </c>
      <c r="J27" s="22">
        <v>12</v>
      </c>
      <c r="K27" s="22">
        <v>40</v>
      </c>
      <c r="L27" s="23">
        <v>0</v>
      </c>
      <c r="M27" s="21" t="s">
        <v>121</v>
      </c>
    </row>
    <row r="28" ht="15" customHeight="1">
      <c r="A28" s="19" t="s">
        <v>122</v>
      </c>
      <c r="B28" s="19"/>
      <c r="C28" s="19"/>
      <c r="D28" s="19"/>
      <c r="E28" s="19"/>
      <c r="F28" s="19"/>
      <c r="G28" s="19"/>
      <c r="H28" s="19"/>
      <c r="I28" s="19"/>
      <c r="J28" s="19"/>
      <c r="K28" s="19"/>
      <c r="L28" s="19"/>
      <c r="M28" s="19"/>
    </row>
    <row r="29" ht="13.5" customHeight="1">
      <c r="A29" s="20" t="s">
        <v>123</v>
      </c>
      <c r="B29" s="20" t="s">
        <v>124</v>
      </c>
      <c r="C29" s="21" t="s">
        <v>125</v>
      </c>
      <c r="D29" s="20" t="s">
        <v>58</v>
      </c>
      <c r="E29" s="22">
        <v>10</v>
      </c>
      <c r="F29" s="22">
        <v>30</v>
      </c>
      <c r="G29" s="22">
        <v>80</v>
      </c>
      <c r="H29" s="22">
        <v>15</v>
      </c>
      <c r="I29" s="22">
        <v>50</v>
      </c>
      <c r="J29" s="22">
        <v>10</v>
      </c>
      <c r="K29" s="22">
        <v>40</v>
      </c>
      <c r="L29" s="23">
        <v>0</v>
      </c>
      <c r="M29" s="21" t="s">
        <v>126</v>
      </c>
    </row>
    <row r="30" ht="13.5" customHeight="1">
      <c r="A30" s="24" t="s">
        <v>123</v>
      </c>
      <c r="B30" s="24" t="s">
        <v>127</v>
      </c>
      <c r="C30" s="25" t="s">
        <v>128</v>
      </c>
      <c r="D30" s="24" t="s">
        <v>109</v>
      </c>
      <c r="E30" s="26">
        <v>8</v>
      </c>
      <c r="F30" s="26">
        <v>18</v>
      </c>
      <c r="G30" s="26">
        <v>35</v>
      </c>
      <c r="H30" s="26">
        <v>10</v>
      </c>
      <c r="I30" s="26">
        <v>22</v>
      </c>
      <c r="J30" s="26">
        <v>8</v>
      </c>
      <c r="K30" s="26">
        <v>18</v>
      </c>
      <c r="L30" s="27">
        <v>0</v>
      </c>
      <c r="M30" s="25" t="s">
        <v>129</v>
      </c>
    </row>
    <row r="31" ht="13.5" customHeight="1">
      <c r="A31" s="20" t="s">
        <v>123</v>
      </c>
      <c r="B31" s="20" t="s">
        <v>130</v>
      </c>
      <c r="C31" s="21" t="s">
        <v>131</v>
      </c>
      <c r="D31" s="20" t="s">
        <v>58</v>
      </c>
      <c r="E31" s="22">
        <v>5</v>
      </c>
      <c r="F31" s="22">
        <v>15</v>
      </c>
      <c r="G31" s="22">
        <v>35</v>
      </c>
      <c r="H31" s="22">
        <v>8</v>
      </c>
      <c r="I31" s="22">
        <v>20</v>
      </c>
      <c r="J31" s="22">
        <v>5</v>
      </c>
      <c r="K31" s="22">
        <v>15</v>
      </c>
      <c r="L31" s="23">
        <v>0</v>
      </c>
      <c r="M31" s="21" t="s">
        <v>132</v>
      </c>
    </row>
    <row r="32" ht="13.5" customHeight="1">
      <c r="A32" s="24" t="s">
        <v>123</v>
      </c>
      <c r="B32" s="24" t="s">
        <v>133</v>
      </c>
      <c r="C32" s="25" t="s">
        <v>134</v>
      </c>
      <c r="D32" s="24" t="s">
        <v>58</v>
      </c>
      <c r="E32" s="27">
        <v>0</v>
      </c>
      <c r="F32" s="26">
        <v>10</v>
      </c>
      <c r="G32" s="26">
        <v>80</v>
      </c>
      <c r="H32" s="26">
        <v>5</v>
      </c>
      <c r="I32" s="26">
        <v>60</v>
      </c>
      <c r="J32" s="27">
        <v>0</v>
      </c>
      <c r="K32" s="26">
        <v>40</v>
      </c>
      <c r="L32" s="27">
        <v>0</v>
      </c>
      <c r="M32" s="25" t="s">
        <v>135</v>
      </c>
    </row>
    <row r="33" ht="15" customHeight="1">
      <c r="A33" s="19" t="s">
        <v>136</v>
      </c>
      <c r="B33" s="19"/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</row>
    <row r="34" ht="13.5" customHeight="1">
      <c r="A34" s="20" t="s">
        <v>137</v>
      </c>
      <c r="B34" s="20" t="s">
        <v>138</v>
      </c>
      <c r="C34" s="21" t="s">
        <v>139</v>
      </c>
      <c r="D34" s="20" t="s">
        <v>73</v>
      </c>
      <c r="E34" s="22">
        <v>15</v>
      </c>
      <c r="F34" s="22">
        <v>35</v>
      </c>
      <c r="G34" s="22">
        <v>65</v>
      </c>
      <c r="H34" s="22">
        <v>25</v>
      </c>
      <c r="I34" s="22">
        <v>50</v>
      </c>
      <c r="J34" s="22">
        <v>20</v>
      </c>
      <c r="K34" s="22">
        <v>45</v>
      </c>
      <c r="L34" s="23">
        <v>0</v>
      </c>
      <c r="M34" s="21" t="s">
        <v>140</v>
      </c>
    </row>
    <row r="35" ht="13.5" customHeight="1">
      <c r="A35" s="24" t="s">
        <v>137</v>
      </c>
      <c r="B35" s="24" t="s">
        <v>141</v>
      </c>
      <c r="C35" s="25" t="s">
        <v>142</v>
      </c>
      <c r="D35" s="24" t="s">
        <v>73</v>
      </c>
      <c r="E35" s="26">
        <v>25</v>
      </c>
      <c r="F35" s="26">
        <v>50</v>
      </c>
      <c r="G35" s="26">
        <v>90</v>
      </c>
      <c r="H35" s="26">
        <v>35</v>
      </c>
      <c r="I35" s="26">
        <v>70</v>
      </c>
      <c r="J35" s="26">
        <v>30</v>
      </c>
      <c r="K35" s="26">
        <v>65</v>
      </c>
      <c r="L35" s="27">
        <v>0</v>
      </c>
      <c r="M35" s="25" t="s">
        <v>143</v>
      </c>
    </row>
    <row r="36" ht="13.5" customHeight="1">
      <c r="A36" s="20" t="s">
        <v>137</v>
      </c>
      <c r="B36" s="20" t="s">
        <v>144</v>
      </c>
      <c r="C36" s="21" t="s">
        <v>145</v>
      </c>
      <c r="D36" s="20" t="s">
        <v>73</v>
      </c>
      <c r="E36" s="22">
        <v>20</v>
      </c>
      <c r="F36" s="22">
        <v>45</v>
      </c>
      <c r="G36" s="22">
        <v>90</v>
      </c>
      <c r="H36" s="22">
        <v>30</v>
      </c>
      <c r="I36" s="22">
        <v>70</v>
      </c>
      <c r="J36" s="22">
        <v>25</v>
      </c>
      <c r="K36" s="22">
        <v>60</v>
      </c>
      <c r="L36" s="23">
        <v>0</v>
      </c>
      <c r="M36" s="21" t="s">
        <v>146</v>
      </c>
    </row>
    <row r="37" ht="13.5" customHeight="1">
      <c r="A37" s="24" t="s">
        <v>137</v>
      </c>
      <c r="B37" s="24" t="s">
        <v>147</v>
      </c>
      <c r="C37" s="25" t="s">
        <v>148</v>
      </c>
      <c r="D37" s="24" t="s">
        <v>73</v>
      </c>
      <c r="E37" s="27">
        <v>0</v>
      </c>
      <c r="F37" s="26">
        <v>30</v>
      </c>
      <c r="G37" s="26">
        <v>70</v>
      </c>
      <c r="H37" s="26">
        <v>15</v>
      </c>
      <c r="I37" s="26">
        <v>55</v>
      </c>
      <c r="J37" s="26">
        <v>10</v>
      </c>
      <c r="K37" s="26">
        <v>45</v>
      </c>
      <c r="L37" s="27">
        <v>0</v>
      </c>
      <c r="M37" s="25" t="s">
        <v>149</v>
      </c>
    </row>
    <row r="38" ht="13.5" customHeight="1">
      <c r="A38" s="20" t="s">
        <v>137</v>
      </c>
      <c r="B38" s="20" t="s">
        <v>150</v>
      </c>
      <c r="C38" s="21" t="s">
        <v>151</v>
      </c>
      <c r="D38" s="20" t="s">
        <v>58</v>
      </c>
      <c r="E38" s="22">
        <v>5</v>
      </c>
      <c r="F38" s="22">
        <v>10</v>
      </c>
      <c r="G38" s="22">
        <v>15</v>
      </c>
      <c r="H38" s="22">
        <v>8</v>
      </c>
      <c r="I38" s="22">
        <v>15</v>
      </c>
      <c r="J38" s="22">
        <v>5</v>
      </c>
      <c r="K38" s="22">
        <v>10</v>
      </c>
      <c r="L38" s="23">
        <v>0</v>
      </c>
      <c r="M38" s="21" t="s">
        <v>152</v>
      </c>
    </row>
    <row r="39" ht="13.5" customHeight="1">
      <c r="A39" s="24" t="s">
        <v>137</v>
      </c>
      <c r="B39" s="24" t="s">
        <v>153</v>
      </c>
      <c r="C39" s="25" t="s">
        <v>154</v>
      </c>
      <c r="D39" s="24" t="s">
        <v>73</v>
      </c>
      <c r="E39" s="27">
        <v>0</v>
      </c>
      <c r="F39" s="26">
        <v>15</v>
      </c>
      <c r="G39" s="26">
        <v>30</v>
      </c>
      <c r="H39" s="26">
        <v>10</v>
      </c>
      <c r="I39" s="26">
        <v>25</v>
      </c>
      <c r="J39" s="26">
        <v>5</v>
      </c>
      <c r="K39" s="26">
        <v>20</v>
      </c>
      <c r="L39" s="27">
        <v>0</v>
      </c>
      <c r="M39" s="25" t="s">
        <v>155</v>
      </c>
    </row>
    <row r="40" ht="13.5" customHeight="1">
      <c r="A40" s="20" t="s">
        <v>137</v>
      </c>
      <c r="B40" s="20" t="s">
        <v>156</v>
      </c>
      <c r="C40" s="21" t="s">
        <v>157</v>
      </c>
      <c r="D40" s="20" t="s">
        <v>73</v>
      </c>
      <c r="E40" s="22">
        <v>15</v>
      </c>
      <c r="F40" s="22">
        <v>30</v>
      </c>
      <c r="G40" s="22">
        <v>55</v>
      </c>
      <c r="H40" s="22">
        <v>20</v>
      </c>
      <c r="I40" s="22">
        <v>45</v>
      </c>
      <c r="J40" s="22">
        <v>15</v>
      </c>
      <c r="K40" s="22">
        <v>40</v>
      </c>
      <c r="L40" s="23">
        <v>0</v>
      </c>
      <c r="M40" s="21" t="s">
        <v>158</v>
      </c>
    </row>
    <row r="41" ht="13.5" customHeight="1">
      <c r="A41" s="24" t="s">
        <v>137</v>
      </c>
      <c r="B41" s="24" t="s">
        <v>159</v>
      </c>
      <c r="C41" s="25" t="s">
        <v>160</v>
      </c>
      <c r="D41" s="24" t="s">
        <v>73</v>
      </c>
      <c r="E41" s="26">
        <v>20</v>
      </c>
      <c r="F41" s="26">
        <v>40</v>
      </c>
      <c r="G41" s="26">
        <v>75</v>
      </c>
      <c r="H41" s="26">
        <v>30</v>
      </c>
      <c r="I41" s="26">
        <v>60</v>
      </c>
      <c r="J41" s="26">
        <v>25</v>
      </c>
      <c r="K41" s="26">
        <v>55</v>
      </c>
      <c r="L41" s="27">
        <v>0</v>
      </c>
      <c r="M41" s="25" t="s">
        <v>161</v>
      </c>
    </row>
    <row r="42" ht="13.5" customHeight="1">
      <c r="A42" s="20" t="s">
        <v>137</v>
      </c>
      <c r="B42" s="20" t="s">
        <v>162</v>
      </c>
      <c r="C42" s="21" t="s">
        <v>163</v>
      </c>
      <c r="D42" s="20" t="s">
        <v>73</v>
      </c>
      <c r="E42" s="22">
        <v>10</v>
      </c>
      <c r="F42" s="22">
        <v>20</v>
      </c>
      <c r="G42" s="22">
        <v>35</v>
      </c>
      <c r="H42" s="22">
        <v>12</v>
      </c>
      <c r="I42" s="22">
        <v>25</v>
      </c>
      <c r="J42" s="22">
        <v>10</v>
      </c>
      <c r="K42" s="22">
        <v>22</v>
      </c>
      <c r="L42" s="23">
        <v>0</v>
      </c>
      <c r="M42" s="21" t="s">
        <v>164</v>
      </c>
    </row>
    <row r="43" ht="13.5" customHeight="1">
      <c r="A43" s="24" t="s">
        <v>137</v>
      </c>
      <c r="B43" s="24" t="s">
        <v>165</v>
      </c>
      <c r="C43" s="25" t="s">
        <v>166</v>
      </c>
      <c r="D43" s="24" t="s">
        <v>58</v>
      </c>
      <c r="E43" s="27">
        <v>0</v>
      </c>
      <c r="F43" s="26">
        <v>5</v>
      </c>
      <c r="G43" s="26">
        <v>10</v>
      </c>
      <c r="H43" s="26">
        <v>5</v>
      </c>
      <c r="I43" s="26">
        <v>12</v>
      </c>
      <c r="J43" s="26">
        <v>3</v>
      </c>
      <c r="K43" s="26">
        <v>8</v>
      </c>
      <c r="L43" s="26">
        <v>10</v>
      </c>
      <c r="M43" s="25" t="s">
        <v>167</v>
      </c>
    </row>
    <row r="44" ht="13.5" customHeight="1">
      <c r="A44" s="20" t="s">
        <v>137</v>
      </c>
      <c r="B44" s="20" t="s">
        <v>168</v>
      </c>
      <c r="C44" s="21" t="s">
        <v>169</v>
      </c>
      <c r="D44" s="20" t="s">
        <v>170</v>
      </c>
      <c r="E44" s="23">
        <v>0</v>
      </c>
      <c r="F44" s="22">
        <v>800</v>
      </c>
      <c r="G44" s="22">
        <v>1200</v>
      </c>
      <c r="H44" s="22">
        <v>800</v>
      </c>
      <c r="I44" s="22">
        <v>1200</v>
      </c>
      <c r="J44" s="22">
        <v>800</v>
      </c>
      <c r="K44" s="22">
        <v>1200</v>
      </c>
      <c r="L44" s="23">
        <v>0</v>
      </c>
      <c r="M44" s="21" t="s">
        <v>171</v>
      </c>
    </row>
    <row r="45" ht="13.5" customHeight="1">
      <c r="A45" s="24" t="s">
        <v>137</v>
      </c>
      <c r="B45" s="24" t="s">
        <v>172</v>
      </c>
      <c r="C45" s="25" t="s">
        <v>173</v>
      </c>
      <c r="D45" s="24" t="s">
        <v>109</v>
      </c>
      <c r="E45" s="27">
        <v>0</v>
      </c>
      <c r="F45" s="26">
        <v>1500</v>
      </c>
      <c r="G45" s="26">
        <v>2500</v>
      </c>
      <c r="H45" s="26">
        <v>1500</v>
      </c>
      <c r="I45" s="26">
        <v>2500</v>
      </c>
      <c r="J45" s="26">
        <v>1500</v>
      </c>
      <c r="K45" s="26">
        <v>2500</v>
      </c>
      <c r="L45" s="26">
        <v>2000</v>
      </c>
      <c r="M45" s="25" t="s">
        <v>174</v>
      </c>
    </row>
    <row r="46" ht="13.5" customHeight="1">
      <c r="A46" s="20" t="s">
        <v>137</v>
      </c>
      <c r="B46" s="20" t="s">
        <v>175</v>
      </c>
      <c r="C46" s="21" t="s">
        <v>176</v>
      </c>
      <c r="D46" s="20" t="s">
        <v>73</v>
      </c>
      <c r="E46" s="22">
        <v>8</v>
      </c>
      <c r="F46" s="22">
        <v>18</v>
      </c>
      <c r="G46" s="22">
        <v>35</v>
      </c>
      <c r="H46" s="22">
        <v>10</v>
      </c>
      <c r="I46" s="22">
        <v>25</v>
      </c>
      <c r="J46" s="22">
        <v>8</v>
      </c>
      <c r="K46" s="22">
        <v>20</v>
      </c>
      <c r="L46" s="23">
        <v>0</v>
      </c>
      <c r="M46" s="21" t="s">
        <v>177</v>
      </c>
    </row>
    <row r="47" ht="13.5" customHeight="1">
      <c r="A47" s="24" t="s">
        <v>137</v>
      </c>
      <c r="B47" s="24" t="s">
        <v>178</v>
      </c>
      <c r="C47" s="25" t="s">
        <v>179</v>
      </c>
      <c r="D47" s="24" t="s">
        <v>58</v>
      </c>
      <c r="E47" s="27">
        <v>0</v>
      </c>
      <c r="F47" s="26">
        <v>10</v>
      </c>
      <c r="G47" s="26">
        <v>50</v>
      </c>
      <c r="H47" s="26">
        <v>5</v>
      </c>
      <c r="I47" s="26">
        <v>40</v>
      </c>
      <c r="J47" s="26">
        <v>3</v>
      </c>
      <c r="K47" s="26">
        <v>30</v>
      </c>
      <c r="L47" s="27">
        <v>0</v>
      </c>
      <c r="M47" s="25" t="s">
        <v>180</v>
      </c>
    </row>
    <row r="48" ht="13.5" customHeight="1">
      <c r="A48" s="20" t="s">
        <v>137</v>
      </c>
      <c r="B48" s="20" t="s">
        <v>181</v>
      </c>
      <c r="C48" s="21" t="s">
        <v>182</v>
      </c>
      <c r="D48" s="20" t="s">
        <v>73</v>
      </c>
      <c r="E48" s="22">
        <v>5</v>
      </c>
      <c r="F48" s="22">
        <v>15</v>
      </c>
      <c r="G48" s="22">
        <v>30</v>
      </c>
      <c r="H48" s="22">
        <v>8</v>
      </c>
      <c r="I48" s="22">
        <v>20</v>
      </c>
      <c r="J48" s="22">
        <v>5</v>
      </c>
      <c r="K48" s="22">
        <v>15</v>
      </c>
      <c r="L48" s="23">
        <v>0</v>
      </c>
      <c r="M48" s="21" t="s">
        <v>183</v>
      </c>
    </row>
    <row r="49" ht="13.5" customHeight="1">
      <c r="A49" s="24" t="s">
        <v>137</v>
      </c>
      <c r="B49" s="24" t="s">
        <v>184</v>
      </c>
      <c r="C49" s="25" t="s">
        <v>185</v>
      </c>
      <c r="D49" s="24" t="s">
        <v>109</v>
      </c>
      <c r="E49" s="26">
        <v>50</v>
      </c>
      <c r="F49" s="26">
        <v>80</v>
      </c>
      <c r="G49" s="26">
        <v>120</v>
      </c>
      <c r="H49" s="26">
        <v>60</v>
      </c>
      <c r="I49" s="26">
        <v>100</v>
      </c>
      <c r="J49" s="26">
        <v>50</v>
      </c>
      <c r="K49" s="26">
        <v>90</v>
      </c>
      <c r="L49" s="27">
        <v>0</v>
      </c>
      <c r="M49" s="25" t="s">
        <v>186</v>
      </c>
    </row>
    <row r="50" ht="13.5" customHeight="1">
      <c r="A50" s="20" t="s">
        <v>137</v>
      </c>
      <c r="B50" s="20" t="s">
        <v>187</v>
      </c>
      <c r="C50" s="21" t="s">
        <v>188</v>
      </c>
      <c r="D50" s="20" t="s">
        <v>73</v>
      </c>
      <c r="E50" s="22">
        <v>5</v>
      </c>
      <c r="F50" s="22">
        <v>12</v>
      </c>
      <c r="G50" s="22">
        <v>22</v>
      </c>
      <c r="H50" s="22">
        <v>8</v>
      </c>
      <c r="I50" s="22">
        <v>18</v>
      </c>
      <c r="J50" s="22">
        <v>6</v>
      </c>
      <c r="K50" s="22">
        <v>15</v>
      </c>
      <c r="L50" s="23">
        <v>0</v>
      </c>
      <c r="M50" s="21" t="s">
        <v>189</v>
      </c>
    </row>
    <row r="51" ht="15" customHeight="1">
      <c r="A51" s="19" t="s">
        <v>190</v>
      </c>
      <c r="B51" s="19"/>
      <c r="C51" s="19"/>
      <c r="D51" s="19"/>
      <c r="E51" s="19"/>
      <c r="F51" s="19"/>
      <c r="G51" s="19"/>
      <c r="H51" s="19"/>
      <c r="I51" s="19"/>
      <c r="J51" s="19"/>
      <c r="K51" s="19"/>
      <c r="L51" s="19"/>
      <c r="M51" s="19"/>
    </row>
    <row r="52" ht="13.5" customHeight="1">
      <c r="A52" s="20" t="s">
        <v>191</v>
      </c>
      <c r="B52" s="20" t="s">
        <v>192</v>
      </c>
      <c r="C52" s="21" t="s">
        <v>193</v>
      </c>
      <c r="D52" s="20" t="s">
        <v>58</v>
      </c>
      <c r="E52" s="23">
        <v>0</v>
      </c>
      <c r="F52" s="23">
        <v>0</v>
      </c>
      <c r="G52" s="22">
        <v>200</v>
      </c>
      <c r="H52" s="23">
        <v>0</v>
      </c>
      <c r="I52" s="22">
        <v>150</v>
      </c>
      <c r="J52" s="23">
        <v>0</v>
      </c>
      <c r="K52" s="22">
        <v>100</v>
      </c>
      <c r="L52" s="23">
        <v>0</v>
      </c>
      <c r="M52" s="21" t="s">
        <v>194</v>
      </c>
    </row>
    <row r="53" ht="13.5" customHeight="1">
      <c r="A53" s="24" t="s">
        <v>191</v>
      </c>
      <c r="B53" s="24" t="s">
        <v>195</v>
      </c>
      <c r="C53" s="25" t="s">
        <v>196</v>
      </c>
      <c r="D53" s="24" t="s">
        <v>58</v>
      </c>
      <c r="E53" s="27">
        <v>0</v>
      </c>
      <c r="F53" s="26">
        <v>50</v>
      </c>
      <c r="G53" s="26">
        <v>100</v>
      </c>
      <c r="H53" s="27">
        <v>0</v>
      </c>
      <c r="I53" s="26">
        <v>80</v>
      </c>
      <c r="J53" s="27">
        <v>0</v>
      </c>
      <c r="K53" s="26">
        <v>60</v>
      </c>
      <c r="L53" s="27">
        <v>0</v>
      </c>
      <c r="M53" s="25" t="s">
        <v>197</v>
      </c>
    </row>
    <row r="54" ht="15" customHeight="1">
      <c r="A54" s="19" t="s">
        <v>198</v>
      </c>
      <c r="B54" s="19"/>
      <c r="C54" s="19"/>
      <c r="D54" s="19"/>
      <c r="E54" s="19"/>
      <c r="F54" s="19"/>
      <c r="G54" s="19"/>
      <c r="H54" s="19"/>
      <c r="I54" s="19"/>
      <c r="J54" s="19"/>
      <c r="K54" s="19"/>
      <c r="L54" s="19"/>
      <c r="M54" s="19"/>
    </row>
    <row r="55" ht="13.5" customHeight="1">
      <c r="A55" s="20" t="s">
        <v>199</v>
      </c>
      <c r="B55" s="20" t="s">
        <v>200</v>
      </c>
      <c r="C55" s="21" t="s">
        <v>201</v>
      </c>
      <c r="D55" s="20" t="s">
        <v>58</v>
      </c>
      <c r="E55" s="22">
        <v>10</v>
      </c>
      <c r="F55" s="22">
        <v>25</v>
      </c>
      <c r="G55" s="22">
        <v>55</v>
      </c>
      <c r="H55" s="23">
        <v>0</v>
      </c>
      <c r="I55" s="23">
        <v>0</v>
      </c>
      <c r="J55" s="22">
        <v>15</v>
      </c>
      <c r="K55" s="22">
        <v>35</v>
      </c>
      <c r="L55" s="23">
        <v>0</v>
      </c>
      <c r="M55" s="21" t="s">
        <v>202</v>
      </c>
    </row>
    <row r="56" ht="13.5" customHeight="1">
      <c r="A56" s="24" t="s">
        <v>199</v>
      </c>
      <c r="B56" s="24" t="s">
        <v>203</v>
      </c>
      <c r="C56" s="25" t="s">
        <v>204</v>
      </c>
      <c r="D56" s="24" t="s">
        <v>58</v>
      </c>
      <c r="E56" s="26">
        <v>10</v>
      </c>
      <c r="F56" s="26">
        <v>20</v>
      </c>
      <c r="G56" s="26">
        <v>45</v>
      </c>
      <c r="H56" s="27">
        <v>0</v>
      </c>
      <c r="I56" s="27">
        <v>0</v>
      </c>
      <c r="J56" s="26">
        <v>12</v>
      </c>
      <c r="K56" s="26">
        <v>28</v>
      </c>
      <c r="L56" s="27">
        <v>0</v>
      </c>
      <c r="M56" s="25" t="s">
        <v>205</v>
      </c>
    </row>
    <row r="57" ht="13.5" customHeight="1">
      <c r="A57" s="20" t="s">
        <v>199</v>
      </c>
      <c r="B57" s="20" t="s">
        <v>206</v>
      </c>
      <c r="C57" s="21" t="s">
        <v>207</v>
      </c>
      <c r="D57" s="20" t="s">
        <v>58</v>
      </c>
      <c r="E57" s="22">
        <v>5</v>
      </c>
      <c r="F57" s="22">
        <v>10</v>
      </c>
      <c r="G57" s="22">
        <v>20</v>
      </c>
      <c r="H57" s="23">
        <v>0</v>
      </c>
      <c r="I57" s="23">
        <v>0</v>
      </c>
      <c r="J57" s="22">
        <v>5</v>
      </c>
      <c r="K57" s="22">
        <v>15</v>
      </c>
      <c r="L57" s="23">
        <v>0</v>
      </c>
      <c r="M57" s="21" t="s">
        <v>208</v>
      </c>
    </row>
    <row r="58" ht="13.5" customHeight="1">
      <c r="A58" s="24" t="s">
        <v>199</v>
      </c>
      <c r="B58" s="24" t="s">
        <v>209</v>
      </c>
      <c r="C58" s="25" t="s">
        <v>210</v>
      </c>
      <c r="D58" s="24" t="s">
        <v>58</v>
      </c>
      <c r="E58" s="27">
        <v>0</v>
      </c>
      <c r="F58" s="26">
        <v>30</v>
      </c>
      <c r="G58" s="26">
        <v>80</v>
      </c>
      <c r="H58" s="27">
        <v>0</v>
      </c>
      <c r="I58" s="27">
        <v>0</v>
      </c>
      <c r="J58" s="26">
        <v>20</v>
      </c>
      <c r="K58" s="26">
        <v>55</v>
      </c>
      <c r="L58" s="27">
        <v>0</v>
      </c>
      <c r="M58" s="25" t="s">
        <v>211</v>
      </c>
    </row>
    <row r="59" ht="13.5" customHeight="1">
      <c r="A59" s="20" t="s">
        <v>199</v>
      </c>
      <c r="B59" s="20" t="s">
        <v>212</v>
      </c>
      <c r="C59" s="21" t="s">
        <v>213</v>
      </c>
      <c r="D59" s="20" t="s">
        <v>58</v>
      </c>
      <c r="E59" s="22">
        <v>5</v>
      </c>
      <c r="F59" s="22">
        <v>10</v>
      </c>
      <c r="G59" s="22">
        <v>20</v>
      </c>
      <c r="H59" s="23">
        <v>0</v>
      </c>
      <c r="I59" s="23">
        <v>0</v>
      </c>
      <c r="J59" s="22">
        <v>5</v>
      </c>
      <c r="K59" s="22">
        <v>12</v>
      </c>
      <c r="L59" s="23">
        <v>0</v>
      </c>
      <c r="M59" s="21" t="s">
        <v>214</v>
      </c>
    </row>
    <row r="60" ht="15" customHeight="1">
      <c r="A60" s="19" t="s">
        <v>215</v>
      </c>
      <c r="B60" s="19"/>
      <c r="C60" s="19"/>
      <c r="D60" s="19"/>
      <c r="E60" s="19"/>
      <c r="F60" s="19"/>
      <c r="G60" s="19"/>
      <c r="H60" s="19"/>
      <c r="I60" s="19"/>
      <c r="J60" s="19"/>
      <c r="K60" s="19"/>
      <c r="L60" s="19"/>
      <c r="M60" s="19"/>
    </row>
    <row r="61" ht="13.5" customHeight="1">
      <c r="A61" s="20" t="s">
        <v>216</v>
      </c>
      <c r="B61" s="20" t="s">
        <v>217</v>
      </c>
      <c r="C61" s="21" t="s">
        <v>218</v>
      </c>
      <c r="D61" s="20" t="s">
        <v>58</v>
      </c>
      <c r="E61" s="22">
        <v>3</v>
      </c>
      <c r="F61" s="22">
        <v>8</v>
      </c>
      <c r="G61" s="22">
        <v>15</v>
      </c>
      <c r="H61" s="22">
        <v>8</v>
      </c>
      <c r="I61" s="22">
        <v>18</v>
      </c>
      <c r="J61" s="22">
        <v>5</v>
      </c>
      <c r="K61" s="22">
        <v>12</v>
      </c>
      <c r="L61" s="22">
        <v>10</v>
      </c>
      <c r="M61" s="21" t="s">
        <v>219</v>
      </c>
    </row>
    <row r="62" ht="13.5" customHeight="1">
      <c r="A62" s="24" t="s">
        <v>216</v>
      </c>
      <c r="B62" s="24" t="s">
        <v>220</v>
      </c>
      <c r="C62" s="25" t="s">
        <v>221</v>
      </c>
      <c r="D62" s="24" t="s">
        <v>73</v>
      </c>
      <c r="E62" s="27">
        <v>0</v>
      </c>
      <c r="F62" s="26">
        <v>10</v>
      </c>
      <c r="G62" s="26">
        <v>20</v>
      </c>
      <c r="H62" s="26">
        <v>15</v>
      </c>
      <c r="I62" s="26">
        <v>35</v>
      </c>
      <c r="J62" s="26">
        <v>10</v>
      </c>
      <c r="K62" s="26">
        <v>25</v>
      </c>
      <c r="L62" s="26">
        <v>35</v>
      </c>
      <c r="M62" s="25" t="s">
        <v>222</v>
      </c>
    </row>
    <row r="63" ht="13.5" customHeight="1">
      <c r="A63" s="20" t="s">
        <v>216</v>
      </c>
      <c r="B63" s="20" t="s">
        <v>223</v>
      </c>
      <c r="C63" s="21" t="s">
        <v>224</v>
      </c>
      <c r="D63" s="20" t="s">
        <v>109</v>
      </c>
      <c r="E63" s="23">
        <v>0</v>
      </c>
      <c r="F63" s="22">
        <v>5</v>
      </c>
      <c r="G63" s="22">
        <v>10</v>
      </c>
      <c r="H63" s="22">
        <v>5</v>
      </c>
      <c r="I63" s="22">
        <v>12</v>
      </c>
      <c r="J63" s="22">
        <v>3</v>
      </c>
      <c r="K63" s="22">
        <v>8</v>
      </c>
      <c r="L63" s="22">
        <v>20</v>
      </c>
      <c r="M63" s="21" t="s">
        <v>225</v>
      </c>
    </row>
    <row r="64" ht="13.5" customHeight="1">
      <c r="A64" s="24" t="s">
        <v>216</v>
      </c>
      <c r="B64" s="24" t="s">
        <v>226</v>
      </c>
      <c r="C64" s="25" t="s">
        <v>227</v>
      </c>
      <c r="D64" s="24" t="s">
        <v>58</v>
      </c>
      <c r="E64" s="26">
        <v>3</v>
      </c>
      <c r="F64" s="26">
        <v>8</v>
      </c>
      <c r="G64" s="26">
        <v>15</v>
      </c>
      <c r="H64" s="26">
        <v>10</v>
      </c>
      <c r="I64" s="26">
        <v>20</v>
      </c>
      <c r="J64" s="26">
        <v>5</v>
      </c>
      <c r="K64" s="26">
        <v>15</v>
      </c>
      <c r="L64" s="26">
        <v>25</v>
      </c>
      <c r="M64" s="25" t="s">
        <v>228</v>
      </c>
    </row>
    <row r="65" ht="13.5" customHeight="1">
      <c r="A65" s="20" t="s">
        <v>216</v>
      </c>
      <c r="B65" s="20" t="s">
        <v>229</v>
      </c>
      <c r="C65" s="21" t="s">
        <v>230</v>
      </c>
      <c r="D65" s="20" t="s">
        <v>58</v>
      </c>
      <c r="E65" s="22">
        <v>3</v>
      </c>
      <c r="F65" s="22">
        <v>6</v>
      </c>
      <c r="G65" s="22">
        <v>12</v>
      </c>
      <c r="H65" s="22">
        <v>8</v>
      </c>
      <c r="I65" s="22">
        <v>15</v>
      </c>
      <c r="J65" s="22">
        <v>5</v>
      </c>
      <c r="K65" s="22">
        <v>10</v>
      </c>
      <c r="L65" s="22">
        <v>15</v>
      </c>
      <c r="M65" s="21" t="s">
        <v>231</v>
      </c>
    </row>
    <row r="66" ht="13.5" customHeight="1">
      <c r="A66" s="24" t="s">
        <v>216</v>
      </c>
      <c r="B66" s="24" t="s">
        <v>232</v>
      </c>
      <c r="C66" s="25" t="s">
        <v>233</v>
      </c>
      <c r="D66" s="24" t="s">
        <v>58</v>
      </c>
      <c r="E66" s="26">
        <v>3</v>
      </c>
      <c r="F66" s="26">
        <v>8</v>
      </c>
      <c r="G66" s="26">
        <v>15</v>
      </c>
      <c r="H66" s="26">
        <v>10</v>
      </c>
      <c r="I66" s="26">
        <v>20</v>
      </c>
      <c r="J66" s="26">
        <v>5</v>
      </c>
      <c r="K66" s="26">
        <v>15</v>
      </c>
      <c r="L66" s="26">
        <v>20</v>
      </c>
      <c r="M66" s="25" t="s">
        <v>234</v>
      </c>
    </row>
    <row r="67" ht="13.5" customHeight="1">
      <c r="A67" s="20" t="s">
        <v>216</v>
      </c>
      <c r="B67" s="20" t="s">
        <v>235</v>
      </c>
      <c r="C67" s="21" t="s">
        <v>236</v>
      </c>
      <c r="D67" s="20" t="s">
        <v>73</v>
      </c>
      <c r="E67" s="23">
        <v>0</v>
      </c>
      <c r="F67" s="22">
        <v>3</v>
      </c>
      <c r="G67" s="22">
        <v>8</v>
      </c>
      <c r="H67" s="22">
        <v>5</v>
      </c>
      <c r="I67" s="22">
        <v>12</v>
      </c>
      <c r="J67" s="22">
        <v>3</v>
      </c>
      <c r="K67" s="22">
        <v>10</v>
      </c>
      <c r="L67" s="22">
        <v>15</v>
      </c>
      <c r="M67" s="21" t="s">
        <v>237</v>
      </c>
    </row>
    <row r="68" ht="13.5" customHeight="1">
      <c r="A68" s="24" t="s">
        <v>216</v>
      </c>
      <c r="B68" s="24" t="s">
        <v>238</v>
      </c>
      <c r="C68" s="25" t="s">
        <v>239</v>
      </c>
      <c r="D68" s="24" t="s">
        <v>58</v>
      </c>
      <c r="E68" s="27">
        <v>0</v>
      </c>
      <c r="F68" s="26">
        <v>3</v>
      </c>
      <c r="G68" s="26">
        <v>8</v>
      </c>
      <c r="H68" s="26">
        <v>3</v>
      </c>
      <c r="I68" s="26">
        <v>10</v>
      </c>
      <c r="J68" s="26">
        <v>2</v>
      </c>
      <c r="K68" s="26">
        <v>8</v>
      </c>
      <c r="L68" s="26">
        <v>12</v>
      </c>
      <c r="M68" s="25" t="s">
        <v>240</v>
      </c>
    </row>
    <row r="69" ht="13.5" customHeight="1">
      <c r="A69" s="20" t="s">
        <v>216</v>
      </c>
      <c r="B69" s="20" t="s">
        <v>241</v>
      </c>
      <c r="C69" s="21" t="s">
        <v>166</v>
      </c>
      <c r="D69" s="20" t="s">
        <v>58</v>
      </c>
      <c r="E69" s="23">
        <v>0</v>
      </c>
      <c r="F69" s="22">
        <v>2</v>
      </c>
      <c r="G69" s="22">
        <v>5</v>
      </c>
      <c r="H69" s="22">
        <v>3</v>
      </c>
      <c r="I69" s="22">
        <v>8</v>
      </c>
      <c r="J69" s="22">
        <v>2</v>
      </c>
      <c r="K69" s="22">
        <v>6</v>
      </c>
      <c r="L69" s="22">
        <v>10</v>
      </c>
      <c r="M69" s="21" t="s">
        <v>242</v>
      </c>
    </row>
    <row r="70" ht="7.5" customHeight="1"/>
    <row r="71" ht="39.75" customHeight="1">
      <c r="A71" s="28" t="s">
        <v>243</v>
      </c>
      <c r="B71" s="28"/>
      <c r="C71" s="28"/>
      <c r="D71" s="28"/>
      <c r="E71" s="28"/>
      <c r="F71" s="28"/>
      <c r="G71" s="28"/>
      <c r="H71" s="28"/>
      <c r="I71" s="28"/>
      <c r="J71" s="28"/>
      <c r="K71" s="28"/>
      <c r="L71" s="28"/>
      <c r="M71" s="28"/>
    </row>
  </sheetData>
  <mergeCells count="12">
    <mergeCell ref="A1:M1"/>
    <mergeCell ref="A2:M2"/>
    <mergeCell ref="A5:M5"/>
    <mergeCell ref="A10:M10"/>
    <mergeCell ref="A15:M15"/>
    <mergeCell ref="A24:M24"/>
    <mergeCell ref="A28:M28"/>
    <mergeCell ref="A33:M33"/>
    <mergeCell ref="A51:M51"/>
    <mergeCell ref="A54:M54"/>
    <mergeCell ref="A60:M60"/>
    <mergeCell ref="A71:M71"/>
  </mergeCells>
  <pageMargins left="0.75" right="0.75" top="1" bottom="1" header="0.5118055" footer="0.5118055"/>
  <pageSetup paperSize="9" orientation="portrait" horizontalDpi="300" verticalDpi="300"/>
</worksheet>
</file>

<file path=xl/worksheets/sheet3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244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245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247</v>
      </c>
      <c r="D4" s="31" t="s">
        <v>248</v>
      </c>
      <c r="E4" s="32" t="s">
        <v>249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500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Table'!E6*$E$5,0)</f>
        <v>15.039999999999999</v>
      </c>
      <c r="F9" s="22">
        <f>IFERROR(E9*(1-$H$5/2),0)</f>
        <v>13.3856</v>
      </c>
      <c r="G9" s="22">
        <f>IFERROR(E9*(1+$H$5/2),0)</f>
        <v>16.694400000000002</v>
      </c>
      <c r="H9" s="22">
        <f>IFERROR(F9*$B$5,0)</f>
        <v>6692.8000000000002</v>
      </c>
      <c r="I9" s="22">
        <f>IFERROR(G9*$B$5,0)</f>
        <v>8347.2000000000007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Table'!E7*$E$5,0)</f>
        <v>18.799999999999997</v>
      </c>
      <c r="F10" s="26">
        <f>IFERROR(E10*(1-$H$5/2),0)</f>
        <v>16.731999999999999</v>
      </c>
      <c r="G10" s="26">
        <f>IFERROR(E10*(1+$H$5/2),0)</f>
        <v>20.867999999999999</v>
      </c>
      <c r="H10" s="26">
        <f>IFERROR(F10*$B$5,0)</f>
        <v>8366</v>
      </c>
      <c r="I10" s="26">
        <f>IFERROR(G10*$B$5,0)</f>
        <v>10434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Table'!E8*$E$5,0)</f>
        <v>4.7000000000000002</v>
      </c>
      <c r="F11" s="22">
        <f>IFERROR(E11*(1-$H$5/2),0)</f>
        <v>4.1829999999999998</v>
      </c>
      <c r="G11" s="22">
        <f>IFERROR(E11*(1+$H$5/2),0)</f>
        <v>5.2169999999999996</v>
      </c>
      <c r="H11" s="22">
        <f>IFERROR(F11*$B$5,0)</f>
        <v>2091.5</v>
      </c>
      <c r="I11" s="22">
        <f>IFERROR(G11*$B$5,0)</f>
        <v>2608.5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Table'!E9*$E$5,0)</f>
        <v>4.7000000000000002</v>
      </c>
      <c r="F12" s="26">
        <f>IFERROR(E12*(1-$H$5/2),0)</f>
        <v>4.1829999999999998</v>
      </c>
      <c r="G12" s="26">
        <f>IFERROR(E12*(1+$H$5/2),0)</f>
        <v>5.2169999999999996</v>
      </c>
      <c r="H12" s="26">
        <f>IFERROR(F12*$B$5,0)</f>
        <v>2091.5</v>
      </c>
      <c r="I12" s="26">
        <f>IFERROR(G12*$B$5,0)</f>
        <v>2608.5</v>
      </c>
      <c r="J12" s="25" t="s">
        <v>68</v>
      </c>
    </row>
    <row r="13" ht="15.75" customHeight="1">
      <c r="A13" s="37" t="s">
        <v>261</v>
      </c>
      <c r="B13" s="37"/>
      <c r="C13" s="37"/>
      <c r="D13" s="37"/>
      <c r="E13" s="37"/>
      <c r="F13" s="37"/>
      <c r="G13" s="37"/>
      <c r="H13" s="37"/>
      <c r="I13" s="37"/>
      <c r="J13" s="37"/>
    </row>
    <row r="14" ht="13.5" customHeight="1">
      <c r="A14" s="38" t="s">
        <v>70</v>
      </c>
      <c r="B14" s="38" t="s">
        <v>71</v>
      </c>
      <c r="C14" s="39" t="s">
        <v>72</v>
      </c>
      <c r="D14" s="38" t="s">
        <v>73</v>
      </c>
      <c r="E14" s="40" t="s">
        <v>262</v>
      </c>
      <c r="F14" s="40" t="s">
        <v>262</v>
      </c>
      <c r="G14" s="40" t="s">
        <v>262</v>
      </c>
      <c r="H14" s="41">
        <v>0</v>
      </c>
      <c r="I14" s="41">
        <v>0</v>
      </c>
      <c r="J14" s="39" t="s">
        <v>74</v>
      </c>
    </row>
    <row r="15" ht="13.5" customHeight="1">
      <c r="A15" s="38" t="s">
        <v>70</v>
      </c>
      <c r="B15" s="38" t="s">
        <v>75</v>
      </c>
      <c r="C15" s="39" t="s">
        <v>76</v>
      </c>
      <c r="D15" s="38" t="s">
        <v>73</v>
      </c>
      <c r="E15" s="40" t="s">
        <v>262</v>
      </c>
      <c r="F15" s="40" t="s">
        <v>262</v>
      </c>
      <c r="G15" s="40" t="s">
        <v>262</v>
      </c>
      <c r="H15" s="41">
        <v>0</v>
      </c>
      <c r="I15" s="41">
        <v>0</v>
      </c>
      <c r="J15" s="39" t="s">
        <v>77</v>
      </c>
    </row>
    <row r="16" ht="13.5" customHeight="1">
      <c r="A16" s="38" t="s">
        <v>70</v>
      </c>
      <c r="B16" s="38" t="s">
        <v>78</v>
      </c>
      <c r="C16" s="39" t="s">
        <v>79</v>
      </c>
      <c r="D16" s="38" t="s">
        <v>73</v>
      </c>
      <c r="E16" s="40" t="s">
        <v>262</v>
      </c>
      <c r="F16" s="40" t="s">
        <v>262</v>
      </c>
      <c r="G16" s="40" t="s">
        <v>262</v>
      </c>
      <c r="H16" s="41">
        <v>0</v>
      </c>
      <c r="I16" s="41">
        <v>0</v>
      </c>
      <c r="J16" s="39" t="s">
        <v>80</v>
      </c>
    </row>
    <row r="17" ht="13.5" customHeight="1">
      <c r="A17" s="38" t="s">
        <v>70</v>
      </c>
      <c r="B17" s="38" t="s">
        <v>81</v>
      </c>
      <c r="C17" s="39" t="s">
        <v>82</v>
      </c>
      <c r="D17" s="38" t="s">
        <v>58</v>
      </c>
      <c r="E17" s="40" t="s">
        <v>262</v>
      </c>
      <c r="F17" s="40" t="s">
        <v>262</v>
      </c>
      <c r="G17" s="40" t="s">
        <v>262</v>
      </c>
      <c r="H17" s="41">
        <v>0</v>
      </c>
      <c r="I17" s="41">
        <v>0</v>
      </c>
      <c r="J17" s="39" t="s">
        <v>83</v>
      </c>
    </row>
    <row r="18" ht="15.75" customHeight="1">
      <c r="A18" s="36" t="s">
        <v>263</v>
      </c>
      <c r="B18" s="36"/>
      <c r="C18" s="36"/>
      <c r="D18" s="36"/>
      <c r="E18" s="36"/>
      <c r="F18" s="36"/>
      <c r="G18" s="36"/>
      <c r="H18" s="36"/>
      <c r="I18" s="36"/>
      <c r="J18" s="36"/>
    </row>
    <row r="19" ht="13.5" customHeight="1">
      <c r="A19" s="20" t="s">
        <v>85</v>
      </c>
      <c r="B19" s="20" t="s">
        <v>86</v>
      </c>
      <c r="C19" s="21" t="s">
        <v>87</v>
      </c>
      <c r="D19" s="20" t="s">
        <v>73</v>
      </c>
      <c r="E19" s="22">
        <f>IFERROR('Rates Reference Table'!E16*$E$5,0)</f>
        <v>0</v>
      </c>
      <c r="F19" s="22">
        <f>IFERROR(E19*(1-$H$5/2),0)</f>
        <v>0</v>
      </c>
      <c r="G19" s="22">
        <f>IFERROR(E19*(1+$H$5/2),0)</f>
        <v>0</v>
      </c>
      <c r="H19" s="22">
        <f>IFERROR(F19*$B$5,0)</f>
        <v>0</v>
      </c>
      <c r="I19" s="22">
        <f>IFERROR(G19*$B$5,0)</f>
        <v>0</v>
      </c>
      <c r="J19" s="21" t="s">
        <v>88</v>
      </c>
    </row>
    <row r="20" ht="13.5" customHeight="1">
      <c r="A20" s="24" t="s">
        <v>85</v>
      </c>
      <c r="B20" s="24" t="s">
        <v>89</v>
      </c>
      <c r="C20" s="25" t="s">
        <v>90</v>
      </c>
      <c r="D20" s="24" t="s">
        <v>73</v>
      </c>
      <c r="E20" s="26">
        <f>IFERROR('Rates Reference Table'!E17*$E$5,0)</f>
        <v>0</v>
      </c>
      <c r="F20" s="26">
        <f>IFERROR(E20*(1-$H$5/2),0)</f>
        <v>0</v>
      </c>
      <c r="G20" s="26">
        <f>IFERROR(E20*(1+$H$5/2),0)</f>
        <v>0</v>
      </c>
      <c r="H20" s="26">
        <f>IFERROR(F20*$B$5,0)</f>
        <v>0</v>
      </c>
      <c r="I20" s="26">
        <f>IFERROR(G20*$B$5,0)</f>
        <v>0</v>
      </c>
      <c r="J20" s="25" t="s">
        <v>91</v>
      </c>
    </row>
    <row r="21" ht="13.5" customHeight="1">
      <c r="A21" s="20" t="s">
        <v>85</v>
      </c>
      <c r="B21" s="20" t="s">
        <v>92</v>
      </c>
      <c r="C21" s="21" t="s">
        <v>93</v>
      </c>
      <c r="D21" s="20" t="s">
        <v>73</v>
      </c>
      <c r="E21" s="22">
        <f>IFERROR('Rates Reference Table'!E18*$E$5,0)</f>
        <v>32.899999999999999</v>
      </c>
      <c r="F21" s="22">
        <f>IFERROR(E21*(1-$H$5/2),0)</f>
        <v>29.280999999999999</v>
      </c>
      <c r="G21" s="22">
        <f>IFERROR(E21*(1+$H$5/2),0)</f>
        <v>36.518999999999998</v>
      </c>
      <c r="H21" s="22">
        <f>IFERROR(F21*$B$5,0)</f>
        <v>14640.5</v>
      </c>
      <c r="I21" s="22">
        <f>IFERROR(G21*$B$5,0)</f>
        <v>18259.5</v>
      </c>
      <c r="J21" s="21" t="s">
        <v>94</v>
      </c>
    </row>
    <row r="22" ht="13.5" customHeight="1">
      <c r="A22" s="24" t="s">
        <v>85</v>
      </c>
      <c r="B22" s="24" t="s">
        <v>95</v>
      </c>
      <c r="C22" s="25" t="s">
        <v>96</v>
      </c>
      <c r="D22" s="24" t="s">
        <v>58</v>
      </c>
      <c r="E22" s="26">
        <f>IFERROR('Rates Reference Table'!E19*$E$5,0)</f>
        <v>9.4000000000000004</v>
      </c>
      <c r="F22" s="26">
        <f>IFERROR(E22*(1-$H$5/2),0)</f>
        <v>8.3659999999999997</v>
      </c>
      <c r="G22" s="26">
        <f>IFERROR(E22*(1+$H$5/2),0)</f>
        <v>10.433999999999999</v>
      </c>
      <c r="H22" s="26">
        <f>IFERROR(F22*$B$5,0)</f>
        <v>4183</v>
      </c>
      <c r="I22" s="26">
        <f>IFERROR(G22*$B$5,0)</f>
        <v>5217</v>
      </c>
      <c r="J22" s="25" t="s">
        <v>97</v>
      </c>
    </row>
    <row r="23" ht="13.5" customHeight="1">
      <c r="A23" s="20" t="s">
        <v>85</v>
      </c>
      <c r="B23" s="20" t="s">
        <v>98</v>
      </c>
      <c r="C23" s="21" t="s">
        <v>99</v>
      </c>
      <c r="D23" s="20" t="s">
        <v>73</v>
      </c>
      <c r="E23" s="22">
        <f>IFERROR('Rates Reference Table'!E20*$E$5,0)</f>
        <v>28.199999999999999</v>
      </c>
      <c r="F23" s="22">
        <f>IFERROR(E23*(1-$H$5/2),0)</f>
        <v>25.097999999999999</v>
      </c>
      <c r="G23" s="22">
        <f>IFERROR(E23*(1+$H$5/2),0)</f>
        <v>31.302</v>
      </c>
      <c r="H23" s="22">
        <f>IFERROR(F23*$B$5,0)</f>
        <v>12549</v>
      </c>
      <c r="I23" s="22">
        <f>IFERROR(G23*$B$5,0)</f>
        <v>15651</v>
      </c>
      <c r="J23" s="21" t="s">
        <v>100</v>
      </c>
    </row>
    <row r="24" ht="13.5" customHeight="1">
      <c r="A24" s="24" t="s">
        <v>85</v>
      </c>
      <c r="B24" s="24" t="s">
        <v>101</v>
      </c>
      <c r="C24" s="25" t="s">
        <v>102</v>
      </c>
      <c r="D24" s="24" t="s">
        <v>73</v>
      </c>
      <c r="E24" s="26">
        <f>IFERROR('Rates Reference Table'!E21*$E$5,0)</f>
        <v>75.200000000000003</v>
      </c>
      <c r="F24" s="26">
        <f>IFERROR(E24*(1-$H$5/2),0)</f>
        <v>66.927999999999997</v>
      </c>
      <c r="G24" s="26">
        <f>IFERROR(E24*(1+$H$5/2),0)</f>
        <v>83.471999999999994</v>
      </c>
      <c r="H24" s="26">
        <f>IFERROR(F24*$B$5,0)</f>
        <v>33464</v>
      </c>
      <c r="I24" s="26">
        <f>IFERROR(G24*$B$5,0)</f>
        <v>41736</v>
      </c>
      <c r="J24" s="25" t="s">
        <v>103</v>
      </c>
    </row>
    <row r="25" ht="13.5" customHeight="1">
      <c r="A25" s="20" t="s">
        <v>85</v>
      </c>
      <c r="B25" s="20" t="s">
        <v>104</v>
      </c>
      <c r="C25" s="21" t="s">
        <v>105</v>
      </c>
      <c r="D25" s="20" t="s">
        <v>73</v>
      </c>
      <c r="E25" s="22">
        <f>IFERROR('Rates Reference Table'!E22*$E$5,0)</f>
        <v>18.800000000000001</v>
      </c>
      <c r="F25" s="22">
        <f>IFERROR(E25*(1-$H$5/2),0)</f>
        <v>16.731999999999999</v>
      </c>
      <c r="G25" s="22">
        <f>IFERROR(E25*(1+$H$5/2),0)</f>
        <v>20.867999999999999</v>
      </c>
      <c r="H25" s="22">
        <f>IFERROR(F25*$B$5,0)</f>
        <v>8366</v>
      </c>
      <c r="I25" s="22">
        <f>IFERROR(G25*$B$5,0)</f>
        <v>10434</v>
      </c>
      <c r="J25" s="21" t="s">
        <v>106</v>
      </c>
    </row>
    <row r="26" ht="13.5" customHeight="1">
      <c r="A26" s="24" t="s">
        <v>85</v>
      </c>
      <c r="B26" s="24" t="s">
        <v>107</v>
      </c>
      <c r="C26" s="25" t="s">
        <v>108</v>
      </c>
      <c r="D26" s="24" t="s">
        <v>109</v>
      </c>
      <c r="E26" s="26">
        <f>IFERROR('Rates Reference Table'!E23*$E$5,0)</f>
        <v>14.1</v>
      </c>
      <c r="F26" s="26">
        <f>IFERROR(E26*(1-$H$5/2),0)</f>
        <v>12.548999999999999</v>
      </c>
      <c r="G26" s="26">
        <f>IFERROR(E26*(1+$H$5/2),0)</f>
        <v>15.651</v>
      </c>
      <c r="H26" s="26">
        <f>IFERROR(F26*$B$5,0)</f>
        <v>6274.5</v>
      </c>
      <c r="I26" s="26">
        <f>IFERROR(G26*$B$5,0)</f>
        <v>7825.5</v>
      </c>
      <c r="J26" s="25" t="s">
        <v>110</v>
      </c>
    </row>
    <row r="27" ht="15.75" customHeight="1">
      <c r="A27" s="36" t="s">
        <v>264</v>
      </c>
      <c r="B27" s="36"/>
      <c r="C27" s="36"/>
      <c r="D27" s="36"/>
      <c r="E27" s="36"/>
      <c r="F27" s="36"/>
      <c r="G27" s="36"/>
      <c r="H27" s="36"/>
      <c r="I27" s="36"/>
      <c r="J27" s="36"/>
    </row>
    <row r="28" ht="13.5" customHeight="1">
      <c r="A28" s="20" t="s">
        <v>112</v>
      </c>
      <c r="B28" s="20" t="s">
        <v>113</v>
      </c>
      <c r="C28" s="21" t="s">
        <v>114</v>
      </c>
      <c r="D28" s="20" t="s">
        <v>73</v>
      </c>
      <c r="E28" s="22">
        <f>IFERROR('Rates Reference Table'!E25*$E$5,0)</f>
        <v>14.1</v>
      </c>
      <c r="F28" s="22">
        <f>IFERROR(E28*(1-$H$5/2),0)</f>
        <v>12.548999999999999</v>
      </c>
      <c r="G28" s="22">
        <f>IFERROR(E28*(1+$H$5/2),0)</f>
        <v>15.651</v>
      </c>
      <c r="H28" s="22">
        <f>IFERROR(F28*$B$5,0)</f>
        <v>6274.5</v>
      </c>
      <c r="I28" s="22">
        <f>IFERROR(G28*$B$5,0)</f>
        <v>7825.5</v>
      </c>
      <c r="J28" s="21" t="s">
        <v>115</v>
      </c>
    </row>
    <row r="29" ht="13.5" customHeight="1">
      <c r="A29" s="24" t="s">
        <v>112</v>
      </c>
      <c r="B29" s="24" t="s">
        <v>116</v>
      </c>
      <c r="C29" s="25" t="s">
        <v>117</v>
      </c>
      <c r="D29" s="24" t="s">
        <v>73</v>
      </c>
      <c r="E29" s="26">
        <f>IFERROR('Rates Reference Table'!E26*$E$5,0)</f>
        <v>18.800000000000001</v>
      </c>
      <c r="F29" s="26">
        <f>IFERROR(E29*(1-$H$5/2),0)</f>
        <v>16.731999999999999</v>
      </c>
      <c r="G29" s="26">
        <f>IFERROR(E29*(1+$H$5/2),0)</f>
        <v>20.867999999999999</v>
      </c>
      <c r="H29" s="26">
        <f>IFERROR(F29*$B$5,0)</f>
        <v>8366</v>
      </c>
      <c r="I29" s="26">
        <f>IFERROR(G29*$B$5,0)</f>
        <v>10434</v>
      </c>
      <c r="J29" s="25" t="s">
        <v>118</v>
      </c>
    </row>
    <row r="30" ht="13.5" customHeight="1">
      <c r="A30" s="20" t="s">
        <v>112</v>
      </c>
      <c r="B30" s="20" t="s">
        <v>119</v>
      </c>
      <c r="C30" s="21" t="s">
        <v>120</v>
      </c>
      <c r="D30" s="20" t="s">
        <v>73</v>
      </c>
      <c r="E30" s="22">
        <f>IFERROR('Rates Reference Table'!E27*$E$5,0)</f>
        <v>9.4000000000000004</v>
      </c>
      <c r="F30" s="22">
        <f>IFERROR(E30*(1-$H$5/2),0)</f>
        <v>8.3659999999999997</v>
      </c>
      <c r="G30" s="22">
        <f>IFERROR(E30*(1+$H$5/2),0)</f>
        <v>10.433999999999999</v>
      </c>
      <c r="H30" s="22">
        <f>IFERROR(F30*$B$5,0)</f>
        <v>4183</v>
      </c>
      <c r="I30" s="22">
        <f>IFERROR(G30*$B$5,0)</f>
        <v>5217</v>
      </c>
      <c r="J30" s="21" t="s">
        <v>121</v>
      </c>
    </row>
    <row r="31" ht="15.75" customHeight="1">
      <c r="A31" s="36" t="s">
        <v>265</v>
      </c>
      <c r="B31" s="36"/>
      <c r="C31" s="36"/>
      <c r="D31" s="36"/>
      <c r="E31" s="36"/>
      <c r="F31" s="36"/>
      <c r="G31" s="36"/>
      <c r="H31" s="36"/>
      <c r="I31" s="36"/>
      <c r="J31" s="36"/>
    </row>
    <row r="32" ht="13.5" customHeight="1">
      <c r="A32" s="20" t="s">
        <v>123</v>
      </c>
      <c r="B32" s="20" t="s">
        <v>124</v>
      </c>
      <c r="C32" s="21" t="s">
        <v>125</v>
      </c>
      <c r="D32" s="20" t="s">
        <v>58</v>
      </c>
      <c r="E32" s="22">
        <f>IFERROR('Rates Reference Table'!E29*$E$5,0)</f>
        <v>9.4000000000000004</v>
      </c>
      <c r="F32" s="22">
        <f>IFERROR(E32*(1-$H$5/2),0)</f>
        <v>8.3659999999999997</v>
      </c>
      <c r="G32" s="22">
        <f>IFERROR(E32*(1+$H$5/2),0)</f>
        <v>10.433999999999999</v>
      </c>
      <c r="H32" s="22">
        <f>IFERROR(F32*$B$5,0)</f>
        <v>4183</v>
      </c>
      <c r="I32" s="22">
        <f>IFERROR(G32*$B$5,0)</f>
        <v>5217</v>
      </c>
      <c r="J32" s="21" t="s">
        <v>126</v>
      </c>
    </row>
    <row r="33" ht="13.5" customHeight="1">
      <c r="A33" s="24" t="s">
        <v>123</v>
      </c>
      <c r="B33" s="24" t="s">
        <v>127</v>
      </c>
      <c r="C33" s="25" t="s">
        <v>128</v>
      </c>
      <c r="D33" s="24" t="s">
        <v>109</v>
      </c>
      <c r="E33" s="26">
        <f>IFERROR('Rates Reference Table'!E30*$E$5,0)</f>
        <v>7.5199999999999996</v>
      </c>
      <c r="F33" s="26">
        <f>IFERROR(E33*(1-$H$5/2),0)</f>
        <v>6.6928000000000001</v>
      </c>
      <c r="G33" s="26">
        <f>IFERROR(E33*(1+$H$5/2),0)</f>
        <v>8.3472000000000008</v>
      </c>
      <c r="H33" s="26">
        <f>IFERROR(F33*$B$5,0)</f>
        <v>3346.4000000000001</v>
      </c>
      <c r="I33" s="26">
        <f>IFERROR(G33*$B$5,0)</f>
        <v>4173.6000000000004</v>
      </c>
      <c r="J33" s="25" t="s">
        <v>129</v>
      </c>
    </row>
    <row r="34" ht="13.5" customHeight="1">
      <c r="A34" s="20" t="s">
        <v>123</v>
      </c>
      <c r="B34" s="20" t="s">
        <v>130</v>
      </c>
      <c r="C34" s="21" t="s">
        <v>131</v>
      </c>
      <c r="D34" s="20" t="s">
        <v>58</v>
      </c>
      <c r="E34" s="22">
        <f>IFERROR('Rates Reference Table'!E31*$E$5,0)</f>
        <v>4.7000000000000002</v>
      </c>
      <c r="F34" s="22">
        <f>IFERROR(E34*(1-$H$5/2),0)</f>
        <v>4.1829999999999998</v>
      </c>
      <c r="G34" s="22">
        <f>IFERROR(E34*(1+$H$5/2),0)</f>
        <v>5.2169999999999996</v>
      </c>
      <c r="H34" s="22">
        <f>IFERROR(F34*$B$5,0)</f>
        <v>2091.5</v>
      </c>
      <c r="I34" s="22">
        <f>IFERROR(G34*$B$5,0)</f>
        <v>2608.5</v>
      </c>
      <c r="J34" s="21" t="s">
        <v>132</v>
      </c>
    </row>
    <row r="35" ht="13.5" customHeight="1">
      <c r="A35" s="24" t="s">
        <v>123</v>
      </c>
      <c r="B35" s="24" t="s">
        <v>133</v>
      </c>
      <c r="C35" s="25" t="s">
        <v>134</v>
      </c>
      <c r="D35" s="24" t="s">
        <v>58</v>
      </c>
      <c r="E35" s="26">
        <f>IFERROR('Rates Reference Table'!E32*$E$5,0)</f>
        <v>0</v>
      </c>
      <c r="F35" s="26">
        <f>IFERROR(E35*(1-$H$5/2),0)</f>
        <v>0</v>
      </c>
      <c r="G35" s="26">
        <f>IFERROR(E35*(1+$H$5/2),0)</f>
        <v>0</v>
      </c>
      <c r="H35" s="26">
        <f>IFERROR(F35*$B$5,0)</f>
        <v>0</v>
      </c>
      <c r="I35" s="26">
        <f>IFERROR(G35*$B$5,0)</f>
        <v>0</v>
      </c>
      <c r="J35" s="25" t="s">
        <v>135</v>
      </c>
    </row>
    <row r="36" ht="15.75" customHeight="1">
      <c r="A36" s="36" t="s">
        <v>266</v>
      </c>
      <c r="B36" s="36"/>
      <c r="C36" s="36"/>
      <c r="D36" s="36"/>
      <c r="E36" s="36"/>
      <c r="F36" s="36"/>
      <c r="G36" s="36"/>
      <c r="H36" s="36"/>
      <c r="I36" s="36"/>
      <c r="J36" s="36"/>
    </row>
    <row r="37" ht="13.5" customHeight="1">
      <c r="A37" s="20" t="s">
        <v>137</v>
      </c>
      <c r="B37" s="20" t="s">
        <v>138</v>
      </c>
      <c r="C37" s="21" t="s">
        <v>139</v>
      </c>
      <c r="D37" s="20" t="s">
        <v>73</v>
      </c>
      <c r="E37" s="22">
        <f>IFERROR('Rates Reference Table'!E34*$E$5,0)</f>
        <v>14.1</v>
      </c>
      <c r="F37" s="22">
        <f>IFERROR(E37*(1-$H$5/2),0)</f>
        <v>12.548999999999999</v>
      </c>
      <c r="G37" s="22">
        <f>IFERROR(E37*(1+$H$5/2),0)</f>
        <v>15.651</v>
      </c>
      <c r="H37" s="22">
        <f>IFERROR(F37*$B$5,0)</f>
        <v>6274.5</v>
      </c>
      <c r="I37" s="22">
        <f>IFERROR(G37*$B$5,0)</f>
        <v>7825.5</v>
      </c>
      <c r="J37" s="21" t="s">
        <v>140</v>
      </c>
    </row>
    <row r="38" ht="13.5" customHeight="1">
      <c r="A38" s="24" t="s">
        <v>137</v>
      </c>
      <c r="B38" s="24" t="s">
        <v>141</v>
      </c>
      <c r="C38" s="25" t="s">
        <v>142</v>
      </c>
      <c r="D38" s="24" t="s">
        <v>73</v>
      </c>
      <c r="E38" s="26">
        <f>IFERROR('Rates Reference Table'!E35*$E$5,0)</f>
        <v>23.5</v>
      </c>
      <c r="F38" s="26">
        <f>IFERROR(E38*(1-$H$5/2),0)</f>
        <v>20.914999999999999</v>
      </c>
      <c r="G38" s="26">
        <f>IFERROR(E38*(1+$H$5/2),0)</f>
        <v>26.085000000000001</v>
      </c>
      <c r="H38" s="26">
        <f>IFERROR(F38*$B$5,0)</f>
        <v>10457.5</v>
      </c>
      <c r="I38" s="26">
        <f>IFERROR(G38*$B$5,0)</f>
        <v>13042.5</v>
      </c>
      <c r="J38" s="25" t="s">
        <v>143</v>
      </c>
    </row>
    <row r="39" ht="13.5" customHeight="1">
      <c r="A39" s="20" t="s">
        <v>137</v>
      </c>
      <c r="B39" s="20" t="s">
        <v>144</v>
      </c>
      <c r="C39" s="21" t="s">
        <v>145</v>
      </c>
      <c r="D39" s="20" t="s">
        <v>73</v>
      </c>
      <c r="E39" s="22">
        <f>IFERROR('Rates Reference Table'!E36*$E$5,0)</f>
        <v>18.800000000000001</v>
      </c>
      <c r="F39" s="22">
        <f>IFERROR(E39*(1-$H$5/2),0)</f>
        <v>16.731999999999999</v>
      </c>
      <c r="G39" s="22">
        <f>IFERROR(E39*(1+$H$5/2),0)</f>
        <v>20.867999999999999</v>
      </c>
      <c r="H39" s="22">
        <f>IFERROR(F39*$B$5,0)</f>
        <v>8366</v>
      </c>
      <c r="I39" s="22">
        <f>IFERROR(G39*$B$5,0)</f>
        <v>10434</v>
      </c>
      <c r="J39" s="21" t="s">
        <v>146</v>
      </c>
    </row>
    <row r="40" ht="13.5" customHeight="1">
      <c r="A40" s="24" t="s">
        <v>137</v>
      </c>
      <c r="B40" s="24" t="s">
        <v>147</v>
      </c>
      <c r="C40" s="25" t="s">
        <v>148</v>
      </c>
      <c r="D40" s="24" t="s">
        <v>73</v>
      </c>
      <c r="E40" s="26">
        <f>IFERROR('Rates Reference Table'!E37*$E$5,0)</f>
        <v>0</v>
      </c>
      <c r="F40" s="26">
        <f>IFERROR(E40*(1-$H$5/2),0)</f>
        <v>0</v>
      </c>
      <c r="G40" s="26">
        <f>IFERROR(E40*(1+$H$5/2),0)</f>
        <v>0</v>
      </c>
      <c r="H40" s="26">
        <f>IFERROR(F40*$B$5,0)</f>
        <v>0</v>
      </c>
      <c r="I40" s="26">
        <f>IFERROR(G40*$B$5,0)</f>
        <v>0</v>
      </c>
      <c r="J40" s="25" t="s">
        <v>149</v>
      </c>
    </row>
    <row r="41" ht="13.5" customHeight="1">
      <c r="A41" s="20" t="s">
        <v>137</v>
      </c>
      <c r="B41" s="20" t="s">
        <v>150</v>
      </c>
      <c r="C41" s="21" t="s">
        <v>151</v>
      </c>
      <c r="D41" s="20" t="s">
        <v>58</v>
      </c>
      <c r="E41" s="22">
        <f>IFERROR('Rates Reference Table'!E38*$E$5,0)</f>
        <v>4.7000000000000002</v>
      </c>
      <c r="F41" s="22">
        <f>IFERROR(E41*(1-$H$5/2),0)</f>
        <v>4.1829999999999998</v>
      </c>
      <c r="G41" s="22">
        <f>IFERROR(E41*(1+$H$5/2),0)</f>
        <v>5.2169999999999996</v>
      </c>
      <c r="H41" s="22">
        <f>IFERROR(F41*$B$5,0)</f>
        <v>2091.5</v>
      </c>
      <c r="I41" s="22">
        <f>IFERROR(G41*$B$5,0)</f>
        <v>2608.5</v>
      </c>
      <c r="J41" s="21" t="s">
        <v>152</v>
      </c>
    </row>
    <row r="42" ht="13.5" customHeight="1">
      <c r="A42" s="24" t="s">
        <v>137</v>
      </c>
      <c r="B42" s="24" t="s">
        <v>153</v>
      </c>
      <c r="C42" s="25" t="s">
        <v>154</v>
      </c>
      <c r="D42" s="24" t="s">
        <v>73</v>
      </c>
      <c r="E42" s="26">
        <f>IFERROR('Rates Reference Table'!E39*$E$5,0)</f>
        <v>0</v>
      </c>
      <c r="F42" s="26">
        <f>IFERROR(E42*(1-$H$5/2),0)</f>
        <v>0</v>
      </c>
      <c r="G42" s="26">
        <f>IFERROR(E42*(1+$H$5/2),0)</f>
        <v>0</v>
      </c>
      <c r="H42" s="26">
        <f>IFERROR(F42*$B$5,0)</f>
        <v>0</v>
      </c>
      <c r="I42" s="26">
        <f>IFERROR(G42*$B$5,0)</f>
        <v>0</v>
      </c>
      <c r="J42" s="25" t="s">
        <v>155</v>
      </c>
    </row>
    <row r="43" ht="13.5" customHeight="1">
      <c r="A43" s="20" t="s">
        <v>137</v>
      </c>
      <c r="B43" s="20" t="s">
        <v>156</v>
      </c>
      <c r="C43" s="21" t="s">
        <v>157</v>
      </c>
      <c r="D43" s="20" t="s">
        <v>73</v>
      </c>
      <c r="E43" s="22">
        <f>IFERROR('Rates Reference Table'!E40*$E$5,0)</f>
        <v>14.1</v>
      </c>
      <c r="F43" s="22">
        <f>IFERROR(E43*(1-$H$5/2),0)</f>
        <v>12.548999999999999</v>
      </c>
      <c r="G43" s="22">
        <f>IFERROR(E43*(1+$H$5/2),0)</f>
        <v>15.651</v>
      </c>
      <c r="H43" s="22">
        <f>IFERROR(F43*$B$5,0)</f>
        <v>6274.5</v>
      </c>
      <c r="I43" s="22">
        <f>IFERROR(G43*$B$5,0)</f>
        <v>7825.5</v>
      </c>
      <c r="J43" s="21" t="s">
        <v>158</v>
      </c>
    </row>
    <row r="44" ht="13.5" customHeight="1">
      <c r="A44" s="24" t="s">
        <v>137</v>
      </c>
      <c r="B44" s="24" t="s">
        <v>159</v>
      </c>
      <c r="C44" s="25" t="s">
        <v>160</v>
      </c>
      <c r="D44" s="24" t="s">
        <v>73</v>
      </c>
      <c r="E44" s="26">
        <f>IFERROR('Rates Reference Table'!E41*$E$5,0)</f>
        <v>18.800000000000001</v>
      </c>
      <c r="F44" s="26">
        <f>IFERROR(E44*(1-$H$5/2),0)</f>
        <v>16.731999999999999</v>
      </c>
      <c r="G44" s="26">
        <f>IFERROR(E44*(1+$H$5/2),0)</f>
        <v>20.867999999999999</v>
      </c>
      <c r="H44" s="26">
        <f>IFERROR(F44*$B$5,0)</f>
        <v>8366</v>
      </c>
      <c r="I44" s="26">
        <f>IFERROR(G44*$B$5,0)</f>
        <v>10434</v>
      </c>
      <c r="J44" s="25" t="s">
        <v>161</v>
      </c>
    </row>
    <row r="45" ht="13.5" customHeight="1">
      <c r="A45" s="20" t="s">
        <v>137</v>
      </c>
      <c r="B45" s="20" t="s">
        <v>162</v>
      </c>
      <c r="C45" s="21" t="s">
        <v>163</v>
      </c>
      <c r="D45" s="20" t="s">
        <v>73</v>
      </c>
      <c r="E45" s="22">
        <f>IFERROR('Rates Reference Table'!E42*$E$5,0)</f>
        <v>9.4000000000000004</v>
      </c>
      <c r="F45" s="22">
        <f>IFERROR(E45*(1-$H$5/2),0)</f>
        <v>8.3659999999999997</v>
      </c>
      <c r="G45" s="22">
        <f>IFERROR(E45*(1+$H$5/2),0)</f>
        <v>10.433999999999999</v>
      </c>
      <c r="H45" s="22">
        <f>IFERROR(F45*$B$5,0)</f>
        <v>4183</v>
      </c>
      <c r="I45" s="22">
        <f>IFERROR(G45*$B$5,0)</f>
        <v>5217</v>
      </c>
      <c r="J45" s="21" t="s">
        <v>164</v>
      </c>
    </row>
    <row r="46" ht="13.5" customHeight="1">
      <c r="A46" s="24" t="s">
        <v>137</v>
      </c>
      <c r="B46" s="24" t="s">
        <v>165</v>
      </c>
      <c r="C46" s="25" t="s">
        <v>166</v>
      </c>
      <c r="D46" s="24" t="s">
        <v>58</v>
      </c>
      <c r="E46" s="26">
        <f>IFERROR('Rates Reference Table'!E43*$E$5,0)</f>
        <v>0</v>
      </c>
      <c r="F46" s="26">
        <f>IFERROR(E46*(1-$H$5/2),0)</f>
        <v>0</v>
      </c>
      <c r="G46" s="26">
        <f>IFERROR(E46*(1+$H$5/2),0)</f>
        <v>0</v>
      </c>
      <c r="H46" s="26">
        <f>IFERROR(F46*$B$5,0)</f>
        <v>0</v>
      </c>
      <c r="I46" s="26">
        <f>IFERROR(G46*$B$5,0)</f>
        <v>0</v>
      </c>
      <c r="J46" s="25" t="s">
        <v>167</v>
      </c>
    </row>
    <row r="47" ht="13.5" customHeight="1">
      <c r="A47" s="20" t="s">
        <v>137</v>
      </c>
      <c r="B47" s="20" t="s">
        <v>168</v>
      </c>
      <c r="C47" s="21" t="s">
        <v>169</v>
      </c>
      <c r="D47" s="20" t="s">
        <v>170</v>
      </c>
      <c r="E47" s="22">
        <f>IFERROR('Rates Reference Table'!E44*$E$5,0)</f>
        <v>0</v>
      </c>
      <c r="F47" s="22">
        <f>IFERROR(E47*(1-$H$5/2),0)</f>
        <v>0</v>
      </c>
      <c r="G47" s="22">
        <f>IFERROR(E47*(1+$H$5/2),0)</f>
        <v>0</v>
      </c>
      <c r="H47" s="22">
        <f>IFERROR(F47*$B$5,0)</f>
        <v>0</v>
      </c>
      <c r="I47" s="22">
        <f>IFERROR(G47*$B$5,0)</f>
        <v>0</v>
      </c>
      <c r="J47" s="21" t="s">
        <v>171</v>
      </c>
    </row>
    <row r="48" ht="13.5" customHeight="1">
      <c r="A48" s="24" t="s">
        <v>137</v>
      </c>
      <c r="B48" s="24" t="s">
        <v>172</v>
      </c>
      <c r="C48" s="25" t="s">
        <v>173</v>
      </c>
      <c r="D48" s="24" t="s">
        <v>109</v>
      </c>
      <c r="E48" s="26">
        <f>IFERROR('Rates Reference Table'!E45*$E$5,0)</f>
        <v>0</v>
      </c>
      <c r="F48" s="26">
        <f>IFERROR(E48*(1-$H$5/2),0)</f>
        <v>0</v>
      </c>
      <c r="G48" s="26">
        <f>IFERROR(E48*(1+$H$5/2),0)</f>
        <v>0</v>
      </c>
      <c r="H48" s="26">
        <f>IFERROR(F48*$B$5,0)</f>
        <v>0</v>
      </c>
      <c r="I48" s="26">
        <f>IFERROR(G48*$B$5,0)</f>
        <v>0</v>
      </c>
      <c r="J48" s="25" t="s">
        <v>174</v>
      </c>
    </row>
    <row r="49" ht="13.5" customHeight="1">
      <c r="A49" s="20" t="s">
        <v>137</v>
      </c>
      <c r="B49" s="20" t="s">
        <v>175</v>
      </c>
      <c r="C49" s="21" t="s">
        <v>176</v>
      </c>
      <c r="D49" s="20" t="s">
        <v>73</v>
      </c>
      <c r="E49" s="22">
        <f>IFERROR('Rates Reference Table'!E46*$E$5,0)</f>
        <v>7.5199999999999996</v>
      </c>
      <c r="F49" s="22">
        <f>IFERROR(E49*(1-$H$5/2),0)</f>
        <v>6.6928000000000001</v>
      </c>
      <c r="G49" s="22">
        <f>IFERROR(E49*(1+$H$5/2),0)</f>
        <v>8.3472000000000008</v>
      </c>
      <c r="H49" s="22">
        <f>IFERROR(F49*$B$5,0)</f>
        <v>3346.4000000000001</v>
      </c>
      <c r="I49" s="22">
        <f>IFERROR(G49*$B$5,0)</f>
        <v>4173.6000000000004</v>
      </c>
      <c r="J49" s="21" t="s">
        <v>177</v>
      </c>
    </row>
    <row r="50" ht="13.5" customHeight="1">
      <c r="A50" s="24" t="s">
        <v>137</v>
      </c>
      <c r="B50" s="24" t="s">
        <v>178</v>
      </c>
      <c r="C50" s="25" t="s">
        <v>179</v>
      </c>
      <c r="D50" s="24" t="s">
        <v>58</v>
      </c>
      <c r="E50" s="26">
        <f>IFERROR('Rates Reference Table'!E47*$E$5,0)</f>
        <v>0</v>
      </c>
      <c r="F50" s="26">
        <f>IFERROR(E50*(1-$H$5/2),0)</f>
        <v>0</v>
      </c>
      <c r="G50" s="26">
        <f>IFERROR(E50*(1+$H$5/2),0)</f>
        <v>0</v>
      </c>
      <c r="H50" s="26">
        <f>IFERROR(F50*$B$5,0)</f>
        <v>0</v>
      </c>
      <c r="I50" s="26">
        <f>IFERROR(G50*$B$5,0)</f>
        <v>0</v>
      </c>
      <c r="J50" s="25" t="s">
        <v>180</v>
      </c>
    </row>
    <row r="51" ht="13.5" customHeight="1">
      <c r="A51" s="20" t="s">
        <v>137</v>
      </c>
      <c r="B51" s="20" t="s">
        <v>181</v>
      </c>
      <c r="C51" s="21" t="s">
        <v>182</v>
      </c>
      <c r="D51" s="20" t="s">
        <v>73</v>
      </c>
      <c r="E51" s="22">
        <f>IFERROR('Rates Reference Table'!E48*$E$5,0)</f>
        <v>4.7000000000000002</v>
      </c>
      <c r="F51" s="22">
        <f>IFERROR(E51*(1-$H$5/2),0)</f>
        <v>4.1829999999999998</v>
      </c>
      <c r="G51" s="22">
        <f>IFERROR(E51*(1+$H$5/2),0)</f>
        <v>5.2169999999999996</v>
      </c>
      <c r="H51" s="22">
        <f>IFERROR(F51*$B$5,0)</f>
        <v>2091.5</v>
      </c>
      <c r="I51" s="22">
        <f>IFERROR(G51*$B$5,0)</f>
        <v>2608.5</v>
      </c>
      <c r="J51" s="21" t="s">
        <v>183</v>
      </c>
    </row>
    <row r="52" ht="13.5" customHeight="1">
      <c r="A52" s="24" t="s">
        <v>137</v>
      </c>
      <c r="B52" s="24" t="s">
        <v>184</v>
      </c>
      <c r="C52" s="25" t="s">
        <v>185</v>
      </c>
      <c r="D52" s="24" t="s">
        <v>109</v>
      </c>
      <c r="E52" s="26">
        <f>IFERROR('Rates Reference Table'!E49*$E$5,0)</f>
        <v>47</v>
      </c>
      <c r="F52" s="26">
        <f>IFERROR(E52*(1-$H$5/2),0)</f>
        <v>41.829999999999998</v>
      </c>
      <c r="G52" s="26">
        <f>IFERROR(E52*(1+$H$5/2),0)</f>
        <v>52.170000000000002</v>
      </c>
      <c r="H52" s="26">
        <f>IFERROR(F52*$B$5,0)</f>
        <v>20915</v>
      </c>
      <c r="I52" s="26">
        <f>IFERROR(G52*$B$5,0)</f>
        <v>26085</v>
      </c>
      <c r="J52" s="25" t="s">
        <v>186</v>
      </c>
    </row>
    <row r="53" ht="13.5" customHeight="1">
      <c r="A53" s="20" t="s">
        <v>137</v>
      </c>
      <c r="B53" s="20" t="s">
        <v>187</v>
      </c>
      <c r="C53" s="21" t="s">
        <v>188</v>
      </c>
      <c r="D53" s="20" t="s">
        <v>73</v>
      </c>
      <c r="E53" s="22">
        <f>IFERROR('Rates Reference Table'!E50*$E$5,0)</f>
        <v>4.7000000000000002</v>
      </c>
      <c r="F53" s="22">
        <f>IFERROR(E53*(1-$H$5/2),0)</f>
        <v>4.1829999999999998</v>
      </c>
      <c r="G53" s="22">
        <f>IFERROR(E53*(1+$H$5/2),0)</f>
        <v>5.2169999999999996</v>
      </c>
      <c r="H53" s="22">
        <f>IFERROR(F53*$B$5,0)</f>
        <v>2091.5</v>
      </c>
      <c r="I53" s="22">
        <f>IFERROR(G53*$B$5,0)</f>
        <v>2608.5</v>
      </c>
      <c r="J53" s="21" t="s">
        <v>189</v>
      </c>
    </row>
    <row r="54" ht="15.75" customHeight="1">
      <c r="A54" s="37" t="s">
        <v>267</v>
      </c>
      <c r="B54" s="37"/>
      <c r="C54" s="37"/>
      <c r="D54" s="37"/>
      <c r="E54" s="37"/>
      <c r="F54" s="37"/>
      <c r="G54" s="37"/>
      <c r="H54" s="37"/>
      <c r="I54" s="37"/>
      <c r="J54" s="37"/>
    </row>
    <row r="55" ht="13.5" customHeight="1">
      <c r="A55" s="38" t="s">
        <v>191</v>
      </c>
      <c r="B55" s="38" t="s">
        <v>192</v>
      </c>
      <c r="C55" s="39" t="s">
        <v>193</v>
      </c>
      <c r="D55" s="38" t="s">
        <v>58</v>
      </c>
      <c r="E55" s="40" t="s">
        <v>262</v>
      </c>
      <c r="F55" s="40" t="s">
        <v>262</v>
      </c>
      <c r="G55" s="40" t="s">
        <v>262</v>
      </c>
      <c r="H55" s="41">
        <v>0</v>
      </c>
      <c r="I55" s="41">
        <v>0</v>
      </c>
      <c r="J55" s="39" t="s">
        <v>194</v>
      </c>
    </row>
    <row r="56" ht="13.5" customHeight="1">
      <c r="A56" s="38" t="s">
        <v>191</v>
      </c>
      <c r="B56" s="38" t="s">
        <v>195</v>
      </c>
      <c r="C56" s="39" t="s">
        <v>196</v>
      </c>
      <c r="D56" s="38" t="s">
        <v>58</v>
      </c>
      <c r="E56" s="40" t="s">
        <v>262</v>
      </c>
      <c r="F56" s="40" t="s">
        <v>262</v>
      </c>
      <c r="G56" s="40" t="s">
        <v>262</v>
      </c>
      <c r="H56" s="41">
        <v>0</v>
      </c>
      <c r="I56" s="41">
        <v>0</v>
      </c>
      <c r="J56" s="39" t="s">
        <v>197</v>
      </c>
    </row>
    <row r="57" ht="15.75" customHeight="1">
      <c r="A57" s="36" t="s">
        <v>268</v>
      </c>
      <c r="B57" s="36"/>
      <c r="C57" s="36"/>
      <c r="D57" s="36"/>
      <c r="E57" s="36"/>
      <c r="F57" s="36"/>
      <c r="G57" s="36"/>
      <c r="H57" s="36"/>
      <c r="I57" s="36"/>
      <c r="J57" s="36"/>
    </row>
    <row r="58" ht="13.5" customHeight="1">
      <c r="A58" s="20" t="s">
        <v>199</v>
      </c>
      <c r="B58" s="20" t="s">
        <v>200</v>
      </c>
      <c r="C58" s="21" t="s">
        <v>201</v>
      </c>
      <c r="D58" s="20" t="s">
        <v>58</v>
      </c>
      <c r="E58" s="22">
        <f>IFERROR('Rates Reference Table'!E55*$E$5,0)</f>
        <v>9.4000000000000004</v>
      </c>
      <c r="F58" s="22">
        <f>IFERROR(E58*(1-$H$5/2),0)</f>
        <v>8.3659999999999997</v>
      </c>
      <c r="G58" s="22">
        <f>IFERROR(E58*(1+$H$5/2),0)</f>
        <v>10.433999999999999</v>
      </c>
      <c r="H58" s="22">
        <f>IFERROR(F58*$B$5,0)</f>
        <v>4183</v>
      </c>
      <c r="I58" s="22">
        <f>IFERROR(G58*$B$5,0)</f>
        <v>5217</v>
      </c>
      <c r="J58" s="21" t="s">
        <v>202</v>
      </c>
    </row>
    <row r="59" ht="13.5" customHeight="1">
      <c r="A59" s="24" t="s">
        <v>199</v>
      </c>
      <c r="B59" s="24" t="s">
        <v>203</v>
      </c>
      <c r="C59" s="25" t="s">
        <v>204</v>
      </c>
      <c r="D59" s="24" t="s">
        <v>58</v>
      </c>
      <c r="E59" s="26">
        <f>IFERROR('Rates Reference Table'!E56*$E$5,0)</f>
        <v>9.4000000000000004</v>
      </c>
      <c r="F59" s="26">
        <f>IFERROR(E59*(1-$H$5/2),0)</f>
        <v>8.3659999999999997</v>
      </c>
      <c r="G59" s="26">
        <f>IFERROR(E59*(1+$H$5/2),0)</f>
        <v>10.433999999999999</v>
      </c>
      <c r="H59" s="26">
        <f>IFERROR(F59*$B$5,0)</f>
        <v>4183</v>
      </c>
      <c r="I59" s="26">
        <f>IFERROR(G59*$B$5,0)</f>
        <v>5217</v>
      </c>
      <c r="J59" s="25" t="s">
        <v>205</v>
      </c>
    </row>
    <row r="60" ht="13.5" customHeight="1">
      <c r="A60" s="20" t="s">
        <v>199</v>
      </c>
      <c r="B60" s="20" t="s">
        <v>206</v>
      </c>
      <c r="C60" s="21" t="s">
        <v>207</v>
      </c>
      <c r="D60" s="20" t="s">
        <v>58</v>
      </c>
      <c r="E60" s="22">
        <f>IFERROR('Rates Reference Table'!E57*$E$5,0)</f>
        <v>4.7000000000000002</v>
      </c>
      <c r="F60" s="22">
        <f>IFERROR(E60*(1-$H$5/2),0)</f>
        <v>4.1829999999999998</v>
      </c>
      <c r="G60" s="22">
        <f>IFERROR(E60*(1+$H$5/2),0)</f>
        <v>5.2169999999999996</v>
      </c>
      <c r="H60" s="22">
        <f>IFERROR(F60*$B$5,0)</f>
        <v>2091.5</v>
      </c>
      <c r="I60" s="22">
        <f>IFERROR(G60*$B$5,0)</f>
        <v>2608.5</v>
      </c>
      <c r="J60" s="21" t="s">
        <v>208</v>
      </c>
    </row>
    <row r="61" ht="13.5" customHeight="1">
      <c r="A61" s="24" t="s">
        <v>199</v>
      </c>
      <c r="B61" s="24" t="s">
        <v>209</v>
      </c>
      <c r="C61" s="25" t="s">
        <v>210</v>
      </c>
      <c r="D61" s="24" t="s">
        <v>58</v>
      </c>
      <c r="E61" s="26">
        <f>IFERROR('Rates Reference Table'!E58*$E$5,0)</f>
        <v>0</v>
      </c>
      <c r="F61" s="26">
        <f>IFERROR(E61*(1-$H$5/2),0)</f>
        <v>0</v>
      </c>
      <c r="G61" s="26">
        <f>IFERROR(E61*(1+$H$5/2),0)</f>
        <v>0</v>
      </c>
      <c r="H61" s="26">
        <f>IFERROR(F61*$B$5,0)</f>
        <v>0</v>
      </c>
      <c r="I61" s="26">
        <f>IFERROR(G61*$B$5,0)</f>
        <v>0</v>
      </c>
      <c r="J61" s="25" t="s">
        <v>211</v>
      </c>
    </row>
    <row r="62" ht="13.5" customHeight="1">
      <c r="A62" s="20" t="s">
        <v>199</v>
      </c>
      <c r="B62" s="20" t="s">
        <v>212</v>
      </c>
      <c r="C62" s="21" t="s">
        <v>213</v>
      </c>
      <c r="D62" s="20" t="s">
        <v>58</v>
      </c>
      <c r="E62" s="22">
        <f>IFERROR('Rates Reference Table'!E59*$E$5,0)</f>
        <v>4.7000000000000002</v>
      </c>
      <c r="F62" s="22">
        <f>IFERROR(E62*(1-$H$5/2),0)</f>
        <v>4.1829999999999998</v>
      </c>
      <c r="G62" s="22">
        <f>IFERROR(E62*(1+$H$5/2),0)</f>
        <v>5.2169999999999996</v>
      </c>
      <c r="H62" s="22">
        <f>IFERROR(F62*$B$5,0)</f>
        <v>2091.5</v>
      </c>
      <c r="I62" s="22">
        <f>IFERROR(G62*$B$5,0)</f>
        <v>2608.5</v>
      </c>
      <c r="J62" s="21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Table'!E61*$E$5,0)</f>
        <v>2.8199999999999998</v>
      </c>
      <c r="F64" s="22">
        <f>IFERROR(E64*(1-$H$5/2),0)</f>
        <v>2.5097999999999998</v>
      </c>
      <c r="G64" s="22">
        <f>IFERROR(E64*(1+$H$5/2),0)</f>
        <v>3.1301999999999999</v>
      </c>
      <c r="H64" s="22">
        <f>IFERROR(F64*$B$5,0)</f>
        <v>1254.9000000000001</v>
      </c>
      <c r="I64" s="22">
        <f>IFERROR(G64*$B$5,0)</f>
        <v>1565.0999999999999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Table'!E62*$E$5,0)</f>
        <v>0</v>
      </c>
      <c r="F65" s="26">
        <f>IFERROR(E65*(1-$H$5/2),0)</f>
        <v>0</v>
      </c>
      <c r="G65" s="26">
        <f>IFERROR(E65*(1+$H$5/2),0)</f>
        <v>0</v>
      </c>
      <c r="H65" s="26">
        <f>IFERROR(F65*$B$5,0)</f>
        <v>0</v>
      </c>
      <c r="I65" s="26">
        <f>IFERROR(G65*$B$5,0)</f>
        <v>0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Table'!E63*$E$5,0)</f>
        <v>0</v>
      </c>
      <c r="F66" s="22">
        <f>IFERROR(E66*(1-$H$5/2),0)</f>
        <v>0</v>
      </c>
      <c r="G66" s="22">
        <f>IFERROR(E66*(1+$H$5/2),0)</f>
        <v>0</v>
      </c>
      <c r="H66" s="22">
        <f>IFERROR(F66*$B$5,0)</f>
        <v>0</v>
      </c>
      <c r="I66" s="22">
        <f>IFERROR(G66*$B$5,0)</f>
        <v>0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Table'!E64*$E$5,0)</f>
        <v>2.8199999999999998</v>
      </c>
      <c r="F67" s="26">
        <f>IFERROR(E67*(1-$H$5/2),0)</f>
        <v>2.5097999999999998</v>
      </c>
      <c r="G67" s="26">
        <f>IFERROR(E67*(1+$H$5/2),0)</f>
        <v>3.1301999999999999</v>
      </c>
      <c r="H67" s="26">
        <f>IFERROR(F67*$B$5,0)</f>
        <v>1254.9000000000001</v>
      </c>
      <c r="I67" s="26">
        <f>IFERROR(G67*$B$5,0)</f>
        <v>1565.0999999999999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Table'!E65*$E$5,0)</f>
        <v>2.8199999999999998</v>
      </c>
      <c r="F68" s="22">
        <f>IFERROR(E68*(1-$H$5/2),0)</f>
        <v>2.5097999999999998</v>
      </c>
      <c r="G68" s="22">
        <f>IFERROR(E68*(1+$H$5/2),0)</f>
        <v>3.1301999999999999</v>
      </c>
      <c r="H68" s="22">
        <f>IFERROR(F68*$B$5,0)</f>
        <v>1254.9000000000001</v>
      </c>
      <c r="I68" s="22">
        <f>IFERROR(G68*$B$5,0)</f>
        <v>1565.0999999999999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Table'!E66*$E$5,0)</f>
        <v>2.8199999999999998</v>
      </c>
      <c r="F69" s="26">
        <f>IFERROR(E69*(1-$H$5/2),0)</f>
        <v>2.5097999999999998</v>
      </c>
      <c r="G69" s="26">
        <f>IFERROR(E69*(1+$H$5/2),0)</f>
        <v>3.1301999999999999</v>
      </c>
      <c r="H69" s="26">
        <f>IFERROR(F69*$B$5,0)</f>
        <v>1254.9000000000001</v>
      </c>
      <c r="I69" s="26">
        <f>IFERROR(G69*$B$5,0)</f>
        <v>1565.0999999999999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Table'!E67*$E$5,0)</f>
        <v>0</v>
      </c>
      <c r="F70" s="22">
        <f>IFERROR(E70*(1-$H$5/2),0)</f>
        <v>0</v>
      </c>
      <c r="G70" s="22">
        <f>IFERROR(E70*(1+$H$5/2),0)</f>
        <v>0</v>
      </c>
      <c r="H70" s="22">
        <f>IFERROR(F70*$B$5,0)</f>
        <v>0</v>
      </c>
      <c r="I70" s="22">
        <f>IFERROR(G70*$B$5,0)</f>
        <v>0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Table'!E68*$E$5,0)</f>
        <v>0</v>
      </c>
      <c r="F71" s="26">
        <f>IFERROR(E71*(1-$H$5/2),0)</f>
        <v>0</v>
      </c>
      <c r="G71" s="26">
        <f>IFERROR(E71*(1+$H$5/2),0)</f>
        <v>0</v>
      </c>
      <c r="H71" s="26">
        <f>IFERROR(F71*$B$5,0)</f>
        <v>0</v>
      </c>
      <c r="I71" s="26">
        <f>IFERROR(G71*$B$5,0)</f>
        <v>0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Table'!E69*$E$5,0)</f>
        <v>0</v>
      </c>
      <c r="F72" s="22">
        <f>IFERROR(E72*(1-$H$5/2),0)</f>
        <v>0</v>
      </c>
      <c r="G72" s="22">
        <f>IFERROR(E72*(1+$H$5/2),0)</f>
        <v>0</v>
      </c>
      <c r="H72" s="22">
        <f>IFERROR(F72*$B$5,0)</f>
        <v>0</v>
      </c>
      <c r="I72" s="22">
        <f>IFERROR(G72*$B$5,0)</f>
        <v>0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219189.19999999998</v>
      </c>
      <c r="I73" s="43">
        <f>SUMPRODUCT((I8:I72&gt;0)*I8:I72)</f>
        <v>273370.79999999993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17535.135999999999</v>
      </c>
      <c r="I77" s="22">
        <f>IFERROR(G77*I73,0)</f>
        <v>27337.079999999994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17535.135999999999</v>
      </c>
      <c r="I78" s="26">
        <f>IFERROR(G78*I73,0)</f>
        <v>32804.495999999992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254259.47199999998</v>
      </c>
      <c r="I79" s="43">
        <f>I73+I77+I78</f>
        <v>333512.37599999993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12712.973599999999</v>
      </c>
      <c r="I80" s="26">
        <f>IFERROR(G80*I79,0)</f>
        <v>50026.85639999999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5085.1894400000001</v>
      </c>
      <c r="I81" s="22">
        <f>IFERROR(G81*I79,0)</f>
        <v>13340.495039999998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10959.459999999999</v>
      </c>
      <c r="I82" s="51">
        <f>IFERROR(G82*I73,0)</f>
        <v>27337.079999999994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10959.459999999999</v>
      </c>
      <c r="I83" s="55">
        <f>IFERROR(0.05*I73,0)</f>
        <v>13668.539999999997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4383.7839999999997</v>
      </c>
      <c r="I84" s="26">
        <f>IFERROR(G84*I73,0)</f>
        <v>32804.495999999992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298360.33903999999</v>
      </c>
      <c r="I85" s="57">
        <f>I79+I80+I81+I82+I83+I84</f>
        <v>470689.84343999991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59672.067808</v>
      </c>
      <c r="I86" s="61">
        <f>IFERROR(0.2*I85,0)</f>
        <v>94137.968687999994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438.37839999999994</v>
      </c>
      <c r="F88" s="64"/>
      <c r="G88" s="65">
        <f>IFERROR(I73/$B$5,0)</f>
        <v>546.74159999999983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4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311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312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247</v>
      </c>
      <c r="D4" s="31" t="s">
        <v>248</v>
      </c>
      <c r="E4" s="32" t="s">
        <v>313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500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Table'!F6*$E$5,0)</f>
        <v>23.5</v>
      </c>
      <c r="F9" s="22">
        <f>IFERROR(E9*(1-$H$5/2),0)</f>
        <v>20.914999999999999</v>
      </c>
      <c r="G9" s="22">
        <f>IFERROR(E9*(1+$H$5/2),0)</f>
        <v>26.085000000000001</v>
      </c>
      <c r="H9" s="22">
        <f>IFERROR(F9*$B$5,0)</f>
        <v>10457.5</v>
      </c>
      <c r="I9" s="22">
        <f>IFERROR(G9*$B$5,0)</f>
        <v>13042.5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Table'!F7*$E$5,0)</f>
        <v>32.899999999999999</v>
      </c>
      <c r="F10" s="26">
        <f>IFERROR(E10*(1-$H$5/2),0)</f>
        <v>29.280999999999999</v>
      </c>
      <c r="G10" s="26">
        <f>IFERROR(E10*(1+$H$5/2),0)</f>
        <v>36.518999999999998</v>
      </c>
      <c r="H10" s="26">
        <f>IFERROR(F10*$B$5,0)</f>
        <v>14640.5</v>
      </c>
      <c r="I10" s="26">
        <f>IFERROR(G10*$B$5,0)</f>
        <v>18259.5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Table'!F8*$E$5,0)</f>
        <v>9.4000000000000004</v>
      </c>
      <c r="F11" s="22">
        <f>IFERROR(E11*(1-$H$5/2),0)</f>
        <v>8.3659999999999997</v>
      </c>
      <c r="G11" s="22">
        <f>IFERROR(E11*(1+$H$5/2),0)</f>
        <v>10.433999999999999</v>
      </c>
      <c r="H11" s="22">
        <f>IFERROR(F11*$B$5,0)</f>
        <v>4183</v>
      </c>
      <c r="I11" s="22">
        <f>IFERROR(G11*$B$5,0)</f>
        <v>5217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Table'!F9*$E$5,0)</f>
        <v>7.5199999999999996</v>
      </c>
      <c r="F12" s="26">
        <f>IFERROR(E12*(1-$H$5/2),0)</f>
        <v>6.6928000000000001</v>
      </c>
      <c r="G12" s="26">
        <f>IFERROR(E12*(1+$H$5/2),0)</f>
        <v>8.3472000000000008</v>
      </c>
      <c r="H12" s="26">
        <f>IFERROR(F12*$B$5,0)</f>
        <v>3346.4000000000001</v>
      </c>
      <c r="I12" s="26">
        <f>IFERROR(G12*$B$5,0)</f>
        <v>4173.6000000000004</v>
      </c>
      <c r="J12" s="25" t="s">
        <v>68</v>
      </c>
    </row>
    <row r="13" ht="15.75" customHeight="1">
      <c r="A13" s="37" t="s">
        <v>261</v>
      </c>
      <c r="B13" s="37"/>
      <c r="C13" s="37"/>
      <c r="D13" s="37"/>
      <c r="E13" s="37"/>
      <c r="F13" s="37"/>
      <c r="G13" s="37"/>
      <c r="H13" s="37"/>
      <c r="I13" s="37"/>
      <c r="J13" s="37"/>
    </row>
    <row r="14" ht="13.5" customHeight="1">
      <c r="A14" s="38" t="s">
        <v>70</v>
      </c>
      <c r="B14" s="38" t="s">
        <v>71</v>
      </c>
      <c r="C14" s="39" t="s">
        <v>72</v>
      </c>
      <c r="D14" s="38" t="s">
        <v>73</v>
      </c>
      <c r="E14" s="40" t="s">
        <v>262</v>
      </c>
      <c r="F14" s="40" t="s">
        <v>262</v>
      </c>
      <c r="G14" s="40" t="s">
        <v>262</v>
      </c>
      <c r="H14" s="41">
        <v>0</v>
      </c>
      <c r="I14" s="41">
        <v>0</v>
      </c>
      <c r="J14" s="39" t="s">
        <v>74</v>
      </c>
    </row>
    <row r="15" ht="13.5" customHeight="1">
      <c r="A15" s="38" t="s">
        <v>70</v>
      </c>
      <c r="B15" s="38" t="s">
        <v>75</v>
      </c>
      <c r="C15" s="39" t="s">
        <v>76</v>
      </c>
      <c r="D15" s="38" t="s">
        <v>73</v>
      </c>
      <c r="E15" s="40" t="s">
        <v>262</v>
      </c>
      <c r="F15" s="40" t="s">
        <v>262</v>
      </c>
      <c r="G15" s="40" t="s">
        <v>262</v>
      </c>
      <c r="H15" s="41">
        <v>0</v>
      </c>
      <c r="I15" s="41">
        <v>0</v>
      </c>
      <c r="J15" s="39" t="s">
        <v>77</v>
      </c>
    </row>
    <row r="16" ht="13.5" customHeight="1">
      <c r="A16" s="38" t="s">
        <v>70</v>
      </c>
      <c r="B16" s="38" t="s">
        <v>78</v>
      </c>
      <c r="C16" s="39" t="s">
        <v>79</v>
      </c>
      <c r="D16" s="38" t="s">
        <v>73</v>
      </c>
      <c r="E16" s="40" t="s">
        <v>262</v>
      </c>
      <c r="F16" s="40" t="s">
        <v>262</v>
      </c>
      <c r="G16" s="40" t="s">
        <v>262</v>
      </c>
      <c r="H16" s="41">
        <v>0</v>
      </c>
      <c r="I16" s="41">
        <v>0</v>
      </c>
      <c r="J16" s="39" t="s">
        <v>80</v>
      </c>
    </row>
    <row r="17" ht="13.5" customHeight="1">
      <c r="A17" s="38" t="s">
        <v>70</v>
      </c>
      <c r="B17" s="38" t="s">
        <v>81</v>
      </c>
      <c r="C17" s="39" t="s">
        <v>82</v>
      </c>
      <c r="D17" s="38" t="s">
        <v>58</v>
      </c>
      <c r="E17" s="40" t="s">
        <v>262</v>
      </c>
      <c r="F17" s="40" t="s">
        <v>262</v>
      </c>
      <c r="G17" s="40" t="s">
        <v>262</v>
      </c>
      <c r="H17" s="41">
        <v>0</v>
      </c>
      <c r="I17" s="41">
        <v>0</v>
      </c>
      <c r="J17" s="39" t="s">
        <v>83</v>
      </c>
    </row>
    <row r="18" ht="15.75" customHeight="1">
      <c r="A18" s="36" t="s">
        <v>263</v>
      </c>
      <c r="B18" s="36"/>
      <c r="C18" s="36"/>
      <c r="D18" s="36"/>
      <c r="E18" s="36"/>
      <c r="F18" s="36"/>
      <c r="G18" s="36"/>
      <c r="H18" s="36"/>
      <c r="I18" s="36"/>
      <c r="J18" s="36"/>
    </row>
    <row r="19" ht="13.5" customHeight="1">
      <c r="A19" s="20" t="s">
        <v>85</v>
      </c>
      <c r="B19" s="20" t="s">
        <v>86</v>
      </c>
      <c r="C19" s="21" t="s">
        <v>87</v>
      </c>
      <c r="D19" s="20" t="s">
        <v>73</v>
      </c>
      <c r="E19" s="22">
        <f>IFERROR('Rates Reference Table'!F16*$E$5,0)</f>
        <v>18.800000000000001</v>
      </c>
      <c r="F19" s="22">
        <f>IFERROR(E19*(1-$H$5/2),0)</f>
        <v>16.731999999999999</v>
      </c>
      <c r="G19" s="22">
        <f>IFERROR(E19*(1+$H$5/2),0)</f>
        <v>20.867999999999999</v>
      </c>
      <c r="H19" s="22">
        <f>IFERROR(F19*$B$5,0)</f>
        <v>8366</v>
      </c>
      <c r="I19" s="22">
        <f>IFERROR(G19*$B$5,0)</f>
        <v>10434</v>
      </c>
      <c r="J19" s="21" t="s">
        <v>88</v>
      </c>
    </row>
    <row r="20" ht="13.5" customHeight="1">
      <c r="A20" s="24" t="s">
        <v>85</v>
      </c>
      <c r="B20" s="24" t="s">
        <v>89</v>
      </c>
      <c r="C20" s="25" t="s">
        <v>90</v>
      </c>
      <c r="D20" s="24" t="s">
        <v>73</v>
      </c>
      <c r="E20" s="26">
        <f>IFERROR('Rates Reference Table'!F17*$E$5,0)</f>
        <v>14.1</v>
      </c>
      <c r="F20" s="26">
        <f>IFERROR(E20*(1-$H$5/2),0)</f>
        <v>12.548999999999999</v>
      </c>
      <c r="G20" s="26">
        <f>IFERROR(E20*(1+$H$5/2),0)</f>
        <v>15.651</v>
      </c>
      <c r="H20" s="26">
        <f>IFERROR(F20*$B$5,0)</f>
        <v>6274.5</v>
      </c>
      <c r="I20" s="26">
        <f>IFERROR(G20*$B$5,0)</f>
        <v>7825.5</v>
      </c>
      <c r="J20" s="25" t="s">
        <v>91</v>
      </c>
    </row>
    <row r="21" ht="13.5" customHeight="1">
      <c r="A21" s="20" t="s">
        <v>85</v>
      </c>
      <c r="B21" s="20" t="s">
        <v>92</v>
      </c>
      <c r="C21" s="21" t="s">
        <v>93</v>
      </c>
      <c r="D21" s="20" t="s">
        <v>73</v>
      </c>
      <c r="E21" s="22">
        <f>IFERROR('Rates Reference Table'!F18*$E$5,0)</f>
        <v>51.700000000000003</v>
      </c>
      <c r="F21" s="22">
        <f>IFERROR(E21*(1-$H$5/2),0)</f>
        <v>46.012999999999998</v>
      </c>
      <c r="G21" s="22">
        <f>IFERROR(E21*(1+$H$5/2),0)</f>
        <v>57.387</v>
      </c>
      <c r="H21" s="22">
        <f>IFERROR(F21*$B$5,0)</f>
        <v>23006.5</v>
      </c>
      <c r="I21" s="22">
        <f>IFERROR(G21*$B$5,0)</f>
        <v>28693.5</v>
      </c>
      <c r="J21" s="21" t="s">
        <v>94</v>
      </c>
    </row>
    <row r="22" ht="13.5" customHeight="1">
      <c r="A22" s="24" t="s">
        <v>85</v>
      </c>
      <c r="B22" s="24" t="s">
        <v>95</v>
      </c>
      <c r="C22" s="25" t="s">
        <v>96</v>
      </c>
      <c r="D22" s="24" t="s">
        <v>58</v>
      </c>
      <c r="E22" s="26">
        <f>IFERROR('Rates Reference Table'!F19*$E$5,0)</f>
        <v>14.1</v>
      </c>
      <c r="F22" s="26">
        <f>IFERROR(E22*(1-$H$5/2),0)</f>
        <v>12.548999999999999</v>
      </c>
      <c r="G22" s="26">
        <f>IFERROR(E22*(1+$H$5/2),0)</f>
        <v>15.651</v>
      </c>
      <c r="H22" s="26">
        <f>IFERROR(F22*$B$5,0)</f>
        <v>6274.5</v>
      </c>
      <c r="I22" s="26">
        <f>IFERROR(G22*$B$5,0)</f>
        <v>7825.5</v>
      </c>
      <c r="J22" s="25" t="s">
        <v>97</v>
      </c>
    </row>
    <row r="23" ht="13.5" customHeight="1">
      <c r="A23" s="20" t="s">
        <v>85</v>
      </c>
      <c r="B23" s="20" t="s">
        <v>98</v>
      </c>
      <c r="C23" s="21" t="s">
        <v>99</v>
      </c>
      <c r="D23" s="20" t="s">
        <v>73</v>
      </c>
      <c r="E23" s="22">
        <f>IFERROR('Rates Reference Table'!F20*$E$5,0)</f>
        <v>56.399999999999999</v>
      </c>
      <c r="F23" s="22">
        <f>IFERROR(E23*(1-$H$5/2),0)</f>
        <v>50.195999999999998</v>
      </c>
      <c r="G23" s="22">
        <f>IFERROR(E23*(1+$H$5/2),0)</f>
        <v>62.603999999999999</v>
      </c>
      <c r="H23" s="22">
        <f>IFERROR(F23*$B$5,0)</f>
        <v>25098</v>
      </c>
      <c r="I23" s="22">
        <f>IFERROR(G23*$B$5,0)</f>
        <v>31302</v>
      </c>
      <c r="J23" s="21" t="s">
        <v>100</v>
      </c>
    </row>
    <row r="24" ht="13.5" customHeight="1">
      <c r="A24" s="24" t="s">
        <v>85</v>
      </c>
      <c r="B24" s="24" t="s">
        <v>101</v>
      </c>
      <c r="C24" s="25" t="s">
        <v>102</v>
      </c>
      <c r="D24" s="24" t="s">
        <v>73</v>
      </c>
      <c r="E24" s="26">
        <f>IFERROR('Rates Reference Table'!F21*$E$5,0)</f>
        <v>122.2</v>
      </c>
      <c r="F24" s="26">
        <f>IFERROR(E24*(1-$H$5/2),0)</f>
        <v>108.758</v>
      </c>
      <c r="G24" s="26">
        <f>IFERROR(E24*(1+$H$5/2),0)</f>
        <v>135.642</v>
      </c>
      <c r="H24" s="26">
        <f>IFERROR(F24*$B$5,0)</f>
        <v>54379</v>
      </c>
      <c r="I24" s="26">
        <f>IFERROR(G24*$B$5,0)</f>
        <v>67821</v>
      </c>
      <c r="J24" s="25" t="s">
        <v>103</v>
      </c>
    </row>
    <row r="25" ht="13.5" customHeight="1">
      <c r="A25" s="20" t="s">
        <v>85</v>
      </c>
      <c r="B25" s="20" t="s">
        <v>104</v>
      </c>
      <c r="C25" s="21" t="s">
        <v>105</v>
      </c>
      <c r="D25" s="20" t="s">
        <v>73</v>
      </c>
      <c r="E25" s="22">
        <f>IFERROR('Rates Reference Table'!F22*$E$5,0)</f>
        <v>32.899999999999999</v>
      </c>
      <c r="F25" s="22">
        <f>IFERROR(E25*(1-$H$5/2),0)</f>
        <v>29.280999999999999</v>
      </c>
      <c r="G25" s="22">
        <f>IFERROR(E25*(1+$H$5/2),0)</f>
        <v>36.518999999999998</v>
      </c>
      <c r="H25" s="22">
        <f>IFERROR(F25*$B$5,0)</f>
        <v>14640.5</v>
      </c>
      <c r="I25" s="22">
        <f>IFERROR(G25*$B$5,0)</f>
        <v>18259.5</v>
      </c>
      <c r="J25" s="21" t="s">
        <v>106</v>
      </c>
    </row>
    <row r="26" ht="13.5" customHeight="1">
      <c r="A26" s="24" t="s">
        <v>85</v>
      </c>
      <c r="B26" s="24" t="s">
        <v>107</v>
      </c>
      <c r="C26" s="25" t="s">
        <v>108</v>
      </c>
      <c r="D26" s="24" t="s">
        <v>109</v>
      </c>
      <c r="E26" s="26">
        <f>IFERROR('Rates Reference Table'!F23*$E$5,0)</f>
        <v>23.5</v>
      </c>
      <c r="F26" s="26">
        <f>IFERROR(E26*(1-$H$5/2),0)</f>
        <v>20.914999999999999</v>
      </c>
      <c r="G26" s="26">
        <f>IFERROR(E26*(1+$H$5/2),0)</f>
        <v>26.085000000000001</v>
      </c>
      <c r="H26" s="26">
        <f>IFERROR(F26*$B$5,0)</f>
        <v>10457.5</v>
      </c>
      <c r="I26" s="26">
        <f>IFERROR(G26*$B$5,0)</f>
        <v>13042.5</v>
      </c>
      <c r="J26" s="25" t="s">
        <v>110</v>
      </c>
    </row>
    <row r="27" ht="15.75" customHeight="1">
      <c r="A27" s="36" t="s">
        <v>264</v>
      </c>
      <c r="B27" s="36"/>
      <c r="C27" s="36"/>
      <c r="D27" s="36"/>
      <c r="E27" s="36"/>
      <c r="F27" s="36"/>
      <c r="G27" s="36"/>
      <c r="H27" s="36"/>
      <c r="I27" s="36"/>
      <c r="J27" s="36"/>
    </row>
    <row r="28" ht="13.5" customHeight="1">
      <c r="A28" s="20" t="s">
        <v>112</v>
      </c>
      <c r="B28" s="20" t="s">
        <v>113</v>
      </c>
      <c r="C28" s="21" t="s">
        <v>114</v>
      </c>
      <c r="D28" s="20" t="s">
        <v>73</v>
      </c>
      <c r="E28" s="22">
        <f>IFERROR('Rates Reference Table'!F25*$E$5,0)</f>
        <v>32.899999999999999</v>
      </c>
      <c r="F28" s="22">
        <f>IFERROR(E28*(1-$H$5/2),0)</f>
        <v>29.280999999999999</v>
      </c>
      <c r="G28" s="22">
        <f>IFERROR(E28*(1+$H$5/2),0)</f>
        <v>36.518999999999998</v>
      </c>
      <c r="H28" s="22">
        <f>IFERROR(F28*$B$5,0)</f>
        <v>14640.5</v>
      </c>
      <c r="I28" s="22">
        <f>IFERROR(G28*$B$5,0)</f>
        <v>18259.5</v>
      </c>
      <c r="J28" s="21" t="s">
        <v>115</v>
      </c>
    </row>
    <row r="29" ht="13.5" customHeight="1">
      <c r="A29" s="24" t="s">
        <v>112</v>
      </c>
      <c r="B29" s="24" t="s">
        <v>116</v>
      </c>
      <c r="C29" s="25" t="s">
        <v>117</v>
      </c>
      <c r="D29" s="24" t="s">
        <v>73</v>
      </c>
      <c r="E29" s="26">
        <f>IFERROR('Rates Reference Table'!F26*$E$5,0)</f>
        <v>51.700000000000003</v>
      </c>
      <c r="F29" s="26">
        <f>IFERROR(E29*(1-$H$5/2),0)</f>
        <v>46.012999999999998</v>
      </c>
      <c r="G29" s="26">
        <f>IFERROR(E29*(1+$H$5/2),0)</f>
        <v>57.387</v>
      </c>
      <c r="H29" s="26">
        <f>IFERROR(F29*$B$5,0)</f>
        <v>23006.5</v>
      </c>
      <c r="I29" s="26">
        <f>IFERROR(G29*$B$5,0)</f>
        <v>28693.5</v>
      </c>
      <c r="J29" s="25" t="s">
        <v>118</v>
      </c>
    </row>
    <row r="30" ht="13.5" customHeight="1">
      <c r="A30" s="20" t="s">
        <v>112</v>
      </c>
      <c r="B30" s="20" t="s">
        <v>119</v>
      </c>
      <c r="C30" s="21" t="s">
        <v>120</v>
      </c>
      <c r="D30" s="20" t="s">
        <v>73</v>
      </c>
      <c r="E30" s="22">
        <f>IFERROR('Rates Reference Table'!F27*$E$5,0)</f>
        <v>28.199999999999999</v>
      </c>
      <c r="F30" s="22">
        <f>IFERROR(E30*(1-$H$5/2),0)</f>
        <v>25.097999999999999</v>
      </c>
      <c r="G30" s="22">
        <f>IFERROR(E30*(1+$H$5/2),0)</f>
        <v>31.302</v>
      </c>
      <c r="H30" s="22">
        <f>IFERROR(F30*$B$5,0)</f>
        <v>12549</v>
      </c>
      <c r="I30" s="22">
        <f>IFERROR(G30*$B$5,0)</f>
        <v>15651</v>
      </c>
      <c r="J30" s="21" t="s">
        <v>121</v>
      </c>
    </row>
    <row r="31" ht="15.75" customHeight="1">
      <c r="A31" s="36" t="s">
        <v>265</v>
      </c>
      <c r="B31" s="36"/>
      <c r="C31" s="36"/>
      <c r="D31" s="36"/>
      <c r="E31" s="36"/>
      <c r="F31" s="36"/>
      <c r="G31" s="36"/>
      <c r="H31" s="36"/>
      <c r="I31" s="36"/>
      <c r="J31" s="36"/>
    </row>
    <row r="32" ht="13.5" customHeight="1">
      <c r="A32" s="20" t="s">
        <v>123</v>
      </c>
      <c r="B32" s="20" t="s">
        <v>124</v>
      </c>
      <c r="C32" s="21" t="s">
        <v>125</v>
      </c>
      <c r="D32" s="20" t="s">
        <v>58</v>
      </c>
      <c r="E32" s="22">
        <f>IFERROR('Rates Reference Table'!F29*$E$5,0)</f>
        <v>28.199999999999999</v>
      </c>
      <c r="F32" s="22">
        <f>IFERROR(E32*(1-$H$5/2),0)</f>
        <v>25.097999999999999</v>
      </c>
      <c r="G32" s="22">
        <f>IFERROR(E32*(1+$H$5/2),0)</f>
        <v>31.302</v>
      </c>
      <c r="H32" s="22">
        <f>IFERROR(F32*$B$5,0)</f>
        <v>12549</v>
      </c>
      <c r="I32" s="22">
        <f>IFERROR(G32*$B$5,0)</f>
        <v>15651</v>
      </c>
      <c r="J32" s="21" t="s">
        <v>126</v>
      </c>
    </row>
    <row r="33" ht="13.5" customHeight="1">
      <c r="A33" s="24" t="s">
        <v>123</v>
      </c>
      <c r="B33" s="24" t="s">
        <v>127</v>
      </c>
      <c r="C33" s="25" t="s">
        <v>128</v>
      </c>
      <c r="D33" s="24" t="s">
        <v>109</v>
      </c>
      <c r="E33" s="26">
        <f>IFERROR('Rates Reference Table'!F30*$E$5,0)</f>
        <v>16.920000000000002</v>
      </c>
      <c r="F33" s="26">
        <f>IFERROR(E33*(1-$H$5/2),0)</f>
        <v>15.0588</v>
      </c>
      <c r="G33" s="26">
        <f>IFERROR(E33*(1+$H$5/2),0)</f>
        <v>18.781199999999998</v>
      </c>
      <c r="H33" s="26">
        <f>IFERROR(F33*$B$5,0)</f>
        <v>7529.3999999999996</v>
      </c>
      <c r="I33" s="26">
        <f>IFERROR(G33*$B$5,0)</f>
        <v>9390.6000000000004</v>
      </c>
      <c r="J33" s="25" t="s">
        <v>129</v>
      </c>
    </row>
    <row r="34" ht="13.5" customHeight="1">
      <c r="A34" s="20" t="s">
        <v>123</v>
      </c>
      <c r="B34" s="20" t="s">
        <v>130</v>
      </c>
      <c r="C34" s="21" t="s">
        <v>131</v>
      </c>
      <c r="D34" s="20" t="s">
        <v>58</v>
      </c>
      <c r="E34" s="22">
        <f>IFERROR('Rates Reference Table'!F31*$E$5,0)</f>
        <v>14.1</v>
      </c>
      <c r="F34" s="22">
        <f>IFERROR(E34*(1-$H$5/2),0)</f>
        <v>12.548999999999999</v>
      </c>
      <c r="G34" s="22">
        <f>IFERROR(E34*(1+$H$5/2),0)</f>
        <v>15.651</v>
      </c>
      <c r="H34" s="22">
        <f>IFERROR(F34*$B$5,0)</f>
        <v>6274.5</v>
      </c>
      <c r="I34" s="22">
        <f>IFERROR(G34*$B$5,0)</f>
        <v>7825.5</v>
      </c>
      <c r="J34" s="21" t="s">
        <v>132</v>
      </c>
    </row>
    <row r="35" ht="13.5" customHeight="1">
      <c r="A35" s="24" t="s">
        <v>123</v>
      </c>
      <c r="B35" s="24" t="s">
        <v>133</v>
      </c>
      <c r="C35" s="25" t="s">
        <v>134</v>
      </c>
      <c r="D35" s="24" t="s">
        <v>58</v>
      </c>
      <c r="E35" s="26">
        <f>IFERROR('Rates Reference Table'!F32*$E$5,0)</f>
        <v>9.4000000000000004</v>
      </c>
      <c r="F35" s="26">
        <f>IFERROR(E35*(1-$H$5/2),0)</f>
        <v>8.3659999999999997</v>
      </c>
      <c r="G35" s="26">
        <f>IFERROR(E35*(1+$H$5/2),0)</f>
        <v>10.433999999999999</v>
      </c>
      <c r="H35" s="26">
        <f>IFERROR(F35*$B$5,0)</f>
        <v>4183</v>
      </c>
      <c r="I35" s="26">
        <f>IFERROR(G35*$B$5,0)</f>
        <v>5217</v>
      </c>
      <c r="J35" s="25" t="s">
        <v>135</v>
      </c>
    </row>
    <row r="36" ht="15.75" customHeight="1">
      <c r="A36" s="36" t="s">
        <v>266</v>
      </c>
      <c r="B36" s="36"/>
      <c r="C36" s="36"/>
      <c r="D36" s="36"/>
      <c r="E36" s="36"/>
      <c r="F36" s="36"/>
      <c r="G36" s="36"/>
      <c r="H36" s="36"/>
      <c r="I36" s="36"/>
      <c r="J36" s="36"/>
    </row>
    <row r="37" ht="13.5" customHeight="1">
      <c r="A37" s="20" t="s">
        <v>137</v>
      </c>
      <c r="B37" s="20" t="s">
        <v>138</v>
      </c>
      <c r="C37" s="21" t="s">
        <v>139</v>
      </c>
      <c r="D37" s="20" t="s">
        <v>73</v>
      </c>
      <c r="E37" s="22">
        <f>IFERROR('Rates Reference Table'!F34*$E$5,0)</f>
        <v>32.899999999999999</v>
      </c>
      <c r="F37" s="22">
        <f>IFERROR(E37*(1-$H$5/2),0)</f>
        <v>29.280999999999999</v>
      </c>
      <c r="G37" s="22">
        <f>IFERROR(E37*(1+$H$5/2),0)</f>
        <v>36.518999999999998</v>
      </c>
      <c r="H37" s="22">
        <f>IFERROR(F37*$B$5,0)</f>
        <v>14640.5</v>
      </c>
      <c r="I37" s="22">
        <f>IFERROR(G37*$B$5,0)</f>
        <v>18259.5</v>
      </c>
      <c r="J37" s="21" t="s">
        <v>140</v>
      </c>
    </row>
    <row r="38" ht="13.5" customHeight="1">
      <c r="A38" s="24" t="s">
        <v>137</v>
      </c>
      <c r="B38" s="24" t="s">
        <v>141</v>
      </c>
      <c r="C38" s="25" t="s">
        <v>142</v>
      </c>
      <c r="D38" s="24" t="s">
        <v>73</v>
      </c>
      <c r="E38" s="26">
        <f>IFERROR('Rates Reference Table'!F35*$E$5,0)</f>
        <v>47</v>
      </c>
      <c r="F38" s="26">
        <f>IFERROR(E38*(1-$H$5/2),0)</f>
        <v>41.829999999999998</v>
      </c>
      <c r="G38" s="26">
        <f>IFERROR(E38*(1+$H$5/2),0)</f>
        <v>52.170000000000002</v>
      </c>
      <c r="H38" s="26">
        <f>IFERROR(F38*$B$5,0)</f>
        <v>20915</v>
      </c>
      <c r="I38" s="26">
        <f>IFERROR(G38*$B$5,0)</f>
        <v>26085</v>
      </c>
      <c r="J38" s="25" t="s">
        <v>143</v>
      </c>
    </row>
    <row r="39" ht="13.5" customHeight="1">
      <c r="A39" s="20" t="s">
        <v>137</v>
      </c>
      <c r="B39" s="20" t="s">
        <v>144</v>
      </c>
      <c r="C39" s="21" t="s">
        <v>145</v>
      </c>
      <c r="D39" s="20" t="s">
        <v>73</v>
      </c>
      <c r="E39" s="22">
        <f>IFERROR('Rates Reference Table'!F36*$E$5,0)</f>
        <v>42.299999999999997</v>
      </c>
      <c r="F39" s="22">
        <f>IFERROR(E39*(1-$H$5/2),0)</f>
        <v>37.646999999999998</v>
      </c>
      <c r="G39" s="22">
        <f>IFERROR(E39*(1+$H$5/2),0)</f>
        <v>46.953000000000003</v>
      </c>
      <c r="H39" s="22">
        <f>IFERROR(F39*$B$5,0)</f>
        <v>18823.5</v>
      </c>
      <c r="I39" s="22">
        <f>IFERROR(G39*$B$5,0)</f>
        <v>23476.5</v>
      </c>
      <c r="J39" s="21" t="s">
        <v>146</v>
      </c>
    </row>
    <row r="40" ht="13.5" customHeight="1">
      <c r="A40" s="24" t="s">
        <v>137</v>
      </c>
      <c r="B40" s="24" t="s">
        <v>147</v>
      </c>
      <c r="C40" s="25" t="s">
        <v>148</v>
      </c>
      <c r="D40" s="24" t="s">
        <v>73</v>
      </c>
      <c r="E40" s="26">
        <f>IFERROR('Rates Reference Table'!F37*$E$5,0)</f>
        <v>28.199999999999999</v>
      </c>
      <c r="F40" s="26">
        <f>IFERROR(E40*(1-$H$5/2),0)</f>
        <v>25.097999999999999</v>
      </c>
      <c r="G40" s="26">
        <f>IFERROR(E40*(1+$H$5/2),0)</f>
        <v>31.302</v>
      </c>
      <c r="H40" s="26">
        <f>IFERROR(F40*$B$5,0)</f>
        <v>12549</v>
      </c>
      <c r="I40" s="26">
        <f>IFERROR(G40*$B$5,0)</f>
        <v>15651</v>
      </c>
      <c r="J40" s="25" t="s">
        <v>149</v>
      </c>
    </row>
    <row r="41" ht="13.5" customHeight="1">
      <c r="A41" s="20" t="s">
        <v>137</v>
      </c>
      <c r="B41" s="20" t="s">
        <v>150</v>
      </c>
      <c r="C41" s="21" t="s">
        <v>151</v>
      </c>
      <c r="D41" s="20" t="s">
        <v>58</v>
      </c>
      <c r="E41" s="22">
        <f>IFERROR('Rates Reference Table'!F38*$E$5,0)</f>
        <v>9.4000000000000004</v>
      </c>
      <c r="F41" s="22">
        <f>IFERROR(E41*(1-$H$5/2),0)</f>
        <v>8.3659999999999997</v>
      </c>
      <c r="G41" s="22">
        <f>IFERROR(E41*(1+$H$5/2),0)</f>
        <v>10.433999999999999</v>
      </c>
      <c r="H41" s="22">
        <f>IFERROR(F41*$B$5,0)</f>
        <v>4183</v>
      </c>
      <c r="I41" s="22">
        <f>IFERROR(G41*$B$5,0)</f>
        <v>5217</v>
      </c>
      <c r="J41" s="21" t="s">
        <v>152</v>
      </c>
    </row>
    <row r="42" ht="13.5" customHeight="1">
      <c r="A42" s="24" t="s">
        <v>137</v>
      </c>
      <c r="B42" s="24" t="s">
        <v>153</v>
      </c>
      <c r="C42" s="25" t="s">
        <v>154</v>
      </c>
      <c r="D42" s="24" t="s">
        <v>73</v>
      </c>
      <c r="E42" s="26">
        <f>IFERROR('Rates Reference Table'!F39*$E$5,0)</f>
        <v>14.1</v>
      </c>
      <c r="F42" s="26">
        <f>IFERROR(E42*(1-$H$5/2),0)</f>
        <v>12.548999999999999</v>
      </c>
      <c r="G42" s="26">
        <f>IFERROR(E42*(1+$H$5/2),0)</f>
        <v>15.651</v>
      </c>
      <c r="H42" s="26">
        <f>IFERROR(F42*$B$5,0)</f>
        <v>6274.5</v>
      </c>
      <c r="I42" s="26">
        <f>IFERROR(G42*$B$5,0)</f>
        <v>7825.5</v>
      </c>
      <c r="J42" s="25" t="s">
        <v>155</v>
      </c>
    </row>
    <row r="43" ht="13.5" customHeight="1">
      <c r="A43" s="20" t="s">
        <v>137</v>
      </c>
      <c r="B43" s="20" t="s">
        <v>156</v>
      </c>
      <c r="C43" s="21" t="s">
        <v>157</v>
      </c>
      <c r="D43" s="20" t="s">
        <v>73</v>
      </c>
      <c r="E43" s="22">
        <f>IFERROR('Rates Reference Table'!F40*$E$5,0)</f>
        <v>28.199999999999999</v>
      </c>
      <c r="F43" s="22">
        <f>IFERROR(E43*(1-$H$5/2),0)</f>
        <v>25.097999999999999</v>
      </c>
      <c r="G43" s="22">
        <f>IFERROR(E43*(1+$H$5/2),0)</f>
        <v>31.302</v>
      </c>
      <c r="H43" s="22">
        <f>IFERROR(F43*$B$5,0)</f>
        <v>12549</v>
      </c>
      <c r="I43" s="22">
        <f>IFERROR(G43*$B$5,0)</f>
        <v>15651</v>
      </c>
      <c r="J43" s="21" t="s">
        <v>158</v>
      </c>
    </row>
    <row r="44" ht="13.5" customHeight="1">
      <c r="A44" s="24" t="s">
        <v>137</v>
      </c>
      <c r="B44" s="24" t="s">
        <v>159</v>
      </c>
      <c r="C44" s="25" t="s">
        <v>160</v>
      </c>
      <c r="D44" s="24" t="s">
        <v>73</v>
      </c>
      <c r="E44" s="26">
        <f>IFERROR('Rates Reference Table'!F41*$E$5,0)</f>
        <v>37.600000000000001</v>
      </c>
      <c r="F44" s="26">
        <f>IFERROR(E44*(1-$H$5/2),0)</f>
        <v>33.463999999999999</v>
      </c>
      <c r="G44" s="26">
        <f>IFERROR(E44*(1+$H$5/2),0)</f>
        <v>41.735999999999997</v>
      </c>
      <c r="H44" s="26">
        <f>IFERROR(F44*$B$5,0)</f>
        <v>16732</v>
      </c>
      <c r="I44" s="26">
        <f>IFERROR(G44*$B$5,0)</f>
        <v>20868</v>
      </c>
      <c r="J44" s="25" t="s">
        <v>161</v>
      </c>
    </row>
    <row r="45" ht="13.5" customHeight="1">
      <c r="A45" s="20" t="s">
        <v>137</v>
      </c>
      <c r="B45" s="20" t="s">
        <v>162</v>
      </c>
      <c r="C45" s="21" t="s">
        <v>163</v>
      </c>
      <c r="D45" s="20" t="s">
        <v>73</v>
      </c>
      <c r="E45" s="22">
        <f>IFERROR('Rates Reference Table'!F42*$E$5,0)</f>
        <v>18.800000000000001</v>
      </c>
      <c r="F45" s="22">
        <f>IFERROR(E45*(1-$H$5/2),0)</f>
        <v>16.731999999999999</v>
      </c>
      <c r="G45" s="22">
        <f>IFERROR(E45*(1+$H$5/2),0)</f>
        <v>20.867999999999999</v>
      </c>
      <c r="H45" s="22">
        <f>IFERROR(F45*$B$5,0)</f>
        <v>8366</v>
      </c>
      <c r="I45" s="22">
        <f>IFERROR(G45*$B$5,0)</f>
        <v>10434</v>
      </c>
      <c r="J45" s="21" t="s">
        <v>164</v>
      </c>
    </row>
    <row r="46" ht="13.5" customHeight="1">
      <c r="A46" s="24" t="s">
        <v>137</v>
      </c>
      <c r="B46" s="24" t="s">
        <v>165</v>
      </c>
      <c r="C46" s="25" t="s">
        <v>166</v>
      </c>
      <c r="D46" s="24" t="s">
        <v>58</v>
      </c>
      <c r="E46" s="26">
        <f>IFERROR('Rates Reference Table'!F43*$E$5,0)</f>
        <v>4.7000000000000002</v>
      </c>
      <c r="F46" s="26">
        <f>IFERROR(E46*(1-$H$5/2),0)</f>
        <v>4.1829999999999998</v>
      </c>
      <c r="G46" s="26">
        <f>IFERROR(E46*(1+$H$5/2),0)</f>
        <v>5.2169999999999996</v>
      </c>
      <c r="H46" s="26">
        <f>IFERROR(F46*$B$5,0)</f>
        <v>2091.5</v>
      </c>
      <c r="I46" s="26">
        <f>IFERROR(G46*$B$5,0)</f>
        <v>2608.5</v>
      </c>
      <c r="J46" s="25" t="s">
        <v>167</v>
      </c>
    </row>
    <row r="47" ht="13.5" customHeight="1">
      <c r="A47" s="20" t="s">
        <v>137</v>
      </c>
      <c r="B47" s="20" t="s">
        <v>168</v>
      </c>
      <c r="C47" s="21" t="s">
        <v>169</v>
      </c>
      <c r="D47" s="20" t="s">
        <v>170</v>
      </c>
      <c r="E47" s="22">
        <f>IFERROR('Rates Reference Table'!F44*$E$5,0)</f>
        <v>752</v>
      </c>
      <c r="F47" s="22">
        <f>IFERROR(E47*(1-$H$5/2),0)</f>
        <v>669.27999999999997</v>
      </c>
      <c r="G47" s="22">
        <f>IFERROR(E47*(1+$H$5/2),0)</f>
        <v>834.72000000000003</v>
      </c>
      <c r="H47" s="22">
        <f>IFERROR(F47*$B$5,0)</f>
        <v>334640</v>
      </c>
      <c r="I47" s="22">
        <f>IFERROR(G47*$B$5,0)</f>
        <v>417360</v>
      </c>
      <c r="J47" s="21" t="s">
        <v>171</v>
      </c>
    </row>
    <row r="48" ht="13.5" customHeight="1">
      <c r="A48" s="24" t="s">
        <v>137</v>
      </c>
      <c r="B48" s="24" t="s">
        <v>172</v>
      </c>
      <c r="C48" s="25" t="s">
        <v>173</v>
      </c>
      <c r="D48" s="24" t="s">
        <v>109</v>
      </c>
      <c r="E48" s="26">
        <f>IFERROR('Rates Reference Table'!F45*$E$5,0)</f>
        <v>1410</v>
      </c>
      <c r="F48" s="26">
        <f>IFERROR(E48*(1-$H$5/2),0)</f>
        <v>1254.9000000000001</v>
      </c>
      <c r="G48" s="26">
        <f>IFERROR(E48*(1+$H$5/2),0)</f>
        <v>1565.0999999999999</v>
      </c>
      <c r="H48" s="26">
        <f>IFERROR(F48*$B$5,0)</f>
        <v>627450</v>
      </c>
      <c r="I48" s="26">
        <f>IFERROR(G48*$B$5,0)</f>
        <v>782550</v>
      </c>
      <c r="J48" s="25" t="s">
        <v>174</v>
      </c>
    </row>
    <row r="49" ht="13.5" customHeight="1">
      <c r="A49" s="20" t="s">
        <v>137</v>
      </c>
      <c r="B49" s="20" t="s">
        <v>175</v>
      </c>
      <c r="C49" s="21" t="s">
        <v>176</v>
      </c>
      <c r="D49" s="20" t="s">
        <v>73</v>
      </c>
      <c r="E49" s="22">
        <f>IFERROR('Rates Reference Table'!F46*$E$5,0)</f>
        <v>16.920000000000002</v>
      </c>
      <c r="F49" s="22">
        <f>IFERROR(E49*(1-$H$5/2),0)</f>
        <v>15.0588</v>
      </c>
      <c r="G49" s="22">
        <f>IFERROR(E49*(1+$H$5/2),0)</f>
        <v>18.781199999999998</v>
      </c>
      <c r="H49" s="22">
        <f>IFERROR(F49*$B$5,0)</f>
        <v>7529.3999999999996</v>
      </c>
      <c r="I49" s="22">
        <f>IFERROR(G49*$B$5,0)</f>
        <v>9390.6000000000004</v>
      </c>
      <c r="J49" s="21" t="s">
        <v>177</v>
      </c>
    </row>
    <row r="50" ht="13.5" customHeight="1">
      <c r="A50" s="24" t="s">
        <v>137</v>
      </c>
      <c r="B50" s="24" t="s">
        <v>178</v>
      </c>
      <c r="C50" s="25" t="s">
        <v>179</v>
      </c>
      <c r="D50" s="24" t="s">
        <v>58</v>
      </c>
      <c r="E50" s="26">
        <f>IFERROR('Rates Reference Table'!F47*$E$5,0)</f>
        <v>9.4000000000000004</v>
      </c>
      <c r="F50" s="26">
        <f>IFERROR(E50*(1-$H$5/2),0)</f>
        <v>8.3659999999999997</v>
      </c>
      <c r="G50" s="26">
        <f>IFERROR(E50*(1+$H$5/2),0)</f>
        <v>10.433999999999999</v>
      </c>
      <c r="H50" s="26">
        <f>IFERROR(F50*$B$5,0)</f>
        <v>4183</v>
      </c>
      <c r="I50" s="26">
        <f>IFERROR(G50*$B$5,0)</f>
        <v>5217</v>
      </c>
      <c r="J50" s="25" t="s">
        <v>180</v>
      </c>
    </row>
    <row r="51" ht="13.5" customHeight="1">
      <c r="A51" s="20" t="s">
        <v>137</v>
      </c>
      <c r="B51" s="20" t="s">
        <v>181</v>
      </c>
      <c r="C51" s="21" t="s">
        <v>182</v>
      </c>
      <c r="D51" s="20" t="s">
        <v>73</v>
      </c>
      <c r="E51" s="22">
        <f>IFERROR('Rates Reference Table'!F48*$E$5,0)</f>
        <v>14.1</v>
      </c>
      <c r="F51" s="22">
        <f>IFERROR(E51*(1-$H$5/2),0)</f>
        <v>12.548999999999999</v>
      </c>
      <c r="G51" s="22">
        <f>IFERROR(E51*(1+$H$5/2),0)</f>
        <v>15.651</v>
      </c>
      <c r="H51" s="22">
        <f>IFERROR(F51*$B$5,0)</f>
        <v>6274.5</v>
      </c>
      <c r="I51" s="22">
        <f>IFERROR(G51*$B$5,0)</f>
        <v>7825.5</v>
      </c>
      <c r="J51" s="21" t="s">
        <v>183</v>
      </c>
    </row>
    <row r="52" ht="13.5" customHeight="1">
      <c r="A52" s="24" t="s">
        <v>137</v>
      </c>
      <c r="B52" s="24" t="s">
        <v>184</v>
      </c>
      <c r="C52" s="25" t="s">
        <v>185</v>
      </c>
      <c r="D52" s="24" t="s">
        <v>109</v>
      </c>
      <c r="E52" s="26">
        <f>IFERROR('Rates Reference Table'!F49*$E$5,0)</f>
        <v>75.200000000000003</v>
      </c>
      <c r="F52" s="26">
        <f>IFERROR(E52*(1-$H$5/2),0)</f>
        <v>66.927999999999997</v>
      </c>
      <c r="G52" s="26">
        <f>IFERROR(E52*(1+$H$5/2),0)</f>
        <v>83.471999999999994</v>
      </c>
      <c r="H52" s="26">
        <f>IFERROR(F52*$B$5,0)</f>
        <v>33464</v>
      </c>
      <c r="I52" s="26">
        <f>IFERROR(G52*$B$5,0)</f>
        <v>41736</v>
      </c>
      <c r="J52" s="25" t="s">
        <v>186</v>
      </c>
    </row>
    <row r="53" ht="13.5" customHeight="1">
      <c r="A53" s="20" t="s">
        <v>137</v>
      </c>
      <c r="B53" s="20" t="s">
        <v>187</v>
      </c>
      <c r="C53" s="21" t="s">
        <v>188</v>
      </c>
      <c r="D53" s="20" t="s">
        <v>73</v>
      </c>
      <c r="E53" s="22">
        <f>IFERROR('Rates Reference Table'!F50*$E$5,0)</f>
        <v>11.279999999999999</v>
      </c>
      <c r="F53" s="22">
        <f>IFERROR(E53*(1-$H$5/2),0)</f>
        <v>10.039199999999999</v>
      </c>
      <c r="G53" s="22">
        <f>IFERROR(E53*(1+$H$5/2),0)</f>
        <v>12.520799999999999</v>
      </c>
      <c r="H53" s="22">
        <f>IFERROR(F53*$B$5,0)</f>
        <v>5019.6000000000004</v>
      </c>
      <c r="I53" s="22">
        <f>IFERROR(G53*$B$5,0)</f>
        <v>6260.3999999999996</v>
      </c>
      <c r="J53" s="21" t="s">
        <v>189</v>
      </c>
    </row>
    <row r="54" ht="15.75" customHeight="1">
      <c r="A54" s="37" t="s">
        <v>267</v>
      </c>
      <c r="B54" s="37"/>
      <c r="C54" s="37"/>
      <c r="D54" s="37"/>
      <c r="E54" s="37"/>
      <c r="F54" s="37"/>
      <c r="G54" s="37"/>
      <c r="H54" s="37"/>
      <c r="I54" s="37"/>
      <c r="J54" s="37"/>
    </row>
    <row r="55" ht="13.5" customHeight="1">
      <c r="A55" s="38" t="s">
        <v>191</v>
      </c>
      <c r="B55" s="38" t="s">
        <v>192</v>
      </c>
      <c r="C55" s="39" t="s">
        <v>193</v>
      </c>
      <c r="D55" s="38" t="s">
        <v>58</v>
      </c>
      <c r="E55" s="40" t="s">
        <v>262</v>
      </c>
      <c r="F55" s="40" t="s">
        <v>262</v>
      </c>
      <c r="G55" s="40" t="s">
        <v>262</v>
      </c>
      <c r="H55" s="41">
        <v>0</v>
      </c>
      <c r="I55" s="41">
        <v>0</v>
      </c>
      <c r="J55" s="39" t="s">
        <v>194</v>
      </c>
    </row>
    <row r="56" ht="13.5" customHeight="1">
      <c r="A56" s="38" t="s">
        <v>191</v>
      </c>
      <c r="B56" s="38" t="s">
        <v>195</v>
      </c>
      <c r="C56" s="39" t="s">
        <v>196</v>
      </c>
      <c r="D56" s="38" t="s">
        <v>58</v>
      </c>
      <c r="E56" s="40" t="s">
        <v>262</v>
      </c>
      <c r="F56" s="40" t="s">
        <v>262</v>
      </c>
      <c r="G56" s="40" t="s">
        <v>262</v>
      </c>
      <c r="H56" s="41">
        <v>0</v>
      </c>
      <c r="I56" s="41">
        <v>0</v>
      </c>
      <c r="J56" s="39" t="s">
        <v>197</v>
      </c>
    </row>
    <row r="57" ht="15.75" customHeight="1">
      <c r="A57" s="36" t="s">
        <v>268</v>
      </c>
      <c r="B57" s="36"/>
      <c r="C57" s="36"/>
      <c r="D57" s="36"/>
      <c r="E57" s="36"/>
      <c r="F57" s="36"/>
      <c r="G57" s="36"/>
      <c r="H57" s="36"/>
      <c r="I57" s="36"/>
      <c r="J57" s="36"/>
    </row>
    <row r="58" ht="13.5" customHeight="1">
      <c r="A58" s="20" t="s">
        <v>199</v>
      </c>
      <c r="B58" s="20" t="s">
        <v>200</v>
      </c>
      <c r="C58" s="21" t="s">
        <v>201</v>
      </c>
      <c r="D58" s="20" t="s">
        <v>58</v>
      </c>
      <c r="E58" s="22">
        <f>IFERROR('Rates Reference Table'!F55*$E$5,0)</f>
        <v>23.5</v>
      </c>
      <c r="F58" s="22">
        <f>IFERROR(E58*(1-$H$5/2),0)</f>
        <v>20.914999999999999</v>
      </c>
      <c r="G58" s="22">
        <f>IFERROR(E58*(1+$H$5/2),0)</f>
        <v>26.085000000000001</v>
      </c>
      <c r="H58" s="22">
        <f>IFERROR(F58*$B$5,0)</f>
        <v>10457.5</v>
      </c>
      <c r="I58" s="22">
        <f>IFERROR(G58*$B$5,0)</f>
        <v>13042.5</v>
      </c>
      <c r="J58" s="21" t="s">
        <v>202</v>
      </c>
    </row>
    <row r="59" ht="13.5" customHeight="1">
      <c r="A59" s="24" t="s">
        <v>199</v>
      </c>
      <c r="B59" s="24" t="s">
        <v>203</v>
      </c>
      <c r="C59" s="25" t="s">
        <v>204</v>
      </c>
      <c r="D59" s="24" t="s">
        <v>58</v>
      </c>
      <c r="E59" s="26">
        <f>IFERROR('Rates Reference Table'!F56*$E$5,0)</f>
        <v>18.800000000000001</v>
      </c>
      <c r="F59" s="26">
        <f>IFERROR(E59*(1-$H$5/2),0)</f>
        <v>16.731999999999999</v>
      </c>
      <c r="G59" s="26">
        <f>IFERROR(E59*(1+$H$5/2),0)</f>
        <v>20.867999999999999</v>
      </c>
      <c r="H59" s="26">
        <f>IFERROR(F59*$B$5,0)</f>
        <v>8366</v>
      </c>
      <c r="I59" s="26">
        <f>IFERROR(G59*$B$5,0)</f>
        <v>10434</v>
      </c>
      <c r="J59" s="25" t="s">
        <v>205</v>
      </c>
    </row>
    <row r="60" ht="13.5" customHeight="1">
      <c r="A60" s="20" t="s">
        <v>199</v>
      </c>
      <c r="B60" s="20" t="s">
        <v>206</v>
      </c>
      <c r="C60" s="21" t="s">
        <v>207</v>
      </c>
      <c r="D60" s="20" t="s">
        <v>58</v>
      </c>
      <c r="E60" s="22">
        <f>IFERROR('Rates Reference Table'!F57*$E$5,0)</f>
        <v>9.4000000000000004</v>
      </c>
      <c r="F60" s="22">
        <f>IFERROR(E60*(1-$H$5/2),0)</f>
        <v>8.3659999999999997</v>
      </c>
      <c r="G60" s="22">
        <f>IFERROR(E60*(1+$H$5/2),0)</f>
        <v>10.433999999999999</v>
      </c>
      <c r="H60" s="22">
        <f>IFERROR(F60*$B$5,0)</f>
        <v>4183</v>
      </c>
      <c r="I60" s="22">
        <f>IFERROR(G60*$B$5,0)</f>
        <v>5217</v>
      </c>
      <c r="J60" s="21" t="s">
        <v>208</v>
      </c>
    </row>
    <row r="61" ht="13.5" customHeight="1">
      <c r="A61" s="24" t="s">
        <v>199</v>
      </c>
      <c r="B61" s="24" t="s">
        <v>209</v>
      </c>
      <c r="C61" s="25" t="s">
        <v>210</v>
      </c>
      <c r="D61" s="24" t="s">
        <v>58</v>
      </c>
      <c r="E61" s="26">
        <f>IFERROR('Rates Reference Table'!F58*$E$5,0)</f>
        <v>28.199999999999999</v>
      </c>
      <c r="F61" s="26">
        <f>IFERROR(E61*(1-$H$5/2),0)</f>
        <v>25.097999999999999</v>
      </c>
      <c r="G61" s="26">
        <f>IFERROR(E61*(1+$H$5/2),0)</f>
        <v>31.302</v>
      </c>
      <c r="H61" s="26">
        <f>IFERROR(F61*$B$5,0)</f>
        <v>12549</v>
      </c>
      <c r="I61" s="26">
        <f>IFERROR(G61*$B$5,0)</f>
        <v>15651</v>
      </c>
      <c r="J61" s="25" t="s">
        <v>211</v>
      </c>
    </row>
    <row r="62" ht="13.5" customHeight="1">
      <c r="A62" s="20" t="s">
        <v>199</v>
      </c>
      <c r="B62" s="20" t="s">
        <v>212</v>
      </c>
      <c r="C62" s="21" t="s">
        <v>213</v>
      </c>
      <c r="D62" s="20" t="s">
        <v>58</v>
      </c>
      <c r="E62" s="22">
        <f>IFERROR('Rates Reference Table'!F59*$E$5,0)</f>
        <v>9.4000000000000004</v>
      </c>
      <c r="F62" s="22">
        <f>IFERROR(E62*(1-$H$5/2),0)</f>
        <v>8.3659999999999997</v>
      </c>
      <c r="G62" s="22">
        <f>IFERROR(E62*(1+$H$5/2),0)</f>
        <v>10.433999999999999</v>
      </c>
      <c r="H62" s="22">
        <f>IFERROR(F62*$B$5,0)</f>
        <v>4183</v>
      </c>
      <c r="I62" s="22">
        <f>IFERROR(G62*$B$5,0)</f>
        <v>5217</v>
      </c>
      <c r="J62" s="21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Table'!F61*$E$5,0)</f>
        <v>7.5199999999999996</v>
      </c>
      <c r="F64" s="22">
        <f>IFERROR(E64*(1-$H$5/2),0)</f>
        <v>6.6928000000000001</v>
      </c>
      <c r="G64" s="22">
        <f>IFERROR(E64*(1+$H$5/2),0)</f>
        <v>8.3472000000000008</v>
      </c>
      <c r="H64" s="22">
        <f>IFERROR(F64*$B$5,0)</f>
        <v>3346.4000000000001</v>
      </c>
      <c r="I64" s="22">
        <f>IFERROR(G64*$B$5,0)</f>
        <v>4173.6000000000004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Table'!F62*$E$5,0)</f>
        <v>9.4000000000000004</v>
      </c>
      <c r="F65" s="26">
        <f>IFERROR(E65*(1-$H$5/2),0)</f>
        <v>8.3659999999999997</v>
      </c>
      <c r="G65" s="26">
        <f>IFERROR(E65*(1+$H$5/2),0)</f>
        <v>10.433999999999999</v>
      </c>
      <c r="H65" s="26">
        <f>IFERROR(F65*$B$5,0)</f>
        <v>4183</v>
      </c>
      <c r="I65" s="26">
        <f>IFERROR(G65*$B$5,0)</f>
        <v>5217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Table'!F63*$E$5,0)</f>
        <v>4.7000000000000002</v>
      </c>
      <c r="F66" s="22">
        <f>IFERROR(E66*(1-$H$5/2),0)</f>
        <v>4.1829999999999998</v>
      </c>
      <c r="G66" s="22">
        <f>IFERROR(E66*(1+$H$5/2),0)</f>
        <v>5.2169999999999996</v>
      </c>
      <c r="H66" s="22">
        <f>IFERROR(F66*$B$5,0)</f>
        <v>2091.5</v>
      </c>
      <c r="I66" s="22">
        <f>IFERROR(G66*$B$5,0)</f>
        <v>2608.5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Table'!F64*$E$5,0)</f>
        <v>7.5199999999999996</v>
      </c>
      <c r="F67" s="26">
        <f>IFERROR(E67*(1-$H$5/2),0)</f>
        <v>6.6928000000000001</v>
      </c>
      <c r="G67" s="26">
        <f>IFERROR(E67*(1+$H$5/2),0)</f>
        <v>8.3472000000000008</v>
      </c>
      <c r="H67" s="26">
        <f>IFERROR(F67*$B$5,0)</f>
        <v>3346.4000000000001</v>
      </c>
      <c r="I67" s="26">
        <f>IFERROR(G67*$B$5,0)</f>
        <v>4173.6000000000004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Table'!F65*$E$5,0)</f>
        <v>5.6399999999999997</v>
      </c>
      <c r="F68" s="22">
        <f>IFERROR(E68*(1-$H$5/2),0)</f>
        <v>5.0195999999999996</v>
      </c>
      <c r="G68" s="22">
        <f>IFERROR(E68*(1+$H$5/2),0)</f>
        <v>6.2603999999999997</v>
      </c>
      <c r="H68" s="22">
        <f>IFERROR(F68*$B$5,0)</f>
        <v>2509.8000000000002</v>
      </c>
      <c r="I68" s="22">
        <f>IFERROR(G68*$B$5,0)</f>
        <v>3130.1999999999998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Table'!F66*$E$5,0)</f>
        <v>7.5199999999999996</v>
      </c>
      <c r="F69" s="26">
        <f>IFERROR(E69*(1-$H$5/2),0)</f>
        <v>6.6928000000000001</v>
      </c>
      <c r="G69" s="26">
        <f>IFERROR(E69*(1+$H$5/2),0)</f>
        <v>8.3472000000000008</v>
      </c>
      <c r="H69" s="26">
        <f>IFERROR(F69*$B$5,0)</f>
        <v>3346.4000000000001</v>
      </c>
      <c r="I69" s="26">
        <f>IFERROR(G69*$B$5,0)</f>
        <v>4173.6000000000004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Table'!F67*$E$5,0)</f>
        <v>2.8199999999999998</v>
      </c>
      <c r="F70" s="22">
        <f>IFERROR(E70*(1-$H$5/2),0)</f>
        <v>2.5097999999999998</v>
      </c>
      <c r="G70" s="22">
        <f>IFERROR(E70*(1+$H$5/2),0)</f>
        <v>3.1301999999999999</v>
      </c>
      <c r="H70" s="22">
        <f>IFERROR(F70*$B$5,0)</f>
        <v>1254.9000000000001</v>
      </c>
      <c r="I70" s="22">
        <f>IFERROR(G70*$B$5,0)</f>
        <v>1565.0999999999999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Table'!F68*$E$5,0)</f>
        <v>2.8199999999999998</v>
      </c>
      <c r="F71" s="26">
        <f>IFERROR(E71*(1-$H$5/2),0)</f>
        <v>2.5097999999999998</v>
      </c>
      <c r="G71" s="26">
        <f>IFERROR(E71*(1+$H$5/2),0)</f>
        <v>3.1301999999999999</v>
      </c>
      <c r="H71" s="26">
        <f>IFERROR(F71*$B$5,0)</f>
        <v>1254.9000000000001</v>
      </c>
      <c r="I71" s="26">
        <f>IFERROR(G71*$B$5,0)</f>
        <v>1565.0999999999999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Table'!F69*$E$5,0)</f>
        <v>1.8799999999999999</v>
      </c>
      <c r="F72" s="22">
        <f>IFERROR(E72*(1-$H$5/2),0)</f>
        <v>1.6732</v>
      </c>
      <c r="G72" s="22">
        <f>IFERROR(E72*(1+$H$5/2),0)</f>
        <v>2.0868000000000002</v>
      </c>
      <c r="H72" s="22">
        <f>IFERROR(F72*$B$5,0)</f>
        <v>836.60000000000002</v>
      </c>
      <c r="I72" s="22">
        <f>IFERROR(G72*$B$5,0)</f>
        <v>1043.4000000000001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1459448.7</v>
      </c>
      <c r="I73" s="43">
        <f>SUMPRODUCT((I8:I72&gt;0)*I8:I72)</f>
        <v>1820211.3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116755.89599999999</v>
      </c>
      <c r="I77" s="22">
        <f>IFERROR(G77*I73,0)</f>
        <v>182021.13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116755.89599999999</v>
      </c>
      <c r="I78" s="26">
        <f>IFERROR(G78*I73,0)</f>
        <v>218425.356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1692960.4920000001</v>
      </c>
      <c r="I79" s="43">
        <f>I73+I77+I78</f>
        <v>2220657.7859999998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84648.024600000004</v>
      </c>
      <c r="I80" s="26">
        <f>IFERROR(G80*I79,0)</f>
        <v>333098.6679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33859.209840000003</v>
      </c>
      <c r="I81" s="22">
        <f>IFERROR(G81*I79,0)</f>
        <v>88826.311440000005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72972.434999999998</v>
      </c>
      <c r="I82" s="51">
        <f>IFERROR(G82*I73,0)</f>
        <v>182021.13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72972.434999999998</v>
      </c>
      <c r="I83" s="55">
        <f>IFERROR(0.05*I73,0)</f>
        <v>91010.565000000002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29188.973999999998</v>
      </c>
      <c r="I84" s="26">
        <f>IFERROR(G84*I73,0)</f>
        <v>218425.356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1986601.5704399999</v>
      </c>
      <c r="I85" s="57">
        <f>I79+I80+I81+I82+I83+I84</f>
        <v>3134039.8163399999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397320.31408799998</v>
      </c>
      <c r="I86" s="61">
        <f>IFERROR(0.2*I85,0)</f>
        <v>626807.96326800005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2918.8973999999998</v>
      </c>
      <c r="F88" s="64"/>
      <c r="G88" s="65">
        <f>IFERROR(I73/$B$5,0)</f>
        <v>3640.4225999999999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5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314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315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247</v>
      </c>
      <c r="D4" s="31" t="s">
        <v>248</v>
      </c>
      <c r="E4" s="32" t="s">
        <v>316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500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Table'!G6*$E$5,0)</f>
        <v>37.600000000000001</v>
      </c>
      <c r="F9" s="22">
        <f>IFERROR(E9*(1-$H$5/2),0)</f>
        <v>33.463999999999999</v>
      </c>
      <c r="G9" s="22">
        <f>IFERROR(E9*(1+$H$5/2),0)</f>
        <v>41.735999999999997</v>
      </c>
      <c r="H9" s="22">
        <f>IFERROR(F9*$B$5,0)</f>
        <v>16732</v>
      </c>
      <c r="I9" s="22">
        <f>IFERROR(G9*$B$5,0)</f>
        <v>20868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Table'!G7*$E$5,0)</f>
        <v>51.700000000000003</v>
      </c>
      <c r="F10" s="26">
        <f>IFERROR(E10*(1-$H$5/2),0)</f>
        <v>46.012999999999998</v>
      </c>
      <c r="G10" s="26">
        <f>IFERROR(E10*(1+$H$5/2),0)</f>
        <v>57.387</v>
      </c>
      <c r="H10" s="26">
        <f>IFERROR(F10*$B$5,0)</f>
        <v>23006.5</v>
      </c>
      <c r="I10" s="26">
        <f>IFERROR(G10*$B$5,0)</f>
        <v>28693.5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Table'!G8*$E$5,0)</f>
        <v>18.800000000000001</v>
      </c>
      <c r="F11" s="22">
        <f>IFERROR(E11*(1-$H$5/2),0)</f>
        <v>16.731999999999999</v>
      </c>
      <c r="G11" s="22">
        <f>IFERROR(E11*(1+$H$5/2),0)</f>
        <v>20.867999999999999</v>
      </c>
      <c r="H11" s="22">
        <f>IFERROR(F11*$B$5,0)</f>
        <v>8366</v>
      </c>
      <c r="I11" s="22">
        <f>IFERROR(G11*$B$5,0)</f>
        <v>10434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Table'!G9*$E$5,0)</f>
        <v>14.1</v>
      </c>
      <c r="F12" s="26">
        <f>IFERROR(E12*(1-$H$5/2),0)</f>
        <v>12.548999999999999</v>
      </c>
      <c r="G12" s="26">
        <f>IFERROR(E12*(1+$H$5/2),0)</f>
        <v>15.651</v>
      </c>
      <c r="H12" s="26">
        <f>IFERROR(F12*$B$5,0)</f>
        <v>6274.5</v>
      </c>
      <c r="I12" s="26">
        <f>IFERROR(G12*$B$5,0)</f>
        <v>7825.5</v>
      </c>
      <c r="J12" s="25" t="s">
        <v>68</v>
      </c>
    </row>
    <row r="13" ht="15.75" customHeight="1">
      <c r="A13" s="37" t="s">
        <v>261</v>
      </c>
      <c r="B13" s="37"/>
      <c r="C13" s="37"/>
      <c r="D13" s="37"/>
      <c r="E13" s="37"/>
      <c r="F13" s="37"/>
      <c r="G13" s="37"/>
      <c r="H13" s="37"/>
      <c r="I13" s="37"/>
      <c r="J13" s="37"/>
    </row>
    <row r="14" ht="13.5" customHeight="1">
      <c r="A14" s="38" t="s">
        <v>70</v>
      </c>
      <c r="B14" s="38" t="s">
        <v>71</v>
      </c>
      <c r="C14" s="39" t="s">
        <v>72</v>
      </c>
      <c r="D14" s="38" t="s">
        <v>73</v>
      </c>
      <c r="E14" s="40" t="s">
        <v>262</v>
      </c>
      <c r="F14" s="40" t="s">
        <v>262</v>
      </c>
      <c r="G14" s="40" t="s">
        <v>262</v>
      </c>
      <c r="H14" s="41">
        <v>0</v>
      </c>
      <c r="I14" s="41">
        <v>0</v>
      </c>
      <c r="J14" s="39" t="s">
        <v>74</v>
      </c>
    </row>
    <row r="15" ht="13.5" customHeight="1">
      <c r="A15" s="38" t="s">
        <v>70</v>
      </c>
      <c r="B15" s="38" t="s">
        <v>75</v>
      </c>
      <c r="C15" s="39" t="s">
        <v>76</v>
      </c>
      <c r="D15" s="38" t="s">
        <v>73</v>
      </c>
      <c r="E15" s="40" t="s">
        <v>262</v>
      </c>
      <c r="F15" s="40" t="s">
        <v>262</v>
      </c>
      <c r="G15" s="40" t="s">
        <v>262</v>
      </c>
      <c r="H15" s="41">
        <v>0</v>
      </c>
      <c r="I15" s="41">
        <v>0</v>
      </c>
      <c r="J15" s="39" t="s">
        <v>77</v>
      </c>
    </row>
    <row r="16" ht="13.5" customHeight="1">
      <c r="A16" s="38" t="s">
        <v>70</v>
      </c>
      <c r="B16" s="38" t="s">
        <v>78</v>
      </c>
      <c r="C16" s="39" t="s">
        <v>79</v>
      </c>
      <c r="D16" s="38" t="s">
        <v>73</v>
      </c>
      <c r="E16" s="40" t="s">
        <v>262</v>
      </c>
      <c r="F16" s="40" t="s">
        <v>262</v>
      </c>
      <c r="G16" s="40" t="s">
        <v>262</v>
      </c>
      <c r="H16" s="41">
        <v>0</v>
      </c>
      <c r="I16" s="41">
        <v>0</v>
      </c>
      <c r="J16" s="39" t="s">
        <v>80</v>
      </c>
    </row>
    <row r="17" ht="13.5" customHeight="1">
      <c r="A17" s="38" t="s">
        <v>70</v>
      </c>
      <c r="B17" s="38" t="s">
        <v>81</v>
      </c>
      <c r="C17" s="39" t="s">
        <v>82</v>
      </c>
      <c r="D17" s="38" t="s">
        <v>58</v>
      </c>
      <c r="E17" s="40" t="s">
        <v>262</v>
      </c>
      <c r="F17" s="40" t="s">
        <v>262</v>
      </c>
      <c r="G17" s="40" t="s">
        <v>262</v>
      </c>
      <c r="H17" s="41">
        <v>0</v>
      </c>
      <c r="I17" s="41">
        <v>0</v>
      </c>
      <c r="J17" s="39" t="s">
        <v>83</v>
      </c>
    </row>
    <row r="18" ht="15.75" customHeight="1">
      <c r="A18" s="36" t="s">
        <v>263</v>
      </c>
      <c r="B18" s="36"/>
      <c r="C18" s="36"/>
      <c r="D18" s="36"/>
      <c r="E18" s="36"/>
      <c r="F18" s="36"/>
      <c r="G18" s="36"/>
      <c r="H18" s="36"/>
      <c r="I18" s="36"/>
      <c r="J18" s="36"/>
    </row>
    <row r="19" ht="13.5" customHeight="1">
      <c r="A19" s="20" t="s">
        <v>85</v>
      </c>
      <c r="B19" s="20" t="s">
        <v>86</v>
      </c>
      <c r="C19" s="21" t="s">
        <v>87</v>
      </c>
      <c r="D19" s="20" t="s">
        <v>73</v>
      </c>
      <c r="E19" s="22">
        <f>IFERROR('Rates Reference Table'!G16*$E$5,0)</f>
        <v>37.600000000000001</v>
      </c>
      <c r="F19" s="22">
        <f>IFERROR(E19*(1-$H$5/2),0)</f>
        <v>33.463999999999999</v>
      </c>
      <c r="G19" s="22">
        <f>IFERROR(E19*(1+$H$5/2),0)</f>
        <v>41.735999999999997</v>
      </c>
      <c r="H19" s="22">
        <f>IFERROR(F19*$B$5,0)</f>
        <v>16732</v>
      </c>
      <c r="I19" s="22">
        <f>IFERROR(G19*$B$5,0)</f>
        <v>20868</v>
      </c>
      <c r="J19" s="21" t="s">
        <v>88</v>
      </c>
    </row>
    <row r="20" ht="13.5" customHeight="1">
      <c r="A20" s="24" t="s">
        <v>85</v>
      </c>
      <c r="B20" s="24" t="s">
        <v>89</v>
      </c>
      <c r="C20" s="25" t="s">
        <v>90</v>
      </c>
      <c r="D20" s="24" t="s">
        <v>73</v>
      </c>
      <c r="E20" s="26">
        <f>IFERROR('Rates Reference Table'!G17*$E$5,0)</f>
        <v>28.199999999999999</v>
      </c>
      <c r="F20" s="26">
        <f>IFERROR(E20*(1-$H$5/2),0)</f>
        <v>25.097999999999999</v>
      </c>
      <c r="G20" s="26">
        <f>IFERROR(E20*(1+$H$5/2),0)</f>
        <v>31.302</v>
      </c>
      <c r="H20" s="26">
        <f>IFERROR(F20*$B$5,0)</f>
        <v>12549</v>
      </c>
      <c r="I20" s="26">
        <f>IFERROR(G20*$B$5,0)</f>
        <v>15651</v>
      </c>
      <c r="J20" s="25" t="s">
        <v>91</v>
      </c>
    </row>
    <row r="21" ht="13.5" customHeight="1">
      <c r="A21" s="20" t="s">
        <v>85</v>
      </c>
      <c r="B21" s="20" t="s">
        <v>92</v>
      </c>
      <c r="C21" s="21" t="s">
        <v>93</v>
      </c>
      <c r="D21" s="20" t="s">
        <v>73</v>
      </c>
      <c r="E21" s="22">
        <f>IFERROR('Rates Reference Table'!G18*$E$5,0)</f>
        <v>84.599999999999994</v>
      </c>
      <c r="F21" s="22">
        <f>IFERROR(E21*(1-$H$5/2),0)</f>
        <v>75.293999999999997</v>
      </c>
      <c r="G21" s="22">
        <f>IFERROR(E21*(1+$H$5/2),0)</f>
        <v>93.906000000000006</v>
      </c>
      <c r="H21" s="22">
        <f>IFERROR(F21*$B$5,0)</f>
        <v>37647</v>
      </c>
      <c r="I21" s="22">
        <f>IFERROR(G21*$B$5,0)</f>
        <v>46953</v>
      </c>
      <c r="J21" s="21" t="s">
        <v>94</v>
      </c>
    </row>
    <row r="22" ht="13.5" customHeight="1">
      <c r="A22" s="24" t="s">
        <v>85</v>
      </c>
      <c r="B22" s="24" t="s">
        <v>95</v>
      </c>
      <c r="C22" s="25" t="s">
        <v>96</v>
      </c>
      <c r="D22" s="24" t="s">
        <v>58</v>
      </c>
      <c r="E22" s="26">
        <f>IFERROR('Rates Reference Table'!G19*$E$5,0)</f>
        <v>23.5</v>
      </c>
      <c r="F22" s="26">
        <f>IFERROR(E22*(1-$H$5/2),0)</f>
        <v>20.914999999999999</v>
      </c>
      <c r="G22" s="26">
        <f>IFERROR(E22*(1+$H$5/2),0)</f>
        <v>26.085000000000001</v>
      </c>
      <c r="H22" s="26">
        <f>IFERROR(F22*$B$5,0)</f>
        <v>10457.5</v>
      </c>
      <c r="I22" s="26">
        <f>IFERROR(G22*$B$5,0)</f>
        <v>13042.5</v>
      </c>
      <c r="J22" s="25" t="s">
        <v>97</v>
      </c>
    </row>
    <row r="23" ht="13.5" customHeight="1">
      <c r="A23" s="20" t="s">
        <v>85</v>
      </c>
      <c r="B23" s="20" t="s">
        <v>98</v>
      </c>
      <c r="C23" s="21" t="s">
        <v>99</v>
      </c>
      <c r="D23" s="20" t="s">
        <v>73</v>
      </c>
      <c r="E23" s="22">
        <f>IFERROR('Rates Reference Table'!G20*$E$5,0)</f>
        <v>103.40000000000001</v>
      </c>
      <c r="F23" s="22">
        <f>IFERROR(E23*(1-$H$5/2),0)</f>
        <v>92.025999999999996</v>
      </c>
      <c r="G23" s="22">
        <f>IFERROR(E23*(1+$H$5/2),0)</f>
        <v>114.774</v>
      </c>
      <c r="H23" s="22">
        <f>IFERROR(F23*$B$5,0)</f>
        <v>46013</v>
      </c>
      <c r="I23" s="22">
        <f>IFERROR(G23*$B$5,0)</f>
        <v>57387</v>
      </c>
      <c r="J23" s="21" t="s">
        <v>100</v>
      </c>
    </row>
    <row r="24" ht="13.5" customHeight="1">
      <c r="A24" s="24" t="s">
        <v>85</v>
      </c>
      <c r="B24" s="24" t="s">
        <v>101</v>
      </c>
      <c r="C24" s="25" t="s">
        <v>102</v>
      </c>
      <c r="D24" s="24" t="s">
        <v>73</v>
      </c>
      <c r="E24" s="26">
        <f>IFERROR('Rates Reference Table'!G21*$E$5,0)</f>
        <v>188</v>
      </c>
      <c r="F24" s="26">
        <f>IFERROR(E24*(1-$H$5/2),0)</f>
        <v>167.31999999999999</v>
      </c>
      <c r="G24" s="26">
        <f>IFERROR(E24*(1+$H$5/2),0)</f>
        <v>208.68000000000001</v>
      </c>
      <c r="H24" s="26">
        <f>IFERROR(F24*$B$5,0)</f>
        <v>83660</v>
      </c>
      <c r="I24" s="26">
        <f>IFERROR(G24*$B$5,0)</f>
        <v>104340</v>
      </c>
      <c r="J24" s="25" t="s">
        <v>103</v>
      </c>
    </row>
    <row r="25" ht="13.5" customHeight="1">
      <c r="A25" s="20" t="s">
        <v>85</v>
      </c>
      <c r="B25" s="20" t="s">
        <v>104</v>
      </c>
      <c r="C25" s="21" t="s">
        <v>105</v>
      </c>
      <c r="D25" s="20" t="s">
        <v>73</v>
      </c>
      <c r="E25" s="22">
        <f>IFERROR('Rates Reference Table'!G22*$E$5,0)</f>
        <v>56.399999999999999</v>
      </c>
      <c r="F25" s="22">
        <f>IFERROR(E25*(1-$H$5/2),0)</f>
        <v>50.195999999999998</v>
      </c>
      <c r="G25" s="22">
        <f>IFERROR(E25*(1+$H$5/2),0)</f>
        <v>62.603999999999999</v>
      </c>
      <c r="H25" s="22">
        <f>IFERROR(F25*$B$5,0)</f>
        <v>25098</v>
      </c>
      <c r="I25" s="22">
        <f>IFERROR(G25*$B$5,0)</f>
        <v>31302</v>
      </c>
      <c r="J25" s="21" t="s">
        <v>106</v>
      </c>
    </row>
    <row r="26" ht="13.5" customHeight="1">
      <c r="A26" s="24" t="s">
        <v>85</v>
      </c>
      <c r="B26" s="24" t="s">
        <v>107</v>
      </c>
      <c r="C26" s="25" t="s">
        <v>108</v>
      </c>
      <c r="D26" s="24" t="s">
        <v>109</v>
      </c>
      <c r="E26" s="26">
        <f>IFERROR('Rates Reference Table'!G23*$E$5,0)</f>
        <v>37.600000000000001</v>
      </c>
      <c r="F26" s="26">
        <f>IFERROR(E26*(1-$H$5/2),0)</f>
        <v>33.463999999999999</v>
      </c>
      <c r="G26" s="26">
        <f>IFERROR(E26*(1+$H$5/2),0)</f>
        <v>41.735999999999997</v>
      </c>
      <c r="H26" s="26">
        <f>IFERROR(F26*$B$5,0)</f>
        <v>16732</v>
      </c>
      <c r="I26" s="26">
        <f>IFERROR(G26*$B$5,0)</f>
        <v>20868</v>
      </c>
      <c r="J26" s="25" t="s">
        <v>110</v>
      </c>
    </row>
    <row r="27" ht="15.75" customHeight="1">
      <c r="A27" s="36" t="s">
        <v>264</v>
      </c>
      <c r="B27" s="36"/>
      <c r="C27" s="36"/>
      <c r="D27" s="36"/>
      <c r="E27" s="36"/>
      <c r="F27" s="36"/>
      <c r="G27" s="36"/>
      <c r="H27" s="36"/>
      <c r="I27" s="36"/>
      <c r="J27" s="36"/>
    </row>
    <row r="28" ht="13.5" customHeight="1">
      <c r="A28" s="20" t="s">
        <v>112</v>
      </c>
      <c r="B28" s="20" t="s">
        <v>113</v>
      </c>
      <c r="C28" s="21" t="s">
        <v>114</v>
      </c>
      <c r="D28" s="20" t="s">
        <v>73</v>
      </c>
      <c r="E28" s="22">
        <f>IFERROR('Rates Reference Table'!G25*$E$5,0)</f>
        <v>70.5</v>
      </c>
      <c r="F28" s="22">
        <f>IFERROR(E28*(1-$H$5/2),0)</f>
        <v>62.744999999999997</v>
      </c>
      <c r="G28" s="22">
        <f>IFERROR(E28*(1+$H$5/2),0)</f>
        <v>78.254999999999995</v>
      </c>
      <c r="H28" s="22">
        <f>IFERROR(F28*$B$5,0)</f>
        <v>31372.5</v>
      </c>
      <c r="I28" s="22">
        <f>IFERROR(G28*$B$5,0)</f>
        <v>39127.5</v>
      </c>
      <c r="J28" s="21" t="s">
        <v>115</v>
      </c>
    </row>
    <row r="29" ht="13.5" customHeight="1">
      <c r="A29" s="24" t="s">
        <v>112</v>
      </c>
      <c r="B29" s="24" t="s">
        <v>116</v>
      </c>
      <c r="C29" s="25" t="s">
        <v>117</v>
      </c>
      <c r="D29" s="24" t="s">
        <v>73</v>
      </c>
      <c r="E29" s="26">
        <f>IFERROR('Rates Reference Table'!G26*$E$5,0)</f>
        <v>122.2</v>
      </c>
      <c r="F29" s="26">
        <f>IFERROR(E29*(1-$H$5/2),0)</f>
        <v>108.758</v>
      </c>
      <c r="G29" s="26">
        <f>IFERROR(E29*(1+$H$5/2),0)</f>
        <v>135.642</v>
      </c>
      <c r="H29" s="26">
        <f>IFERROR(F29*$B$5,0)</f>
        <v>54379</v>
      </c>
      <c r="I29" s="26">
        <f>IFERROR(G29*$B$5,0)</f>
        <v>67821</v>
      </c>
      <c r="J29" s="25" t="s">
        <v>118</v>
      </c>
    </row>
    <row r="30" ht="13.5" customHeight="1">
      <c r="A30" s="20" t="s">
        <v>112</v>
      </c>
      <c r="B30" s="20" t="s">
        <v>119</v>
      </c>
      <c r="C30" s="21" t="s">
        <v>120</v>
      </c>
      <c r="D30" s="20" t="s">
        <v>73</v>
      </c>
      <c r="E30" s="22">
        <f>IFERROR('Rates Reference Table'!G27*$E$5,0)</f>
        <v>61.100000000000001</v>
      </c>
      <c r="F30" s="22">
        <f>IFERROR(E30*(1-$H$5/2),0)</f>
        <v>54.378999999999998</v>
      </c>
      <c r="G30" s="22">
        <f>IFERROR(E30*(1+$H$5/2),0)</f>
        <v>67.820999999999998</v>
      </c>
      <c r="H30" s="22">
        <f>IFERROR(F30*$B$5,0)</f>
        <v>27189.5</v>
      </c>
      <c r="I30" s="22">
        <f>IFERROR(G30*$B$5,0)</f>
        <v>33910.5</v>
      </c>
      <c r="J30" s="21" t="s">
        <v>121</v>
      </c>
    </row>
    <row r="31" ht="15.75" customHeight="1">
      <c r="A31" s="36" t="s">
        <v>265</v>
      </c>
      <c r="B31" s="36"/>
      <c r="C31" s="36"/>
      <c r="D31" s="36"/>
      <c r="E31" s="36"/>
      <c r="F31" s="36"/>
      <c r="G31" s="36"/>
      <c r="H31" s="36"/>
      <c r="I31" s="36"/>
      <c r="J31" s="36"/>
    </row>
    <row r="32" ht="13.5" customHeight="1">
      <c r="A32" s="20" t="s">
        <v>123</v>
      </c>
      <c r="B32" s="20" t="s">
        <v>124</v>
      </c>
      <c r="C32" s="21" t="s">
        <v>125</v>
      </c>
      <c r="D32" s="20" t="s">
        <v>58</v>
      </c>
      <c r="E32" s="22">
        <f>IFERROR('Rates Reference Table'!G29*$E$5,0)</f>
        <v>75.200000000000003</v>
      </c>
      <c r="F32" s="22">
        <f>IFERROR(E32*(1-$H$5/2),0)</f>
        <v>66.927999999999997</v>
      </c>
      <c r="G32" s="22">
        <f>IFERROR(E32*(1+$H$5/2),0)</f>
        <v>83.471999999999994</v>
      </c>
      <c r="H32" s="22">
        <f>IFERROR(F32*$B$5,0)</f>
        <v>33464</v>
      </c>
      <c r="I32" s="22">
        <f>IFERROR(G32*$B$5,0)</f>
        <v>41736</v>
      </c>
      <c r="J32" s="21" t="s">
        <v>126</v>
      </c>
    </row>
    <row r="33" ht="13.5" customHeight="1">
      <c r="A33" s="24" t="s">
        <v>123</v>
      </c>
      <c r="B33" s="24" t="s">
        <v>127</v>
      </c>
      <c r="C33" s="25" t="s">
        <v>128</v>
      </c>
      <c r="D33" s="24" t="s">
        <v>109</v>
      </c>
      <c r="E33" s="26">
        <f>IFERROR('Rates Reference Table'!G30*$E$5,0)</f>
        <v>32.899999999999999</v>
      </c>
      <c r="F33" s="26">
        <f>IFERROR(E33*(1-$H$5/2),0)</f>
        <v>29.280999999999999</v>
      </c>
      <c r="G33" s="26">
        <f>IFERROR(E33*(1+$H$5/2),0)</f>
        <v>36.518999999999998</v>
      </c>
      <c r="H33" s="26">
        <f>IFERROR(F33*$B$5,0)</f>
        <v>14640.5</v>
      </c>
      <c r="I33" s="26">
        <f>IFERROR(G33*$B$5,0)</f>
        <v>18259.5</v>
      </c>
      <c r="J33" s="25" t="s">
        <v>129</v>
      </c>
    </row>
    <row r="34" ht="13.5" customHeight="1">
      <c r="A34" s="20" t="s">
        <v>123</v>
      </c>
      <c r="B34" s="20" t="s">
        <v>130</v>
      </c>
      <c r="C34" s="21" t="s">
        <v>131</v>
      </c>
      <c r="D34" s="20" t="s">
        <v>58</v>
      </c>
      <c r="E34" s="22">
        <f>IFERROR('Rates Reference Table'!G31*$E$5,0)</f>
        <v>32.899999999999999</v>
      </c>
      <c r="F34" s="22">
        <f>IFERROR(E34*(1-$H$5/2),0)</f>
        <v>29.280999999999999</v>
      </c>
      <c r="G34" s="22">
        <f>IFERROR(E34*(1+$H$5/2),0)</f>
        <v>36.518999999999998</v>
      </c>
      <c r="H34" s="22">
        <f>IFERROR(F34*$B$5,0)</f>
        <v>14640.5</v>
      </c>
      <c r="I34" s="22">
        <f>IFERROR(G34*$B$5,0)</f>
        <v>18259.5</v>
      </c>
      <c r="J34" s="21" t="s">
        <v>132</v>
      </c>
    </row>
    <row r="35" ht="13.5" customHeight="1">
      <c r="A35" s="24" t="s">
        <v>123</v>
      </c>
      <c r="B35" s="24" t="s">
        <v>133</v>
      </c>
      <c r="C35" s="25" t="s">
        <v>134</v>
      </c>
      <c r="D35" s="24" t="s">
        <v>58</v>
      </c>
      <c r="E35" s="26">
        <f>IFERROR('Rates Reference Table'!G32*$E$5,0)</f>
        <v>75.200000000000003</v>
      </c>
      <c r="F35" s="26">
        <f>IFERROR(E35*(1-$H$5/2),0)</f>
        <v>66.927999999999997</v>
      </c>
      <c r="G35" s="26">
        <f>IFERROR(E35*(1+$H$5/2),0)</f>
        <v>83.471999999999994</v>
      </c>
      <c r="H35" s="26">
        <f>IFERROR(F35*$B$5,0)</f>
        <v>33464</v>
      </c>
      <c r="I35" s="26">
        <f>IFERROR(G35*$B$5,0)</f>
        <v>41736</v>
      </c>
      <c r="J35" s="25" t="s">
        <v>135</v>
      </c>
    </row>
    <row r="36" ht="15.75" customHeight="1">
      <c r="A36" s="36" t="s">
        <v>266</v>
      </c>
      <c r="B36" s="36"/>
      <c r="C36" s="36"/>
      <c r="D36" s="36"/>
      <c r="E36" s="36"/>
      <c r="F36" s="36"/>
      <c r="G36" s="36"/>
      <c r="H36" s="36"/>
      <c r="I36" s="36"/>
      <c r="J36" s="36"/>
    </row>
    <row r="37" ht="13.5" customHeight="1">
      <c r="A37" s="20" t="s">
        <v>137</v>
      </c>
      <c r="B37" s="20" t="s">
        <v>138</v>
      </c>
      <c r="C37" s="21" t="s">
        <v>139</v>
      </c>
      <c r="D37" s="20" t="s">
        <v>73</v>
      </c>
      <c r="E37" s="22">
        <f>IFERROR('Rates Reference Table'!G34*$E$5,0)</f>
        <v>61.100000000000001</v>
      </c>
      <c r="F37" s="22">
        <f>IFERROR(E37*(1-$H$5/2),0)</f>
        <v>54.378999999999998</v>
      </c>
      <c r="G37" s="22">
        <f>IFERROR(E37*(1+$H$5/2),0)</f>
        <v>67.820999999999998</v>
      </c>
      <c r="H37" s="22">
        <f>IFERROR(F37*$B$5,0)</f>
        <v>27189.5</v>
      </c>
      <c r="I37" s="22">
        <f>IFERROR(G37*$B$5,0)</f>
        <v>33910.5</v>
      </c>
      <c r="J37" s="21" t="s">
        <v>140</v>
      </c>
    </row>
    <row r="38" ht="13.5" customHeight="1">
      <c r="A38" s="24" t="s">
        <v>137</v>
      </c>
      <c r="B38" s="24" t="s">
        <v>141</v>
      </c>
      <c r="C38" s="25" t="s">
        <v>142</v>
      </c>
      <c r="D38" s="24" t="s">
        <v>73</v>
      </c>
      <c r="E38" s="26">
        <f>IFERROR('Rates Reference Table'!G35*$E$5,0)</f>
        <v>84.599999999999994</v>
      </c>
      <c r="F38" s="26">
        <f>IFERROR(E38*(1-$H$5/2),0)</f>
        <v>75.293999999999997</v>
      </c>
      <c r="G38" s="26">
        <f>IFERROR(E38*(1+$H$5/2),0)</f>
        <v>93.906000000000006</v>
      </c>
      <c r="H38" s="26">
        <f>IFERROR(F38*$B$5,0)</f>
        <v>37647</v>
      </c>
      <c r="I38" s="26">
        <f>IFERROR(G38*$B$5,0)</f>
        <v>46953</v>
      </c>
      <c r="J38" s="25" t="s">
        <v>143</v>
      </c>
    </row>
    <row r="39" ht="13.5" customHeight="1">
      <c r="A39" s="20" t="s">
        <v>137</v>
      </c>
      <c r="B39" s="20" t="s">
        <v>144</v>
      </c>
      <c r="C39" s="21" t="s">
        <v>145</v>
      </c>
      <c r="D39" s="20" t="s">
        <v>73</v>
      </c>
      <c r="E39" s="22">
        <f>IFERROR('Rates Reference Table'!G36*$E$5,0)</f>
        <v>84.599999999999994</v>
      </c>
      <c r="F39" s="22">
        <f>IFERROR(E39*(1-$H$5/2),0)</f>
        <v>75.293999999999997</v>
      </c>
      <c r="G39" s="22">
        <f>IFERROR(E39*(1+$H$5/2),0)</f>
        <v>93.906000000000006</v>
      </c>
      <c r="H39" s="22">
        <f>IFERROR(F39*$B$5,0)</f>
        <v>37647</v>
      </c>
      <c r="I39" s="22">
        <f>IFERROR(G39*$B$5,0)</f>
        <v>46953</v>
      </c>
      <c r="J39" s="21" t="s">
        <v>146</v>
      </c>
    </row>
    <row r="40" ht="13.5" customHeight="1">
      <c r="A40" s="24" t="s">
        <v>137</v>
      </c>
      <c r="B40" s="24" t="s">
        <v>147</v>
      </c>
      <c r="C40" s="25" t="s">
        <v>148</v>
      </c>
      <c r="D40" s="24" t="s">
        <v>73</v>
      </c>
      <c r="E40" s="26">
        <f>IFERROR('Rates Reference Table'!G37*$E$5,0)</f>
        <v>65.799999999999997</v>
      </c>
      <c r="F40" s="26">
        <f>IFERROR(E40*(1-$H$5/2),0)</f>
        <v>58.561999999999998</v>
      </c>
      <c r="G40" s="26">
        <f>IFERROR(E40*(1+$H$5/2),0)</f>
        <v>73.037999999999997</v>
      </c>
      <c r="H40" s="26">
        <f>IFERROR(F40*$B$5,0)</f>
        <v>29281</v>
      </c>
      <c r="I40" s="26">
        <f>IFERROR(G40*$B$5,0)</f>
        <v>36519</v>
      </c>
      <c r="J40" s="25" t="s">
        <v>149</v>
      </c>
    </row>
    <row r="41" ht="13.5" customHeight="1">
      <c r="A41" s="20" t="s">
        <v>137</v>
      </c>
      <c r="B41" s="20" t="s">
        <v>150</v>
      </c>
      <c r="C41" s="21" t="s">
        <v>151</v>
      </c>
      <c r="D41" s="20" t="s">
        <v>58</v>
      </c>
      <c r="E41" s="22">
        <f>IFERROR('Rates Reference Table'!G38*$E$5,0)</f>
        <v>14.1</v>
      </c>
      <c r="F41" s="22">
        <f>IFERROR(E41*(1-$H$5/2),0)</f>
        <v>12.548999999999999</v>
      </c>
      <c r="G41" s="22">
        <f>IFERROR(E41*(1+$H$5/2),0)</f>
        <v>15.651</v>
      </c>
      <c r="H41" s="22">
        <f>IFERROR(F41*$B$5,0)</f>
        <v>6274.5</v>
      </c>
      <c r="I41" s="22">
        <f>IFERROR(G41*$B$5,0)</f>
        <v>7825.5</v>
      </c>
      <c r="J41" s="21" t="s">
        <v>152</v>
      </c>
    </row>
    <row r="42" ht="13.5" customHeight="1">
      <c r="A42" s="24" t="s">
        <v>137</v>
      </c>
      <c r="B42" s="24" t="s">
        <v>153</v>
      </c>
      <c r="C42" s="25" t="s">
        <v>154</v>
      </c>
      <c r="D42" s="24" t="s">
        <v>73</v>
      </c>
      <c r="E42" s="26">
        <f>IFERROR('Rates Reference Table'!G39*$E$5,0)</f>
        <v>28.199999999999999</v>
      </c>
      <c r="F42" s="26">
        <f>IFERROR(E42*(1-$H$5/2),0)</f>
        <v>25.097999999999999</v>
      </c>
      <c r="G42" s="26">
        <f>IFERROR(E42*(1+$H$5/2),0)</f>
        <v>31.302</v>
      </c>
      <c r="H42" s="26">
        <f>IFERROR(F42*$B$5,0)</f>
        <v>12549</v>
      </c>
      <c r="I42" s="26">
        <f>IFERROR(G42*$B$5,0)</f>
        <v>15651</v>
      </c>
      <c r="J42" s="25" t="s">
        <v>155</v>
      </c>
    </row>
    <row r="43" ht="13.5" customHeight="1">
      <c r="A43" s="20" t="s">
        <v>137</v>
      </c>
      <c r="B43" s="20" t="s">
        <v>156</v>
      </c>
      <c r="C43" s="21" t="s">
        <v>157</v>
      </c>
      <c r="D43" s="20" t="s">
        <v>73</v>
      </c>
      <c r="E43" s="22">
        <f>IFERROR('Rates Reference Table'!G40*$E$5,0)</f>
        <v>51.700000000000003</v>
      </c>
      <c r="F43" s="22">
        <f>IFERROR(E43*(1-$H$5/2),0)</f>
        <v>46.012999999999998</v>
      </c>
      <c r="G43" s="22">
        <f>IFERROR(E43*(1+$H$5/2),0)</f>
        <v>57.387</v>
      </c>
      <c r="H43" s="22">
        <f>IFERROR(F43*$B$5,0)</f>
        <v>23006.5</v>
      </c>
      <c r="I43" s="22">
        <f>IFERROR(G43*$B$5,0)</f>
        <v>28693.5</v>
      </c>
      <c r="J43" s="21" t="s">
        <v>158</v>
      </c>
    </row>
    <row r="44" ht="13.5" customHeight="1">
      <c r="A44" s="24" t="s">
        <v>137</v>
      </c>
      <c r="B44" s="24" t="s">
        <v>159</v>
      </c>
      <c r="C44" s="25" t="s">
        <v>160</v>
      </c>
      <c r="D44" s="24" t="s">
        <v>73</v>
      </c>
      <c r="E44" s="26">
        <f>IFERROR('Rates Reference Table'!G41*$E$5,0)</f>
        <v>70.5</v>
      </c>
      <c r="F44" s="26">
        <f>IFERROR(E44*(1-$H$5/2),0)</f>
        <v>62.744999999999997</v>
      </c>
      <c r="G44" s="26">
        <f>IFERROR(E44*(1+$H$5/2),0)</f>
        <v>78.254999999999995</v>
      </c>
      <c r="H44" s="26">
        <f>IFERROR(F44*$B$5,0)</f>
        <v>31372.5</v>
      </c>
      <c r="I44" s="26">
        <f>IFERROR(G44*$B$5,0)</f>
        <v>39127.5</v>
      </c>
      <c r="J44" s="25" t="s">
        <v>161</v>
      </c>
    </row>
    <row r="45" ht="13.5" customHeight="1">
      <c r="A45" s="20" t="s">
        <v>137</v>
      </c>
      <c r="B45" s="20" t="s">
        <v>162</v>
      </c>
      <c r="C45" s="21" t="s">
        <v>163</v>
      </c>
      <c r="D45" s="20" t="s">
        <v>73</v>
      </c>
      <c r="E45" s="22">
        <f>IFERROR('Rates Reference Table'!G42*$E$5,0)</f>
        <v>32.899999999999999</v>
      </c>
      <c r="F45" s="22">
        <f>IFERROR(E45*(1-$H$5/2),0)</f>
        <v>29.280999999999999</v>
      </c>
      <c r="G45" s="22">
        <f>IFERROR(E45*(1+$H$5/2),0)</f>
        <v>36.518999999999998</v>
      </c>
      <c r="H45" s="22">
        <f>IFERROR(F45*$B$5,0)</f>
        <v>14640.5</v>
      </c>
      <c r="I45" s="22">
        <f>IFERROR(G45*$B$5,0)</f>
        <v>18259.5</v>
      </c>
      <c r="J45" s="21" t="s">
        <v>164</v>
      </c>
    </row>
    <row r="46" ht="13.5" customHeight="1">
      <c r="A46" s="24" t="s">
        <v>137</v>
      </c>
      <c r="B46" s="24" t="s">
        <v>165</v>
      </c>
      <c r="C46" s="25" t="s">
        <v>166</v>
      </c>
      <c r="D46" s="24" t="s">
        <v>58</v>
      </c>
      <c r="E46" s="26">
        <f>IFERROR('Rates Reference Table'!G43*$E$5,0)</f>
        <v>9.4000000000000004</v>
      </c>
      <c r="F46" s="26">
        <f>IFERROR(E46*(1-$H$5/2),0)</f>
        <v>8.3659999999999997</v>
      </c>
      <c r="G46" s="26">
        <f>IFERROR(E46*(1+$H$5/2),0)</f>
        <v>10.433999999999999</v>
      </c>
      <c r="H46" s="26">
        <f>IFERROR(F46*$B$5,0)</f>
        <v>4183</v>
      </c>
      <c r="I46" s="26">
        <f>IFERROR(G46*$B$5,0)</f>
        <v>5217</v>
      </c>
      <c r="J46" s="25" t="s">
        <v>167</v>
      </c>
    </row>
    <row r="47" ht="13.5" customHeight="1">
      <c r="A47" s="20" t="s">
        <v>137</v>
      </c>
      <c r="B47" s="20" t="s">
        <v>168</v>
      </c>
      <c r="C47" s="21" t="s">
        <v>169</v>
      </c>
      <c r="D47" s="20" t="s">
        <v>170</v>
      </c>
      <c r="E47" s="22">
        <f>IFERROR('Rates Reference Table'!G44*$E$5,0)</f>
        <v>1128</v>
      </c>
      <c r="F47" s="22">
        <f>IFERROR(E47*(1-$H$5/2),0)</f>
        <v>1003.92</v>
      </c>
      <c r="G47" s="22">
        <f>IFERROR(E47*(1+$H$5/2),0)</f>
        <v>1252.0799999999999</v>
      </c>
      <c r="H47" s="22">
        <f>IFERROR(F47*$B$5,0)</f>
        <v>501960</v>
      </c>
      <c r="I47" s="22">
        <f>IFERROR(G47*$B$5,0)</f>
        <v>626040</v>
      </c>
      <c r="J47" s="21" t="s">
        <v>171</v>
      </c>
    </row>
    <row r="48" ht="13.5" customHeight="1">
      <c r="A48" s="24" t="s">
        <v>137</v>
      </c>
      <c r="B48" s="24" t="s">
        <v>172</v>
      </c>
      <c r="C48" s="25" t="s">
        <v>173</v>
      </c>
      <c r="D48" s="24" t="s">
        <v>109</v>
      </c>
      <c r="E48" s="26">
        <f>IFERROR('Rates Reference Table'!G45*$E$5,0)</f>
        <v>2350</v>
      </c>
      <c r="F48" s="26">
        <f>IFERROR(E48*(1-$H$5/2),0)</f>
        <v>2091.5</v>
      </c>
      <c r="G48" s="26">
        <f>IFERROR(E48*(1+$H$5/2),0)</f>
        <v>2608.5</v>
      </c>
      <c r="H48" s="26">
        <f>IFERROR(F48*$B$5,0)</f>
        <v>1045750</v>
      </c>
      <c r="I48" s="26">
        <f>IFERROR(G48*$B$5,0)</f>
        <v>1304250</v>
      </c>
      <c r="J48" s="25" t="s">
        <v>174</v>
      </c>
    </row>
    <row r="49" ht="13.5" customHeight="1">
      <c r="A49" s="20" t="s">
        <v>137</v>
      </c>
      <c r="B49" s="20" t="s">
        <v>175</v>
      </c>
      <c r="C49" s="21" t="s">
        <v>176</v>
      </c>
      <c r="D49" s="20" t="s">
        <v>73</v>
      </c>
      <c r="E49" s="22">
        <f>IFERROR('Rates Reference Table'!G46*$E$5,0)</f>
        <v>32.899999999999999</v>
      </c>
      <c r="F49" s="22">
        <f>IFERROR(E49*(1-$H$5/2),0)</f>
        <v>29.280999999999999</v>
      </c>
      <c r="G49" s="22">
        <f>IFERROR(E49*(1+$H$5/2),0)</f>
        <v>36.518999999999998</v>
      </c>
      <c r="H49" s="22">
        <f>IFERROR(F49*$B$5,0)</f>
        <v>14640.5</v>
      </c>
      <c r="I49" s="22">
        <f>IFERROR(G49*$B$5,0)</f>
        <v>18259.5</v>
      </c>
      <c r="J49" s="21" t="s">
        <v>177</v>
      </c>
    </row>
    <row r="50" ht="13.5" customHeight="1">
      <c r="A50" s="24" t="s">
        <v>137</v>
      </c>
      <c r="B50" s="24" t="s">
        <v>178</v>
      </c>
      <c r="C50" s="25" t="s">
        <v>179</v>
      </c>
      <c r="D50" s="24" t="s">
        <v>58</v>
      </c>
      <c r="E50" s="26">
        <f>IFERROR('Rates Reference Table'!G47*$E$5,0)</f>
        <v>47</v>
      </c>
      <c r="F50" s="26">
        <f>IFERROR(E50*(1-$H$5/2),0)</f>
        <v>41.829999999999998</v>
      </c>
      <c r="G50" s="26">
        <f>IFERROR(E50*(1+$H$5/2),0)</f>
        <v>52.170000000000002</v>
      </c>
      <c r="H50" s="26">
        <f>IFERROR(F50*$B$5,0)</f>
        <v>20915</v>
      </c>
      <c r="I50" s="26">
        <f>IFERROR(G50*$B$5,0)</f>
        <v>26085</v>
      </c>
      <c r="J50" s="25" t="s">
        <v>180</v>
      </c>
    </row>
    <row r="51" ht="13.5" customHeight="1">
      <c r="A51" s="20" t="s">
        <v>137</v>
      </c>
      <c r="B51" s="20" t="s">
        <v>181</v>
      </c>
      <c r="C51" s="21" t="s">
        <v>182</v>
      </c>
      <c r="D51" s="20" t="s">
        <v>73</v>
      </c>
      <c r="E51" s="22">
        <f>IFERROR('Rates Reference Table'!G48*$E$5,0)</f>
        <v>28.199999999999999</v>
      </c>
      <c r="F51" s="22">
        <f>IFERROR(E51*(1-$H$5/2),0)</f>
        <v>25.097999999999999</v>
      </c>
      <c r="G51" s="22">
        <f>IFERROR(E51*(1+$H$5/2),0)</f>
        <v>31.302</v>
      </c>
      <c r="H51" s="22">
        <f>IFERROR(F51*$B$5,0)</f>
        <v>12549</v>
      </c>
      <c r="I51" s="22">
        <f>IFERROR(G51*$B$5,0)</f>
        <v>15651</v>
      </c>
      <c r="J51" s="21" t="s">
        <v>183</v>
      </c>
    </row>
    <row r="52" ht="13.5" customHeight="1">
      <c r="A52" s="24" t="s">
        <v>137</v>
      </c>
      <c r="B52" s="24" t="s">
        <v>184</v>
      </c>
      <c r="C52" s="25" t="s">
        <v>185</v>
      </c>
      <c r="D52" s="24" t="s">
        <v>109</v>
      </c>
      <c r="E52" s="26">
        <f>IFERROR('Rates Reference Table'!G49*$E$5,0)</f>
        <v>112.8</v>
      </c>
      <c r="F52" s="26">
        <f>IFERROR(E52*(1-$H$5/2),0)</f>
        <v>100.392</v>
      </c>
      <c r="G52" s="26">
        <f>IFERROR(E52*(1+$H$5/2),0)</f>
        <v>125.208</v>
      </c>
      <c r="H52" s="26">
        <f>IFERROR(F52*$B$5,0)</f>
        <v>50196</v>
      </c>
      <c r="I52" s="26">
        <f>IFERROR(G52*$B$5,0)</f>
        <v>62604</v>
      </c>
      <c r="J52" s="25" t="s">
        <v>186</v>
      </c>
    </row>
    <row r="53" ht="13.5" customHeight="1">
      <c r="A53" s="20" t="s">
        <v>137</v>
      </c>
      <c r="B53" s="20" t="s">
        <v>187</v>
      </c>
      <c r="C53" s="21" t="s">
        <v>188</v>
      </c>
      <c r="D53" s="20" t="s">
        <v>73</v>
      </c>
      <c r="E53" s="22">
        <f>IFERROR('Rates Reference Table'!G50*$E$5,0)</f>
        <v>20.68</v>
      </c>
      <c r="F53" s="22">
        <f>IFERROR(E53*(1-$H$5/2),0)</f>
        <v>18.405200000000001</v>
      </c>
      <c r="G53" s="22">
        <f>IFERROR(E53*(1+$H$5/2),0)</f>
        <v>22.954799999999999</v>
      </c>
      <c r="H53" s="22">
        <f>IFERROR(F53*$B$5,0)</f>
        <v>9202.6000000000004</v>
      </c>
      <c r="I53" s="22">
        <f>IFERROR(G53*$B$5,0)</f>
        <v>11477.4</v>
      </c>
      <c r="J53" s="21" t="s">
        <v>189</v>
      </c>
    </row>
    <row r="54" ht="15.75" customHeight="1">
      <c r="A54" s="37" t="s">
        <v>267</v>
      </c>
      <c r="B54" s="37"/>
      <c r="C54" s="37"/>
      <c r="D54" s="37"/>
      <c r="E54" s="37"/>
      <c r="F54" s="37"/>
      <c r="G54" s="37"/>
      <c r="H54" s="37"/>
      <c r="I54" s="37"/>
      <c r="J54" s="37"/>
    </row>
    <row r="55" ht="13.5" customHeight="1">
      <c r="A55" s="38" t="s">
        <v>191</v>
      </c>
      <c r="B55" s="38" t="s">
        <v>192</v>
      </c>
      <c r="C55" s="39" t="s">
        <v>193</v>
      </c>
      <c r="D55" s="38" t="s">
        <v>58</v>
      </c>
      <c r="E55" s="40" t="s">
        <v>262</v>
      </c>
      <c r="F55" s="40" t="s">
        <v>262</v>
      </c>
      <c r="G55" s="40" t="s">
        <v>262</v>
      </c>
      <c r="H55" s="41">
        <v>0</v>
      </c>
      <c r="I55" s="41">
        <v>0</v>
      </c>
      <c r="J55" s="39" t="s">
        <v>194</v>
      </c>
    </row>
    <row r="56" ht="13.5" customHeight="1">
      <c r="A56" s="38" t="s">
        <v>191</v>
      </c>
      <c r="B56" s="38" t="s">
        <v>195</v>
      </c>
      <c r="C56" s="39" t="s">
        <v>196</v>
      </c>
      <c r="D56" s="38" t="s">
        <v>58</v>
      </c>
      <c r="E56" s="40" t="s">
        <v>262</v>
      </c>
      <c r="F56" s="40" t="s">
        <v>262</v>
      </c>
      <c r="G56" s="40" t="s">
        <v>262</v>
      </c>
      <c r="H56" s="41">
        <v>0</v>
      </c>
      <c r="I56" s="41">
        <v>0</v>
      </c>
      <c r="J56" s="39" t="s">
        <v>197</v>
      </c>
    </row>
    <row r="57" ht="15.75" customHeight="1">
      <c r="A57" s="36" t="s">
        <v>268</v>
      </c>
      <c r="B57" s="36"/>
      <c r="C57" s="36"/>
      <c r="D57" s="36"/>
      <c r="E57" s="36"/>
      <c r="F57" s="36"/>
      <c r="G57" s="36"/>
      <c r="H57" s="36"/>
      <c r="I57" s="36"/>
      <c r="J57" s="36"/>
    </row>
    <row r="58" ht="13.5" customHeight="1">
      <c r="A58" s="20" t="s">
        <v>199</v>
      </c>
      <c r="B58" s="20" t="s">
        <v>200</v>
      </c>
      <c r="C58" s="21" t="s">
        <v>201</v>
      </c>
      <c r="D58" s="20" t="s">
        <v>58</v>
      </c>
      <c r="E58" s="22">
        <f>IFERROR('Rates Reference Table'!G55*$E$5,0)</f>
        <v>51.700000000000003</v>
      </c>
      <c r="F58" s="22">
        <f>IFERROR(E58*(1-$H$5/2),0)</f>
        <v>46.012999999999998</v>
      </c>
      <c r="G58" s="22">
        <f>IFERROR(E58*(1+$H$5/2),0)</f>
        <v>57.387</v>
      </c>
      <c r="H58" s="22">
        <f>IFERROR(F58*$B$5,0)</f>
        <v>23006.5</v>
      </c>
      <c r="I58" s="22">
        <f>IFERROR(G58*$B$5,0)</f>
        <v>28693.5</v>
      </c>
      <c r="J58" s="21" t="s">
        <v>202</v>
      </c>
    </row>
    <row r="59" ht="13.5" customHeight="1">
      <c r="A59" s="24" t="s">
        <v>199</v>
      </c>
      <c r="B59" s="24" t="s">
        <v>203</v>
      </c>
      <c r="C59" s="25" t="s">
        <v>204</v>
      </c>
      <c r="D59" s="24" t="s">
        <v>58</v>
      </c>
      <c r="E59" s="26">
        <f>IFERROR('Rates Reference Table'!G56*$E$5,0)</f>
        <v>42.299999999999997</v>
      </c>
      <c r="F59" s="26">
        <f>IFERROR(E59*(1-$H$5/2),0)</f>
        <v>37.646999999999998</v>
      </c>
      <c r="G59" s="26">
        <f>IFERROR(E59*(1+$H$5/2),0)</f>
        <v>46.953000000000003</v>
      </c>
      <c r="H59" s="26">
        <f>IFERROR(F59*$B$5,0)</f>
        <v>18823.5</v>
      </c>
      <c r="I59" s="26">
        <f>IFERROR(G59*$B$5,0)</f>
        <v>23476.5</v>
      </c>
      <c r="J59" s="25" t="s">
        <v>205</v>
      </c>
    </row>
    <row r="60" ht="13.5" customHeight="1">
      <c r="A60" s="20" t="s">
        <v>199</v>
      </c>
      <c r="B60" s="20" t="s">
        <v>206</v>
      </c>
      <c r="C60" s="21" t="s">
        <v>207</v>
      </c>
      <c r="D60" s="20" t="s">
        <v>58</v>
      </c>
      <c r="E60" s="22">
        <f>IFERROR('Rates Reference Table'!G57*$E$5,0)</f>
        <v>18.800000000000001</v>
      </c>
      <c r="F60" s="22">
        <f>IFERROR(E60*(1-$H$5/2),0)</f>
        <v>16.731999999999999</v>
      </c>
      <c r="G60" s="22">
        <f>IFERROR(E60*(1+$H$5/2),0)</f>
        <v>20.867999999999999</v>
      </c>
      <c r="H60" s="22">
        <f>IFERROR(F60*$B$5,0)</f>
        <v>8366</v>
      </c>
      <c r="I60" s="22">
        <f>IFERROR(G60*$B$5,0)</f>
        <v>10434</v>
      </c>
      <c r="J60" s="21" t="s">
        <v>208</v>
      </c>
    </row>
    <row r="61" ht="13.5" customHeight="1">
      <c r="A61" s="24" t="s">
        <v>199</v>
      </c>
      <c r="B61" s="24" t="s">
        <v>209</v>
      </c>
      <c r="C61" s="25" t="s">
        <v>210</v>
      </c>
      <c r="D61" s="24" t="s">
        <v>58</v>
      </c>
      <c r="E61" s="26">
        <f>IFERROR('Rates Reference Table'!G58*$E$5,0)</f>
        <v>75.200000000000003</v>
      </c>
      <c r="F61" s="26">
        <f>IFERROR(E61*(1-$H$5/2),0)</f>
        <v>66.927999999999997</v>
      </c>
      <c r="G61" s="26">
        <f>IFERROR(E61*(1+$H$5/2),0)</f>
        <v>83.471999999999994</v>
      </c>
      <c r="H61" s="26">
        <f>IFERROR(F61*$B$5,0)</f>
        <v>33464</v>
      </c>
      <c r="I61" s="26">
        <f>IFERROR(G61*$B$5,0)</f>
        <v>41736</v>
      </c>
      <c r="J61" s="25" t="s">
        <v>211</v>
      </c>
    </row>
    <row r="62" ht="13.5" customHeight="1">
      <c r="A62" s="20" t="s">
        <v>199</v>
      </c>
      <c r="B62" s="20" t="s">
        <v>212</v>
      </c>
      <c r="C62" s="21" t="s">
        <v>213</v>
      </c>
      <c r="D62" s="20" t="s">
        <v>58</v>
      </c>
      <c r="E62" s="22">
        <f>IFERROR('Rates Reference Table'!G59*$E$5,0)</f>
        <v>18.800000000000001</v>
      </c>
      <c r="F62" s="22">
        <f>IFERROR(E62*(1-$H$5/2),0)</f>
        <v>16.731999999999999</v>
      </c>
      <c r="G62" s="22">
        <f>IFERROR(E62*(1+$H$5/2),0)</f>
        <v>20.867999999999999</v>
      </c>
      <c r="H62" s="22">
        <f>IFERROR(F62*$B$5,0)</f>
        <v>8366</v>
      </c>
      <c r="I62" s="22">
        <f>IFERROR(G62*$B$5,0)</f>
        <v>10434</v>
      </c>
      <c r="J62" s="21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Table'!G61*$E$5,0)</f>
        <v>14.1</v>
      </c>
      <c r="F64" s="22">
        <f>IFERROR(E64*(1-$H$5/2),0)</f>
        <v>12.548999999999999</v>
      </c>
      <c r="G64" s="22">
        <f>IFERROR(E64*(1+$H$5/2),0)</f>
        <v>15.651</v>
      </c>
      <c r="H64" s="22">
        <f>IFERROR(F64*$B$5,0)</f>
        <v>6274.5</v>
      </c>
      <c r="I64" s="22">
        <f>IFERROR(G64*$B$5,0)</f>
        <v>7825.5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Table'!G62*$E$5,0)</f>
        <v>18.800000000000001</v>
      </c>
      <c r="F65" s="26">
        <f>IFERROR(E65*(1-$H$5/2),0)</f>
        <v>16.731999999999999</v>
      </c>
      <c r="G65" s="26">
        <f>IFERROR(E65*(1+$H$5/2),0)</f>
        <v>20.867999999999999</v>
      </c>
      <c r="H65" s="26">
        <f>IFERROR(F65*$B$5,0)</f>
        <v>8366</v>
      </c>
      <c r="I65" s="26">
        <f>IFERROR(G65*$B$5,0)</f>
        <v>10434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Table'!G63*$E$5,0)</f>
        <v>9.4000000000000004</v>
      </c>
      <c r="F66" s="22">
        <f>IFERROR(E66*(1-$H$5/2),0)</f>
        <v>8.3659999999999997</v>
      </c>
      <c r="G66" s="22">
        <f>IFERROR(E66*(1+$H$5/2),0)</f>
        <v>10.433999999999999</v>
      </c>
      <c r="H66" s="22">
        <f>IFERROR(F66*$B$5,0)</f>
        <v>4183</v>
      </c>
      <c r="I66" s="22">
        <f>IFERROR(G66*$B$5,0)</f>
        <v>5217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Table'!G64*$E$5,0)</f>
        <v>14.1</v>
      </c>
      <c r="F67" s="26">
        <f>IFERROR(E67*(1-$H$5/2),0)</f>
        <v>12.548999999999999</v>
      </c>
      <c r="G67" s="26">
        <f>IFERROR(E67*(1+$H$5/2),0)</f>
        <v>15.651</v>
      </c>
      <c r="H67" s="26">
        <f>IFERROR(F67*$B$5,0)</f>
        <v>6274.5</v>
      </c>
      <c r="I67" s="26">
        <f>IFERROR(G67*$B$5,0)</f>
        <v>7825.5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Table'!G65*$E$5,0)</f>
        <v>11.279999999999999</v>
      </c>
      <c r="F68" s="22">
        <f>IFERROR(E68*(1-$H$5/2),0)</f>
        <v>10.039199999999999</v>
      </c>
      <c r="G68" s="22">
        <f>IFERROR(E68*(1+$H$5/2),0)</f>
        <v>12.520799999999999</v>
      </c>
      <c r="H68" s="22">
        <f>IFERROR(F68*$B$5,0)</f>
        <v>5019.6000000000004</v>
      </c>
      <c r="I68" s="22">
        <f>IFERROR(G68*$B$5,0)</f>
        <v>6260.3999999999996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Table'!G66*$E$5,0)</f>
        <v>14.1</v>
      </c>
      <c r="F69" s="26">
        <f>IFERROR(E69*(1-$H$5/2),0)</f>
        <v>12.548999999999999</v>
      </c>
      <c r="G69" s="26">
        <f>IFERROR(E69*(1+$H$5/2),0)</f>
        <v>15.651</v>
      </c>
      <c r="H69" s="26">
        <f>IFERROR(F69*$B$5,0)</f>
        <v>6274.5</v>
      </c>
      <c r="I69" s="26">
        <f>IFERROR(G69*$B$5,0)</f>
        <v>7825.5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Table'!G67*$E$5,0)</f>
        <v>7.5199999999999996</v>
      </c>
      <c r="F70" s="22">
        <f>IFERROR(E70*(1-$H$5/2),0)</f>
        <v>6.6928000000000001</v>
      </c>
      <c r="G70" s="22">
        <f>IFERROR(E70*(1+$H$5/2),0)</f>
        <v>8.3472000000000008</v>
      </c>
      <c r="H70" s="22">
        <f>IFERROR(F70*$B$5,0)</f>
        <v>3346.4000000000001</v>
      </c>
      <c r="I70" s="22">
        <f>IFERROR(G70*$B$5,0)</f>
        <v>4173.6000000000004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Table'!G68*$E$5,0)</f>
        <v>7.5199999999999996</v>
      </c>
      <c r="F71" s="26">
        <f>IFERROR(E71*(1-$H$5/2),0)</f>
        <v>6.6928000000000001</v>
      </c>
      <c r="G71" s="26">
        <f>IFERROR(E71*(1+$H$5/2),0)</f>
        <v>8.3472000000000008</v>
      </c>
      <c r="H71" s="26">
        <f>IFERROR(F71*$B$5,0)</f>
        <v>3346.4000000000001</v>
      </c>
      <c r="I71" s="26">
        <f>IFERROR(G71*$B$5,0)</f>
        <v>4173.6000000000004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Table'!G69*$E$5,0)</f>
        <v>4.7000000000000002</v>
      </c>
      <c r="F72" s="22">
        <f>IFERROR(E72*(1-$H$5/2),0)</f>
        <v>4.1829999999999998</v>
      </c>
      <c r="G72" s="22">
        <f>IFERROR(E72*(1+$H$5/2),0)</f>
        <v>5.2169999999999996</v>
      </c>
      <c r="H72" s="22">
        <f>IFERROR(F72*$B$5,0)</f>
        <v>2091.5</v>
      </c>
      <c r="I72" s="22">
        <f>IFERROR(G72*$B$5,0)</f>
        <v>2608.5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2528623.5</v>
      </c>
      <c r="I73" s="43">
        <f>SUMPRODUCT((I8:I72&gt;0)*I8:I72)</f>
        <v>3153676.5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202289.88</v>
      </c>
      <c r="I77" s="22">
        <f>IFERROR(G77*I73,0)</f>
        <v>315367.65000000002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202289.88</v>
      </c>
      <c r="I78" s="26">
        <f>IFERROR(G78*I73,0)</f>
        <v>378441.17999999999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2933203.2599999998</v>
      </c>
      <c r="I79" s="43">
        <f>I73+I77+I78</f>
        <v>3847485.3300000001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146660.163</v>
      </c>
      <c r="I80" s="26">
        <f>IFERROR(G80*I79,0)</f>
        <v>577122.79949999996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58664.065199999997</v>
      </c>
      <c r="I81" s="22">
        <f>IFERROR(G81*I79,0)</f>
        <v>153899.41320000001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126431.175</v>
      </c>
      <c r="I82" s="51">
        <f>IFERROR(G82*I73,0)</f>
        <v>315367.65000000002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126431.175</v>
      </c>
      <c r="I83" s="55">
        <f>IFERROR(0.05*I73,0)</f>
        <v>157683.82500000001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50572.470000000001</v>
      </c>
      <c r="I84" s="26">
        <f>IFERROR(G84*I73,0)</f>
        <v>378441.17999999999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3441962.3081999999</v>
      </c>
      <c r="I85" s="57">
        <f>I79+I80+I81+I82+I83+I84</f>
        <v>5430000.1977000004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688392.46163999999</v>
      </c>
      <c r="I86" s="61">
        <f>IFERROR(0.2*I85,0)</f>
        <v>1086000.03954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5057.2470000000003</v>
      </c>
      <c r="F88" s="64"/>
      <c r="G88" s="65">
        <f>IFERROR(I73/$B$5,0)</f>
        <v>6307.3530000000001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6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317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318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319</v>
      </c>
      <c r="D4" s="31" t="s">
        <v>248</v>
      </c>
      <c r="E4" s="32" t="s">
        <v>320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500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Table'!H6*$E$5,0)</f>
        <v>9.4000000000000004</v>
      </c>
      <c r="F9" s="22">
        <f>IFERROR(E9*(1-$H$5/2),0)</f>
        <v>8.3659999999999997</v>
      </c>
      <c r="G9" s="22">
        <f>IFERROR(E9*(1+$H$5/2),0)</f>
        <v>10.433999999999999</v>
      </c>
      <c r="H9" s="22">
        <f>IFERROR(F9*$B$5,0)</f>
        <v>4183</v>
      </c>
      <c r="I9" s="22">
        <f>IFERROR(G9*$B$5,0)</f>
        <v>5217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Table'!H7*$E$5,0)</f>
        <v>14.1</v>
      </c>
      <c r="F10" s="26">
        <f>IFERROR(E10*(1-$H$5/2),0)</f>
        <v>12.548999999999999</v>
      </c>
      <c r="G10" s="26">
        <f>IFERROR(E10*(1+$H$5/2),0)</f>
        <v>15.651</v>
      </c>
      <c r="H10" s="26">
        <f>IFERROR(F10*$B$5,0)</f>
        <v>6274.5</v>
      </c>
      <c r="I10" s="26">
        <f>IFERROR(G10*$B$5,0)</f>
        <v>7825.5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Table'!H8*$E$5,0)</f>
        <v>9.4000000000000004</v>
      </c>
      <c r="F11" s="22">
        <f>IFERROR(E11*(1-$H$5/2),0)</f>
        <v>8.3659999999999997</v>
      </c>
      <c r="G11" s="22">
        <f>IFERROR(E11*(1+$H$5/2),0)</f>
        <v>10.433999999999999</v>
      </c>
      <c r="H11" s="22">
        <f>IFERROR(F11*$B$5,0)</f>
        <v>4183</v>
      </c>
      <c r="I11" s="22">
        <f>IFERROR(G11*$B$5,0)</f>
        <v>5217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Table'!H9*$E$5,0)</f>
        <v>7.5199999999999996</v>
      </c>
      <c r="F12" s="26">
        <f>IFERROR(E12*(1-$H$5/2),0)</f>
        <v>6.6928000000000001</v>
      </c>
      <c r="G12" s="26">
        <f>IFERROR(E12*(1+$H$5/2),0)</f>
        <v>8.3472000000000008</v>
      </c>
      <c r="H12" s="26">
        <f>IFERROR(F12*$B$5,0)</f>
        <v>3346.4000000000001</v>
      </c>
      <c r="I12" s="26">
        <f>IFERROR(G12*$B$5,0)</f>
        <v>4173.6000000000004</v>
      </c>
      <c r="J12" s="25" t="s">
        <v>68</v>
      </c>
    </row>
    <row r="13" ht="15.75" customHeight="1">
      <c r="A13" s="36" t="s">
        <v>261</v>
      </c>
      <c r="B13" s="36"/>
      <c r="C13" s="36"/>
      <c r="D13" s="36"/>
      <c r="E13" s="36"/>
      <c r="F13" s="36"/>
      <c r="G13" s="36"/>
      <c r="H13" s="36"/>
      <c r="I13" s="36"/>
      <c r="J13" s="36"/>
    </row>
    <row r="14" ht="13.5" customHeight="1">
      <c r="A14" s="20" t="s">
        <v>70</v>
      </c>
      <c r="B14" s="20" t="s">
        <v>71</v>
      </c>
      <c r="C14" s="21" t="s">
        <v>72</v>
      </c>
      <c r="D14" s="20" t="s">
        <v>73</v>
      </c>
      <c r="E14" s="22">
        <f>IFERROR('Rates Reference Table'!H11*$E$5,0)</f>
        <v>51.700000000000003</v>
      </c>
      <c r="F14" s="22">
        <f>IFERROR(E14*(1-$H$5/2),0)</f>
        <v>46.012999999999998</v>
      </c>
      <c r="G14" s="22">
        <f>IFERROR(E14*(1+$H$5/2),0)</f>
        <v>57.387</v>
      </c>
      <c r="H14" s="22">
        <f>IFERROR(F14*$B$5,0)</f>
        <v>23006.5</v>
      </c>
      <c r="I14" s="22">
        <f>IFERROR(G14*$B$5,0)</f>
        <v>28693.5</v>
      </c>
      <c r="J14" s="21" t="s">
        <v>74</v>
      </c>
    </row>
    <row r="15" ht="13.5" customHeight="1">
      <c r="A15" s="24" t="s">
        <v>70</v>
      </c>
      <c r="B15" s="24" t="s">
        <v>75</v>
      </c>
      <c r="C15" s="25" t="s">
        <v>76</v>
      </c>
      <c r="D15" s="24" t="s">
        <v>73</v>
      </c>
      <c r="E15" s="26">
        <f>IFERROR('Rates Reference Table'!H12*$E$5,0)</f>
        <v>37.600000000000001</v>
      </c>
      <c r="F15" s="26">
        <f>IFERROR(E15*(1-$H$5/2),0)</f>
        <v>33.463999999999999</v>
      </c>
      <c r="G15" s="26">
        <f>IFERROR(E15*(1+$H$5/2),0)</f>
        <v>41.735999999999997</v>
      </c>
      <c r="H15" s="26">
        <f>IFERROR(F15*$B$5,0)</f>
        <v>16732</v>
      </c>
      <c r="I15" s="26">
        <f>IFERROR(G15*$B$5,0)</f>
        <v>20868</v>
      </c>
      <c r="J15" s="25" t="s">
        <v>77</v>
      </c>
    </row>
    <row r="16" ht="13.5" customHeight="1">
      <c r="A16" s="20" t="s">
        <v>70</v>
      </c>
      <c r="B16" s="20" t="s">
        <v>78</v>
      </c>
      <c r="C16" s="21" t="s">
        <v>79</v>
      </c>
      <c r="D16" s="20" t="s">
        <v>73</v>
      </c>
      <c r="E16" s="22">
        <f>IFERROR('Rates Reference Table'!H13*$E$5,0)</f>
        <v>32.899999999999999</v>
      </c>
      <c r="F16" s="22">
        <f>IFERROR(E16*(1-$H$5/2),0)</f>
        <v>29.280999999999999</v>
      </c>
      <c r="G16" s="22">
        <f>IFERROR(E16*(1+$H$5/2),0)</f>
        <v>36.518999999999998</v>
      </c>
      <c r="H16" s="22">
        <f>IFERROR(F16*$B$5,0)</f>
        <v>14640.5</v>
      </c>
      <c r="I16" s="22">
        <f>IFERROR(G16*$B$5,0)</f>
        <v>18259.5</v>
      </c>
      <c r="J16" s="21" t="s">
        <v>80</v>
      </c>
    </row>
    <row r="17" ht="13.5" customHeight="1">
      <c r="A17" s="24" t="s">
        <v>70</v>
      </c>
      <c r="B17" s="24" t="s">
        <v>81</v>
      </c>
      <c r="C17" s="25" t="s">
        <v>82</v>
      </c>
      <c r="D17" s="24" t="s">
        <v>58</v>
      </c>
      <c r="E17" s="26">
        <f>IFERROR('Rates Reference Table'!H14*$E$5,0)</f>
        <v>75.200000000000003</v>
      </c>
      <c r="F17" s="26">
        <f>IFERROR(E17*(1-$H$5/2),0)</f>
        <v>66.927999999999997</v>
      </c>
      <c r="G17" s="26">
        <f>IFERROR(E17*(1+$H$5/2),0)</f>
        <v>83.471999999999994</v>
      </c>
      <c r="H17" s="26">
        <f>IFERROR(F17*$B$5,0)</f>
        <v>33464</v>
      </c>
      <c r="I17" s="26">
        <f>IFERROR(G17*$B$5,0)</f>
        <v>41736</v>
      </c>
      <c r="J17" s="25" t="s">
        <v>83</v>
      </c>
    </row>
    <row r="18" ht="15.75" customHeight="1">
      <c r="A18" s="36" t="s">
        <v>263</v>
      </c>
      <c r="B18" s="36"/>
      <c r="C18" s="36"/>
      <c r="D18" s="36"/>
      <c r="E18" s="36"/>
      <c r="F18" s="36"/>
      <c r="G18" s="36"/>
      <c r="H18" s="36"/>
      <c r="I18" s="36"/>
      <c r="J18" s="36"/>
    </row>
    <row r="19" ht="13.5" customHeight="1">
      <c r="A19" s="20" t="s">
        <v>85</v>
      </c>
      <c r="B19" s="20" t="s">
        <v>86</v>
      </c>
      <c r="C19" s="21" t="s">
        <v>87</v>
      </c>
      <c r="D19" s="20" t="s">
        <v>73</v>
      </c>
      <c r="E19" s="22">
        <f>IFERROR('Rates Reference Table'!H16*$E$5,0)</f>
        <v>141</v>
      </c>
      <c r="F19" s="22">
        <f>IFERROR(E19*(1-$H$5/2),0)</f>
        <v>125.48999999999999</v>
      </c>
      <c r="G19" s="22">
        <f>IFERROR(E19*(1+$H$5/2),0)</f>
        <v>156.50999999999999</v>
      </c>
      <c r="H19" s="22">
        <f>IFERROR(F19*$B$5,0)</f>
        <v>62745</v>
      </c>
      <c r="I19" s="22">
        <f>IFERROR(G19*$B$5,0)</f>
        <v>78255</v>
      </c>
      <c r="J19" s="21" t="s">
        <v>88</v>
      </c>
    </row>
    <row r="20" ht="13.5" customHeight="1">
      <c r="A20" s="24" t="s">
        <v>85</v>
      </c>
      <c r="B20" s="24" t="s">
        <v>89</v>
      </c>
      <c r="C20" s="25" t="s">
        <v>90</v>
      </c>
      <c r="D20" s="24" t="s">
        <v>73</v>
      </c>
      <c r="E20" s="26">
        <f>IFERROR('Rates Reference Table'!H17*$E$5,0)</f>
        <v>61.100000000000001</v>
      </c>
      <c r="F20" s="26">
        <f>IFERROR(E20*(1-$H$5/2),0)</f>
        <v>54.378999999999998</v>
      </c>
      <c r="G20" s="26">
        <f>IFERROR(E20*(1+$H$5/2),0)</f>
        <v>67.820999999999998</v>
      </c>
      <c r="H20" s="26">
        <f>IFERROR(F20*$B$5,0)</f>
        <v>27189.5</v>
      </c>
      <c r="I20" s="26">
        <f>IFERROR(G20*$B$5,0)</f>
        <v>33910.5</v>
      </c>
      <c r="J20" s="25" t="s">
        <v>91</v>
      </c>
    </row>
    <row r="21" ht="13.5" customHeight="1">
      <c r="A21" s="20" t="s">
        <v>85</v>
      </c>
      <c r="B21" s="20" t="s">
        <v>92</v>
      </c>
      <c r="C21" s="21" t="s">
        <v>93</v>
      </c>
      <c r="D21" s="20" t="s">
        <v>73</v>
      </c>
      <c r="E21" s="22">
        <f>IFERROR('Rates Reference Table'!H18*$E$5,0)</f>
        <v>70.5</v>
      </c>
      <c r="F21" s="22">
        <f>IFERROR(E21*(1-$H$5/2),0)</f>
        <v>62.744999999999997</v>
      </c>
      <c r="G21" s="22">
        <f>IFERROR(E21*(1+$H$5/2),0)</f>
        <v>78.254999999999995</v>
      </c>
      <c r="H21" s="22">
        <f>IFERROR(F21*$B$5,0)</f>
        <v>31372.5</v>
      </c>
      <c r="I21" s="22">
        <f>IFERROR(G21*$B$5,0)</f>
        <v>39127.5</v>
      </c>
      <c r="J21" s="21" t="s">
        <v>94</v>
      </c>
    </row>
    <row r="22" ht="13.5" customHeight="1">
      <c r="A22" s="24" t="s">
        <v>85</v>
      </c>
      <c r="B22" s="24" t="s">
        <v>95</v>
      </c>
      <c r="C22" s="25" t="s">
        <v>96</v>
      </c>
      <c r="D22" s="24" t="s">
        <v>58</v>
      </c>
      <c r="E22" s="26">
        <f>IFERROR('Rates Reference Table'!H19*$E$5,0)</f>
        <v>18.800000000000001</v>
      </c>
      <c r="F22" s="26">
        <f>IFERROR(E22*(1-$H$5/2),0)</f>
        <v>16.731999999999999</v>
      </c>
      <c r="G22" s="26">
        <f>IFERROR(E22*(1+$H$5/2),0)</f>
        <v>20.867999999999999</v>
      </c>
      <c r="H22" s="26">
        <f>IFERROR(F22*$B$5,0)</f>
        <v>8366</v>
      </c>
      <c r="I22" s="26">
        <f>IFERROR(G22*$B$5,0)</f>
        <v>10434</v>
      </c>
      <c r="J22" s="25" t="s">
        <v>97</v>
      </c>
    </row>
    <row r="23" ht="13.5" customHeight="1">
      <c r="A23" s="20" t="s">
        <v>85</v>
      </c>
      <c r="B23" s="20" t="s">
        <v>98</v>
      </c>
      <c r="C23" s="21" t="s">
        <v>99</v>
      </c>
      <c r="D23" s="20" t="s">
        <v>73</v>
      </c>
      <c r="E23" s="22">
        <f>IFERROR('Rates Reference Table'!H20*$E$5,0)</f>
        <v>188</v>
      </c>
      <c r="F23" s="22">
        <f>IFERROR(E23*(1-$H$5/2),0)</f>
        <v>167.31999999999999</v>
      </c>
      <c r="G23" s="22">
        <f>IFERROR(E23*(1+$H$5/2),0)</f>
        <v>208.68000000000001</v>
      </c>
      <c r="H23" s="22">
        <f>IFERROR(F23*$B$5,0)</f>
        <v>83660</v>
      </c>
      <c r="I23" s="22">
        <f>IFERROR(G23*$B$5,0)</f>
        <v>104340</v>
      </c>
      <c r="J23" s="21" t="s">
        <v>100</v>
      </c>
    </row>
    <row r="24" ht="13.5" customHeight="1">
      <c r="A24" s="24" t="s">
        <v>85</v>
      </c>
      <c r="B24" s="24" t="s">
        <v>101</v>
      </c>
      <c r="C24" s="25" t="s">
        <v>102</v>
      </c>
      <c r="D24" s="24" t="s">
        <v>73</v>
      </c>
      <c r="E24" s="26">
        <f>IFERROR('Rates Reference Table'!H21*$E$5,0)</f>
        <v>94</v>
      </c>
      <c r="F24" s="26">
        <f>IFERROR(E24*(1-$H$5/2),0)</f>
        <v>83.659999999999997</v>
      </c>
      <c r="G24" s="26">
        <f>IFERROR(E24*(1+$H$5/2),0)</f>
        <v>104.34</v>
      </c>
      <c r="H24" s="26">
        <f>IFERROR(F24*$B$5,0)</f>
        <v>41830</v>
      </c>
      <c r="I24" s="26">
        <f>IFERROR(G24*$B$5,0)</f>
        <v>52170</v>
      </c>
      <c r="J24" s="25" t="s">
        <v>103</v>
      </c>
    </row>
    <row r="25" ht="13.5" customHeight="1">
      <c r="A25" s="20" t="s">
        <v>85</v>
      </c>
      <c r="B25" s="20" t="s">
        <v>104</v>
      </c>
      <c r="C25" s="21" t="s">
        <v>105</v>
      </c>
      <c r="D25" s="20" t="s">
        <v>73</v>
      </c>
      <c r="E25" s="22">
        <f>IFERROR('Rates Reference Table'!H22*$E$5,0)</f>
        <v>28.199999999999999</v>
      </c>
      <c r="F25" s="22">
        <f>IFERROR(E25*(1-$H$5/2),0)</f>
        <v>25.097999999999999</v>
      </c>
      <c r="G25" s="22">
        <f>IFERROR(E25*(1+$H$5/2),0)</f>
        <v>31.302</v>
      </c>
      <c r="H25" s="22">
        <f>IFERROR(F25*$B$5,0)</f>
        <v>12549</v>
      </c>
      <c r="I25" s="22">
        <f>IFERROR(G25*$B$5,0)</f>
        <v>15651</v>
      </c>
      <c r="J25" s="21" t="s">
        <v>106</v>
      </c>
    </row>
    <row r="26" ht="13.5" customHeight="1">
      <c r="A26" s="24" t="s">
        <v>85</v>
      </c>
      <c r="B26" s="24" t="s">
        <v>107</v>
      </c>
      <c r="C26" s="25" t="s">
        <v>108</v>
      </c>
      <c r="D26" s="24" t="s">
        <v>109</v>
      </c>
      <c r="E26" s="26">
        <f>IFERROR('Rates Reference Table'!H23*$E$5,0)</f>
        <v>18.800000000000001</v>
      </c>
      <c r="F26" s="26">
        <f>IFERROR(E26*(1-$H$5/2),0)</f>
        <v>16.731999999999999</v>
      </c>
      <c r="G26" s="26">
        <f>IFERROR(E26*(1+$H$5/2),0)</f>
        <v>20.867999999999999</v>
      </c>
      <c r="H26" s="26">
        <f>IFERROR(F26*$B$5,0)</f>
        <v>8366</v>
      </c>
      <c r="I26" s="26">
        <f>IFERROR(G26*$B$5,0)</f>
        <v>10434</v>
      </c>
      <c r="J26" s="25" t="s">
        <v>110</v>
      </c>
    </row>
    <row r="27" ht="15.75" customHeight="1">
      <c r="A27" s="36" t="s">
        <v>264</v>
      </c>
      <c r="B27" s="36"/>
      <c r="C27" s="36"/>
      <c r="D27" s="36"/>
      <c r="E27" s="36"/>
      <c r="F27" s="36"/>
      <c r="G27" s="36"/>
      <c r="H27" s="36"/>
      <c r="I27" s="36"/>
      <c r="J27" s="36"/>
    </row>
    <row r="28" ht="13.5" customHeight="1">
      <c r="A28" s="20" t="s">
        <v>112</v>
      </c>
      <c r="B28" s="20" t="s">
        <v>113</v>
      </c>
      <c r="C28" s="21" t="s">
        <v>114</v>
      </c>
      <c r="D28" s="20" t="s">
        <v>73</v>
      </c>
      <c r="E28" s="22">
        <f>IFERROR('Rates Reference Table'!H25*$E$5,0)</f>
        <v>23.5</v>
      </c>
      <c r="F28" s="22">
        <f>IFERROR(E28*(1-$H$5/2),0)</f>
        <v>20.914999999999999</v>
      </c>
      <c r="G28" s="22">
        <f>IFERROR(E28*(1+$H$5/2),0)</f>
        <v>26.085000000000001</v>
      </c>
      <c r="H28" s="22">
        <f>IFERROR(F28*$B$5,0)</f>
        <v>10457.5</v>
      </c>
      <c r="I28" s="22">
        <f>IFERROR(G28*$B$5,0)</f>
        <v>13042.5</v>
      </c>
      <c r="J28" s="21" t="s">
        <v>115</v>
      </c>
    </row>
    <row r="29" ht="13.5" customHeight="1">
      <c r="A29" s="24" t="s">
        <v>112</v>
      </c>
      <c r="B29" s="24" t="s">
        <v>116</v>
      </c>
      <c r="C29" s="25" t="s">
        <v>117</v>
      </c>
      <c r="D29" s="24" t="s">
        <v>73</v>
      </c>
      <c r="E29" s="26">
        <f>IFERROR('Rates Reference Table'!H26*$E$5,0)</f>
        <v>28.199999999999999</v>
      </c>
      <c r="F29" s="26">
        <f>IFERROR(E29*(1-$H$5/2),0)</f>
        <v>25.097999999999999</v>
      </c>
      <c r="G29" s="26">
        <f>IFERROR(E29*(1+$H$5/2),0)</f>
        <v>31.302</v>
      </c>
      <c r="H29" s="26">
        <f>IFERROR(F29*$B$5,0)</f>
        <v>12549</v>
      </c>
      <c r="I29" s="26">
        <f>IFERROR(G29*$B$5,0)</f>
        <v>15651</v>
      </c>
      <c r="J29" s="25" t="s">
        <v>118</v>
      </c>
    </row>
    <row r="30" ht="13.5" customHeight="1">
      <c r="A30" s="20" t="s">
        <v>112</v>
      </c>
      <c r="B30" s="20" t="s">
        <v>119</v>
      </c>
      <c r="C30" s="21" t="s">
        <v>120</v>
      </c>
      <c r="D30" s="20" t="s">
        <v>73</v>
      </c>
      <c r="E30" s="22">
        <f>IFERROR('Rates Reference Table'!H27*$E$5,0)</f>
        <v>14.1</v>
      </c>
      <c r="F30" s="22">
        <f>IFERROR(E30*(1-$H$5/2),0)</f>
        <v>12.548999999999999</v>
      </c>
      <c r="G30" s="22">
        <f>IFERROR(E30*(1+$H$5/2),0)</f>
        <v>15.651</v>
      </c>
      <c r="H30" s="22">
        <f>IFERROR(F30*$B$5,0)</f>
        <v>6274.5</v>
      </c>
      <c r="I30" s="22">
        <f>IFERROR(G30*$B$5,0)</f>
        <v>7825.5</v>
      </c>
      <c r="J30" s="21" t="s">
        <v>121</v>
      </c>
    </row>
    <row r="31" ht="15.75" customHeight="1">
      <c r="A31" s="36" t="s">
        <v>265</v>
      </c>
      <c r="B31" s="36"/>
      <c r="C31" s="36"/>
      <c r="D31" s="36"/>
      <c r="E31" s="36"/>
      <c r="F31" s="36"/>
      <c r="G31" s="36"/>
      <c r="H31" s="36"/>
      <c r="I31" s="36"/>
      <c r="J31" s="36"/>
    </row>
    <row r="32" ht="13.5" customHeight="1">
      <c r="A32" s="20" t="s">
        <v>123</v>
      </c>
      <c r="B32" s="20" t="s">
        <v>124</v>
      </c>
      <c r="C32" s="21" t="s">
        <v>125</v>
      </c>
      <c r="D32" s="20" t="s">
        <v>58</v>
      </c>
      <c r="E32" s="22">
        <f>IFERROR('Rates Reference Table'!H29*$E$5,0)</f>
        <v>14.1</v>
      </c>
      <c r="F32" s="22">
        <f>IFERROR(E32*(1-$H$5/2),0)</f>
        <v>12.548999999999999</v>
      </c>
      <c r="G32" s="22">
        <f>IFERROR(E32*(1+$H$5/2),0)</f>
        <v>15.651</v>
      </c>
      <c r="H32" s="22">
        <f>IFERROR(F32*$B$5,0)</f>
        <v>6274.5</v>
      </c>
      <c r="I32" s="22">
        <f>IFERROR(G32*$B$5,0)</f>
        <v>7825.5</v>
      </c>
      <c r="J32" s="21" t="s">
        <v>126</v>
      </c>
    </row>
    <row r="33" ht="13.5" customHeight="1">
      <c r="A33" s="24" t="s">
        <v>123</v>
      </c>
      <c r="B33" s="24" t="s">
        <v>127</v>
      </c>
      <c r="C33" s="25" t="s">
        <v>128</v>
      </c>
      <c r="D33" s="24" t="s">
        <v>109</v>
      </c>
      <c r="E33" s="26">
        <f>IFERROR('Rates Reference Table'!H30*$E$5,0)</f>
        <v>9.4000000000000004</v>
      </c>
      <c r="F33" s="26">
        <f>IFERROR(E33*(1-$H$5/2),0)</f>
        <v>8.3659999999999997</v>
      </c>
      <c r="G33" s="26">
        <f>IFERROR(E33*(1+$H$5/2),0)</f>
        <v>10.433999999999999</v>
      </c>
      <c r="H33" s="26">
        <f>IFERROR(F33*$B$5,0)</f>
        <v>4183</v>
      </c>
      <c r="I33" s="26">
        <f>IFERROR(G33*$B$5,0)</f>
        <v>5217</v>
      </c>
      <c r="J33" s="25" t="s">
        <v>129</v>
      </c>
    </row>
    <row r="34" ht="13.5" customHeight="1">
      <c r="A34" s="20" t="s">
        <v>123</v>
      </c>
      <c r="B34" s="20" t="s">
        <v>130</v>
      </c>
      <c r="C34" s="21" t="s">
        <v>131</v>
      </c>
      <c r="D34" s="20" t="s">
        <v>58</v>
      </c>
      <c r="E34" s="22">
        <f>IFERROR('Rates Reference Table'!H31*$E$5,0)</f>
        <v>7.5199999999999996</v>
      </c>
      <c r="F34" s="22">
        <f>IFERROR(E34*(1-$H$5/2),0)</f>
        <v>6.6928000000000001</v>
      </c>
      <c r="G34" s="22">
        <f>IFERROR(E34*(1+$H$5/2),0)</f>
        <v>8.3472000000000008</v>
      </c>
      <c r="H34" s="22">
        <f>IFERROR(F34*$B$5,0)</f>
        <v>3346.4000000000001</v>
      </c>
      <c r="I34" s="22">
        <f>IFERROR(G34*$B$5,0)</f>
        <v>4173.6000000000004</v>
      </c>
      <c r="J34" s="21" t="s">
        <v>132</v>
      </c>
    </row>
    <row r="35" ht="13.5" customHeight="1">
      <c r="A35" s="24" t="s">
        <v>123</v>
      </c>
      <c r="B35" s="24" t="s">
        <v>133</v>
      </c>
      <c r="C35" s="25" t="s">
        <v>134</v>
      </c>
      <c r="D35" s="24" t="s">
        <v>58</v>
      </c>
      <c r="E35" s="26">
        <f>IFERROR('Rates Reference Table'!H32*$E$5,0)</f>
        <v>4.7000000000000002</v>
      </c>
      <c r="F35" s="26">
        <f>IFERROR(E35*(1-$H$5/2),0)</f>
        <v>4.1829999999999998</v>
      </c>
      <c r="G35" s="26">
        <f>IFERROR(E35*(1+$H$5/2),0)</f>
        <v>5.2169999999999996</v>
      </c>
      <c r="H35" s="26">
        <f>IFERROR(F35*$B$5,0)</f>
        <v>2091.5</v>
      </c>
      <c r="I35" s="26">
        <f>IFERROR(G35*$B$5,0)</f>
        <v>2608.5</v>
      </c>
      <c r="J35" s="25" t="s">
        <v>135</v>
      </c>
    </row>
    <row r="36" ht="15.75" customHeight="1">
      <c r="A36" s="36" t="s">
        <v>266</v>
      </c>
      <c r="B36" s="36"/>
      <c r="C36" s="36"/>
      <c r="D36" s="36"/>
      <c r="E36" s="36"/>
      <c r="F36" s="36"/>
      <c r="G36" s="36"/>
      <c r="H36" s="36"/>
      <c r="I36" s="36"/>
      <c r="J36" s="36"/>
    </row>
    <row r="37" ht="13.5" customHeight="1">
      <c r="A37" s="20" t="s">
        <v>137</v>
      </c>
      <c r="B37" s="20" t="s">
        <v>138</v>
      </c>
      <c r="C37" s="21" t="s">
        <v>139</v>
      </c>
      <c r="D37" s="20" t="s">
        <v>73</v>
      </c>
      <c r="E37" s="22">
        <f>IFERROR('Rates Reference Table'!H34*$E$5,0)</f>
        <v>23.5</v>
      </c>
      <c r="F37" s="22">
        <f>IFERROR(E37*(1-$H$5/2),0)</f>
        <v>20.914999999999999</v>
      </c>
      <c r="G37" s="22">
        <f>IFERROR(E37*(1+$H$5/2),0)</f>
        <v>26.085000000000001</v>
      </c>
      <c r="H37" s="22">
        <f>IFERROR(F37*$B$5,0)</f>
        <v>10457.5</v>
      </c>
      <c r="I37" s="22">
        <f>IFERROR(G37*$B$5,0)</f>
        <v>13042.5</v>
      </c>
      <c r="J37" s="21" t="s">
        <v>140</v>
      </c>
    </row>
    <row r="38" ht="13.5" customHeight="1">
      <c r="A38" s="24" t="s">
        <v>137</v>
      </c>
      <c r="B38" s="24" t="s">
        <v>141</v>
      </c>
      <c r="C38" s="25" t="s">
        <v>142</v>
      </c>
      <c r="D38" s="24" t="s">
        <v>73</v>
      </c>
      <c r="E38" s="26">
        <f>IFERROR('Rates Reference Table'!H35*$E$5,0)</f>
        <v>32.899999999999999</v>
      </c>
      <c r="F38" s="26">
        <f>IFERROR(E38*(1-$H$5/2),0)</f>
        <v>29.280999999999999</v>
      </c>
      <c r="G38" s="26">
        <f>IFERROR(E38*(1+$H$5/2),0)</f>
        <v>36.518999999999998</v>
      </c>
      <c r="H38" s="26">
        <f>IFERROR(F38*$B$5,0)</f>
        <v>14640.5</v>
      </c>
      <c r="I38" s="26">
        <f>IFERROR(G38*$B$5,0)</f>
        <v>18259.5</v>
      </c>
      <c r="J38" s="25" t="s">
        <v>143</v>
      </c>
    </row>
    <row r="39" ht="13.5" customHeight="1">
      <c r="A39" s="20" t="s">
        <v>137</v>
      </c>
      <c r="B39" s="20" t="s">
        <v>144</v>
      </c>
      <c r="C39" s="21" t="s">
        <v>145</v>
      </c>
      <c r="D39" s="20" t="s">
        <v>73</v>
      </c>
      <c r="E39" s="22">
        <f>IFERROR('Rates Reference Table'!H36*$E$5,0)</f>
        <v>28.199999999999999</v>
      </c>
      <c r="F39" s="22">
        <f>IFERROR(E39*(1-$H$5/2),0)</f>
        <v>25.097999999999999</v>
      </c>
      <c r="G39" s="22">
        <f>IFERROR(E39*(1+$H$5/2),0)</f>
        <v>31.302</v>
      </c>
      <c r="H39" s="22">
        <f>IFERROR(F39*$B$5,0)</f>
        <v>12549</v>
      </c>
      <c r="I39" s="22">
        <f>IFERROR(G39*$B$5,0)</f>
        <v>15651</v>
      </c>
      <c r="J39" s="21" t="s">
        <v>146</v>
      </c>
    </row>
    <row r="40" ht="13.5" customHeight="1">
      <c r="A40" s="24" t="s">
        <v>137</v>
      </c>
      <c r="B40" s="24" t="s">
        <v>147</v>
      </c>
      <c r="C40" s="25" t="s">
        <v>148</v>
      </c>
      <c r="D40" s="24" t="s">
        <v>73</v>
      </c>
      <c r="E40" s="26">
        <f>IFERROR('Rates Reference Table'!H37*$E$5,0)</f>
        <v>14.1</v>
      </c>
      <c r="F40" s="26">
        <f>IFERROR(E40*(1-$H$5/2),0)</f>
        <v>12.548999999999999</v>
      </c>
      <c r="G40" s="26">
        <f>IFERROR(E40*(1+$H$5/2),0)</f>
        <v>15.651</v>
      </c>
      <c r="H40" s="26">
        <f>IFERROR(F40*$B$5,0)</f>
        <v>6274.5</v>
      </c>
      <c r="I40" s="26">
        <f>IFERROR(G40*$B$5,0)</f>
        <v>7825.5</v>
      </c>
      <c r="J40" s="25" t="s">
        <v>149</v>
      </c>
    </row>
    <row r="41" ht="13.5" customHeight="1">
      <c r="A41" s="20" t="s">
        <v>137</v>
      </c>
      <c r="B41" s="20" t="s">
        <v>150</v>
      </c>
      <c r="C41" s="21" t="s">
        <v>151</v>
      </c>
      <c r="D41" s="20" t="s">
        <v>58</v>
      </c>
      <c r="E41" s="22">
        <f>IFERROR('Rates Reference Table'!H38*$E$5,0)</f>
        <v>7.5199999999999996</v>
      </c>
      <c r="F41" s="22">
        <f>IFERROR(E41*(1-$H$5/2),0)</f>
        <v>6.6928000000000001</v>
      </c>
      <c r="G41" s="22">
        <f>IFERROR(E41*(1+$H$5/2),0)</f>
        <v>8.3472000000000008</v>
      </c>
      <c r="H41" s="22">
        <f>IFERROR(F41*$B$5,0)</f>
        <v>3346.4000000000001</v>
      </c>
      <c r="I41" s="22">
        <f>IFERROR(G41*$B$5,0)</f>
        <v>4173.6000000000004</v>
      </c>
      <c r="J41" s="21" t="s">
        <v>152</v>
      </c>
    </row>
    <row r="42" ht="13.5" customHeight="1">
      <c r="A42" s="24" t="s">
        <v>137</v>
      </c>
      <c r="B42" s="24" t="s">
        <v>153</v>
      </c>
      <c r="C42" s="25" t="s">
        <v>154</v>
      </c>
      <c r="D42" s="24" t="s">
        <v>73</v>
      </c>
      <c r="E42" s="26">
        <f>IFERROR('Rates Reference Table'!H39*$E$5,0)</f>
        <v>9.4000000000000004</v>
      </c>
      <c r="F42" s="26">
        <f>IFERROR(E42*(1-$H$5/2),0)</f>
        <v>8.3659999999999997</v>
      </c>
      <c r="G42" s="26">
        <f>IFERROR(E42*(1+$H$5/2),0)</f>
        <v>10.433999999999999</v>
      </c>
      <c r="H42" s="26">
        <f>IFERROR(F42*$B$5,0)</f>
        <v>4183</v>
      </c>
      <c r="I42" s="26">
        <f>IFERROR(G42*$B$5,0)</f>
        <v>5217</v>
      </c>
      <c r="J42" s="25" t="s">
        <v>155</v>
      </c>
    </row>
    <row r="43" ht="13.5" customHeight="1">
      <c r="A43" s="20" t="s">
        <v>137</v>
      </c>
      <c r="B43" s="20" t="s">
        <v>156</v>
      </c>
      <c r="C43" s="21" t="s">
        <v>157</v>
      </c>
      <c r="D43" s="20" t="s">
        <v>73</v>
      </c>
      <c r="E43" s="22">
        <f>IFERROR('Rates Reference Table'!H40*$E$5,0)</f>
        <v>18.800000000000001</v>
      </c>
      <c r="F43" s="22">
        <f>IFERROR(E43*(1-$H$5/2),0)</f>
        <v>16.731999999999999</v>
      </c>
      <c r="G43" s="22">
        <f>IFERROR(E43*(1+$H$5/2),0)</f>
        <v>20.867999999999999</v>
      </c>
      <c r="H43" s="22">
        <f>IFERROR(F43*$B$5,0)</f>
        <v>8366</v>
      </c>
      <c r="I43" s="22">
        <f>IFERROR(G43*$B$5,0)</f>
        <v>10434</v>
      </c>
      <c r="J43" s="21" t="s">
        <v>158</v>
      </c>
    </row>
    <row r="44" ht="13.5" customHeight="1">
      <c r="A44" s="24" t="s">
        <v>137</v>
      </c>
      <c r="B44" s="24" t="s">
        <v>159</v>
      </c>
      <c r="C44" s="25" t="s">
        <v>160</v>
      </c>
      <c r="D44" s="24" t="s">
        <v>73</v>
      </c>
      <c r="E44" s="26">
        <f>IFERROR('Rates Reference Table'!H41*$E$5,0)</f>
        <v>28.199999999999999</v>
      </c>
      <c r="F44" s="26">
        <f>IFERROR(E44*(1-$H$5/2),0)</f>
        <v>25.097999999999999</v>
      </c>
      <c r="G44" s="26">
        <f>IFERROR(E44*(1+$H$5/2),0)</f>
        <v>31.302</v>
      </c>
      <c r="H44" s="26">
        <f>IFERROR(F44*$B$5,0)</f>
        <v>12549</v>
      </c>
      <c r="I44" s="26">
        <f>IFERROR(G44*$B$5,0)</f>
        <v>15651</v>
      </c>
      <c r="J44" s="25" t="s">
        <v>161</v>
      </c>
    </row>
    <row r="45" ht="13.5" customHeight="1">
      <c r="A45" s="20" t="s">
        <v>137</v>
      </c>
      <c r="B45" s="20" t="s">
        <v>162</v>
      </c>
      <c r="C45" s="21" t="s">
        <v>163</v>
      </c>
      <c r="D45" s="20" t="s">
        <v>73</v>
      </c>
      <c r="E45" s="22">
        <f>IFERROR('Rates Reference Table'!H42*$E$5,0)</f>
        <v>11.279999999999999</v>
      </c>
      <c r="F45" s="22">
        <f>IFERROR(E45*(1-$H$5/2),0)</f>
        <v>10.039199999999999</v>
      </c>
      <c r="G45" s="22">
        <f>IFERROR(E45*(1+$H$5/2),0)</f>
        <v>12.520799999999999</v>
      </c>
      <c r="H45" s="22">
        <f>IFERROR(F45*$B$5,0)</f>
        <v>5019.6000000000004</v>
      </c>
      <c r="I45" s="22">
        <f>IFERROR(G45*$B$5,0)</f>
        <v>6260.3999999999996</v>
      </c>
      <c r="J45" s="21" t="s">
        <v>164</v>
      </c>
    </row>
    <row r="46" ht="13.5" customHeight="1">
      <c r="A46" s="24" t="s">
        <v>137</v>
      </c>
      <c r="B46" s="24" t="s">
        <v>165</v>
      </c>
      <c r="C46" s="25" t="s">
        <v>166</v>
      </c>
      <c r="D46" s="24" t="s">
        <v>58</v>
      </c>
      <c r="E46" s="26">
        <f>IFERROR('Rates Reference Table'!H43*$E$5,0)</f>
        <v>4.7000000000000002</v>
      </c>
      <c r="F46" s="26">
        <f>IFERROR(E46*(1-$H$5/2),0)</f>
        <v>4.1829999999999998</v>
      </c>
      <c r="G46" s="26">
        <f>IFERROR(E46*(1+$H$5/2),0)</f>
        <v>5.2169999999999996</v>
      </c>
      <c r="H46" s="26">
        <f>IFERROR(F46*$B$5,0)</f>
        <v>2091.5</v>
      </c>
      <c r="I46" s="26">
        <f>IFERROR(G46*$B$5,0)</f>
        <v>2608.5</v>
      </c>
      <c r="J46" s="25" t="s">
        <v>167</v>
      </c>
    </row>
    <row r="47" ht="13.5" customHeight="1">
      <c r="A47" s="20" t="s">
        <v>137</v>
      </c>
      <c r="B47" s="20" t="s">
        <v>168</v>
      </c>
      <c r="C47" s="21" t="s">
        <v>169</v>
      </c>
      <c r="D47" s="20" t="s">
        <v>170</v>
      </c>
      <c r="E47" s="22">
        <f>IFERROR('Rates Reference Table'!H44*$E$5,0)</f>
        <v>752</v>
      </c>
      <c r="F47" s="22">
        <f>IFERROR(E47*(1-$H$5/2),0)</f>
        <v>669.27999999999997</v>
      </c>
      <c r="G47" s="22">
        <f>IFERROR(E47*(1+$H$5/2),0)</f>
        <v>834.72000000000003</v>
      </c>
      <c r="H47" s="22">
        <f>IFERROR(F47*$B$5,0)</f>
        <v>334640</v>
      </c>
      <c r="I47" s="22">
        <f>IFERROR(G47*$B$5,0)</f>
        <v>417360</v>
      </c>
      <c r="J47" s="21" t="s">
        <v>171</v>
      </c>
    </row>
    <row r="48" ht="13.5" customHeight="1">
      <c r="A48" s="24" t="s">
        <v>137</v>
      </c>
      <c r="B48" s="24" t="s">
        <v>172</v>
      </c>
      <c r="C48" s="25" t="s">
        <v>173</v>
      </c>
      <c r="D48" s="24" t="s">
        <v>109</v>
      </c>
      <c r="E48" s="26">
        <f>IFERROR('Rates Reference Table'!H45*$E$5,0)</f>
        <v>1410</v>
      </c>
      <c r="F48" s="26">
        <f>IFERROR(E48*(1-$H$5/2),0)</f>
        <v>1254.9000000000001</v>
      </c>
      <c r="G48" s="26">
        <f>IFERROR(E48*(1+$H$5/2),0)</f>
        <v>1565.0999999999999</v>
      </c>
      <c r="H48" s="26">
        <f>IFERROR(F48*$B$5,0)</f>
        <v>627450</v>
      </c>
      <c r="I48" s="26">
        <f>IFERROR(G48*$B$5,0)</f>
        <v>782550</v>
      </c>
      <c r="J48" s="25" t="s">
        <v>174</v>
      </c>
    </row>
    <row r="49" ht="13.5" customHeight="1">
      <c r="A49" s="20" t="s">
        <v>137</v>
      </c>
      <c r="B49" s="20" t="s">
        <v>175</v>
      </c>
      <c r="C49" s="21" t="s">
        <v>176</v>
      </c>
      <c r="D49" s="20" t="s">
        <v>73</v>
      </c>
      <c r="E49" s="22">
        <f>IFERROR('Rates Reference Table'!H46*$E$5,0)</f>
        <v>9.4000000000000004</v>
      </c>
      <c r="F49" s="22">
        <f>IFERROR(E49*(1-$H$5/2),0)</f>
        <v>8.3659999999999997</v>
      </c>
      <c r="G49" s="22">
        <f>IFERROR(E49*(1+$H$5/2),0)</f>
        <v>10.433999999999999</v>
      </c>
      <c r="H49" s="22">
        <f>IFERROR(F49*$B$5,0)</f>
        <v>4183</v>
      </c>
      <c r="I49" s="22">
        <f>IFERROR(G49*$B$5,0)</f>
        <v>5217</v>
      </c>
      <c r="J49" s="21" t="s">
        <v>177</v>
      </c>
    </row>
    <row r="50" ht="13.5" customHeight="1">
      <c r="A50" s="24" t="s">
        <v>137</v>
      </c>
      <c r="B50" s="24" t="s">
        <v>178</v>
      </c>
      <c r="C50" s="25" t="s">
        <v>179</v>
      </c>
      <c r="D50" s="24" t="s">
        <v>58</v>
      </c>
      <c r="E50" s="26">
        <f>IFERROR('Rates Reference Table'!H47*$E$5,0)</f>
        <v>4.7000000000000002</v>
      </c>
      <c r="F50" s="26">
        <f>IFERROR(E50*(1-$H$5/2),0)</f>
        <v>4.1829999999999998</v>
      </c>
      <c r="G50" s="26">
        <f>IFERROR(E50*(1+$H$5/2),0)</f>
        <v>5.2169999999999996</v>
      </c>
      <c r="H50" s="26">
        <f>IFERROR(F50*$B$5,0)</f>
        <v>2091.5</v>
      </c>
      <c r="I50" s="26">
        <f>IFERROR(G50*$B$5,0)</f>
        <v>2608.5</v>
      </c>
      <c r="J50" s="25" t="s">
        <v>180</v>
      </c>
    </row>
    <row r="51" ht="13.5" customHeight="1">
      <c r="A51" s="20" t="s">
        <v>137</v>
      </c>
      <c r="B51" s="20" t="s">
        <v>181</v>
      </c>
      <c r="C51" s="21" t="s">
        <v>182</v>
      </c>
      <c r="D51" s="20" t="s">
        <v>73</v>
      </c>
      <c r="E51" s="22">
        <f>IFERROR('Rates Reference Table'!H48*$E$5,0)</f>
        <v>7.5199999999999996</v>
      </c>
      <c r="F51" s="22">
        <f>IFERROR(E51*(1-$H$5/2),0)</f>
        <v>6.6928000000000001</v>
      </c>
      <c r="G51" s="22">
        <f>IFERROR(E51*(1+$H$5/2),0)</f>
        <v>8.3472000000000008</v>
      </c>
      <c r="H51" s="22">
        <f>IFERROR(F51*$B$5,0)</f>
        <v>3346.4000000000001</v>
      </c>
      <c r="I51" s="22">
        <f>IFERROR(G51*$B$5,0)</f>
        <v>4173.6000000000004</v>
      </c>
      <c r="J51" s="21" t="s">
        <v>183</v>
      </c>
    </row>
    <row r="52" ht="13.5" customHeight="1">
      <c r="A52" s="24" t="s">
        <v>137</v>
      </c>
      <c r="B52" s="24" t="s">
        <v>184</v>
      </c>
      <c r="C52" s="25" t="s">
        <v>185</v>
      </c>
      <c r="D52" s="24" t="s">
        <v>109</v>
      </c>
      <c r="E52" s="26">
        <f>IFERROR('Rates Reference Table'!H49*$E$5,0)</f>
        <v>56.399999999999999</v>
      </c>
      <c r="F52" s="26">
        <f>IFERROR(E52*(1-$H$5/2),0)</f>
        <v>50.195999999999998</v>
      </c>
      <c r="G52" s="26">
        <f>IFERROR(E52*(1+$H$5/2),0)</f>
        <v>62.603999999999999</v>
      </c>
      <c r="H52" s="26">
        <f>IFERROR(F52*$B$5,0)</f>
        <v>25098</v>
      </c>
      <c r="I52" s="26">
        <f>IFERROR(G52*$B$5,0)</f>
        <v>31302</v>
      </c>
      <c r="J52" s="25" t="s">
        <v>186</v>
      </c>
    </row>
    <row r="53" ht="13.5" customHeight="1">
      <c r="A53" s="20" t="s">
        <v>137</v>
      </c>
      <c r="B53" s="20" t="s">
        <v>187</v>
      </c>
      <c r="C53" s="21" t="s">
        <v>188</v>
      </c>
      <c r="D53" s="20" t="s">
        <v>73</v>
      </c>
      <c r="E53" s="22">
        <f>IFERROR('Rates Reference Table'!H50*$E$5,0)</f>
        <v>7.5199999999999996</v>
      </c>
      <c r="F53" s="22">
        <f>IFERROR(E53*(1-$H$5/2),0)</f>
        <v>6.6928000000000001</v>
      </c>
      <c r="G53" s="22">
        <f>IFERROR(E53*(1+$H$5/2),0)</f>
        <v>8.3472000000000008</v>
      </c>
      <c r="H53" s="22">
        <f>IFERROR(F53*$B$5,0)</f>
        <v>3346.4000000000001</v>
      </c>
      <c r="I53" s="22">
        <f>IFERROR(G53*$B$5,0)</f>
        <v>4173.6000000000004</v>
      </c>
      <c r="J53" s="21" t="s">
        <v>189</v>
      </c>
    </row>
    <row r="54" ht="15.75" customHeight="1">
      <c r="A54" s="36" t="s">
        <v>267</v>
      </c>
      <c r="B54" s="36"/>
      <c r="C54" s="36"/>
      <c r="D54" s="36"/>
      <c r="E54" s="36"/>
      <c r="F54" s="36"/>
      <c r="G54" s="36"/>
      <c r="H54" s="36"/>
      <c r="I54" s="36"/>
      <c r="J54" s="36"/>
    </row>
    <row r="55" ht="13.5" customHeight="1">
      <c r="A55" s="20" t="s">
        <v>191</v>
      </c>
      <c r="B55" s="20" t="s">
        <v>192</v>
      </c>
      <c r="C55" s="21" t="s">
        <v>193</v>
      </c>
      <c r="D55" s="20" t="s">
        <v>58</v>
      </c>
      <c r="E55" s="22">
        <f>IFERROR('Rates Reference Table'!H52*$E$5,0)</f>
        <v>0</v>
      </c>
      <c r="F55" s="22">
        <f>IFERROR(E55*(1-$H$5/2),0)</f>
        <v>0</v>
      </c>
      <c r="G55" s="22">
        <f>IFERROR(E55*(1+$H$5/2),0)</f>
        <v>0</v>
      </c>
      <c r="H55" s="22">
        <f>IFERROR(F55*$B$5,0)</f>
        <v>0</v>
      </c>
      <c r="I55" s="22">
        <f>IFERROR(G55*$B$5,0)</f>
        <v>0</v>
      </c>
      <c r="J55" s="21" t="s">
        <v>194</v>
      </c>
    </row>
    <row r="56" ht="13.5" customHeight="1">
      <c r="A56" s="24" t="s">
        <v>191</v>
      </c>
      <c r="B56" s="24" t="s">
        <v>195</v>
      </c>
      <c r="C56" s="25" t="s">
        <v>196</v>
      </c>
      <c r="D56" s="24" t="s">
        <v>58</v>
      </c>
      <c r="E56" s="26">
        <f>IFERROR('Rates Reference Table'!H53*$E$5,0)</f>
        <v>0</v>
      </c>
      <c r="F56" s="26">
        <f>IFERROR(E56*(1-$H$5/2),0)</f>
        <v>0</v>
      </c>
      <c r="G56" s="26">
        <f>IFERROR(E56*(1+$H$5/2),0)</f>
        <v>0</v>
      </c>
      <c r="H56" s="26">
        <f>IFERROR(F56*$B$5,0)</f>
        <v>0</v>
      </c>
      <c r="I56" s="26">
        <f>IFERROR(G56*$B$5,0)</f>
        <v>0</v>
      </c>
      <c r="J56" s="25" t="s">
        <v>197</v>
      </c>
    </row>
    <row r="57" ht="15.75" customHeight="1">
      <c r="A57" s="37" t="s">
        <v>268</v>
      </c>
      <c r="B57" s="37"/>
      <c r="C57" s="37"/>
      <c r="D57" s="37"/>
      <c r="E57" s="37"/>
      <c r="F57" s="37"/>
      <c r="G57" s="37"/>
      <c r="H57" s="37"/>
      <c r="I57" s="37"/>
      <c r="J57" s="37"/>
    </row>
    <row r="58" ht="13.5" customHeight="1">
      <c r="A58" s="38" t="s">
        <v>199</v>
      </c>
      <c r="B58" s="38" t="s">
        <v>200</v>
      </c>
      <c r="C58" s="39" t="s">
        <v>201</v>
      </c>
      <c r="D58" s="38" t="s">
        <v>58</v>
      </c>
      <c r="E58" s="40" t="s">
        <v>262</v>
      </c>
      <c r="F58" s="40" t="s">
        <v>262</v>
      </c>
      <c r="G58" s="40" t="s">
        <v>262</v>
      </c>
      <c r="H58" s="41">
        <v>0</v>
      </c>
      <c r="I58" s="41">
        <v>0</v>
      </c>
      <c r="J58" s="39" t="s">
        <v>202</v>
      </c>
    </row>
    <row r="59" ht="13.5" customHeight="1">
      <c r="A59" s="38" t="s">
        <v>199</v>
      </c>
      <c r="B59" s="38" t="s">
        <v>203</v>
      </c>
      <c r="C59" s="39" t="s">
        <v>204</v>
      </c>
      <c r="D59" s="38" t="s">
        <v>58</v>
      </c>
      <c r="E59" s="40" t="s">
        <v>262</v>
      </c>
      <c r="F59" s="40" t="s">
        <v>262</v>
      </c>
      <c r="G59" s="40" t="s">
        <v>262</v>
      </c>
      <c r="H59" s="41">
        <v>0</v>
      </c>
      <c r="I59" s="41">
        <v>0</v>
      </c>
      <c r="J59" s="39" t="s">
        <v>205</v>
      </c>
    </row>
    <row r="60" ht="13.5" customHeight="1">
      <c r="A60" s="38" t="s">
        <v>199</v>
      </c>
      <c r="B60" s="38" t="s">
        <v>206</v>
      </c>
      <c r="C60" s="39" t="s">
        <v>207</v>
      </c>
      <c r="D60" s="38" t="s">
        <v>58</v>
      </c>
      <c r="E60" s="40" t="s">
        <v>262</v>
      </c>
      <c r="F60" s="40" t="s">
        <v>262</v>
      </c>
      <c r="G60" s="40" t="s">
        <v>262</v>
      </c>
      <c r="H60" s="41">
        <v>0</v>
      </c>
      <c r="I60" s="41">
        <v>0</v>
      </c>
      <c r="J60" s="39" t="s">
        <v>208</v>
      </c>
    </row>
    <row r="61" ht="13.5" customHeight="1">
      <c r="A61" s="38" t="s">
        <v>199</v>
      </c>
      <c r="B61" s="38" t="s">
        <v>209</v>
      </c>
      <c r="C61" s="39" t="s">
        <v>210</v>
      </c>
      <c r="D61" s="38" t="s">
        <v>58</v>
      </c>
      <c r="E61" s="40" t="s">
        <v>262</v>
      </c>
      <c r="F61" s="40" t="s">
        <v>262</v>
      </c>
      <c r="G61" s="40" t="s">
        <v>262</v>
      </c>
      <c r="H61" s="41">
        <v>0</v>
      </c>
      <c r="I61" s="41">
        <v>0</v>
      </c>
      <c r="J61" s="39" t="s">
        <v>211</v>
      </c>
    </row>
    <row r="62" ht="13.5" customHeight="1">
      <c r="A62" s="38" t="s">
        <v>199</v>
      </c>
      <c r="B62" s="38" t="s">
        <v>212</v>
      </c>
      <c r="C62" s="39" t="s">
        <v>213</v>
      </c>
      <c r="D62" s="38" t="s">
        <v>58</v>
      </c>
      <c r="E62" s="40" t="s">
        <v>262</v>
      </c>
      <c r="F62" s="40" t="s">
        <v>262</v>
      </c>
      <c r="G62" s="40" t="s">
        <v>262</v>
      </c>
      <c r="H62" s="41">
        <v>0</v>
      </c>
      <c r="I62" s="41">
        <v>0</v>
      </c>
      <c r="J62" s="39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Table'!H61*$E$5,0)</f>
        <v>7.5199999999999996</v>
      </c>
      <c r="F64" s="22">
        <f>IFERROR(E64*(1-$H$5/2),0)</f>
        <v>6.6928000000000001</v>
      </c>
      <c r="G64" s="22">
        <f>IFERROR(E64*(1+$H$5/2),0)</f>
        <v>8.3472000000000008</v>
      </c>
      <c r="H64" s="22">
        <f>IFERROR(F64*$B$5,0)</f>
        <v>3346.4000000000001</v>
      </c>
      <c r="I64" s="22">
        <f>IFERROR(G64*$B$5,0)</f>
        <v>4173.6000000000004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Table'!H62*$E$5,0)</f>
        <v>14.1</v>
      </c>
      <c r="F65" s="26">
        <f>IFERROR(E65*(1-$H$5/2),0)</f>
        <v>12.548999999999999</v>
      </c>
      <c r="G65" s="26">
        <f>IFERROR(E65*(1+$H$5/2),0)</f>
        <v>15.651</v>
      </c>
      <c r="H65" s="26">
        <f>IFERROR(F65*$B$5,0)</f>
        <v>6274.5</v>
      </c>
      <c r="I65" s="26">
        <f>IFERROR(G65*$B$5,0)</f>
        <v>7825.5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Table'!H63*$E$5,0)</f>
        <v>4.7000000000000002</v>
      </c>
      <c r="F66" s="22">
        <f>IFERROR(E66*(1-$H$5/2),0)</f>
        <v>4.1829999999999998</v>
      </c>
      <c r="G66" s="22">
        <f>IFERROR(E66*(1+$H$5/2),0)</f>
        <v>5.2169999999999996</v>
      </c>
      <c r="H66" s="22">
        <f>IFERROR(F66*$B$5,0)</f>
        <v>2091.5</v>
      </c>
      <c r="I66" s="22">
        <f>IFERROR(G66*$B$5,0)</f>
        <v>2608.5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Table'!H64*$E$5,0)</f>
        <v>9.4000000000000004</v>
      </c>
      <c r="F67" s="26">
        <f>IFERROR(E67*(1-$H$5/2),0)</f>
        <v>8.3659999999999997</v>
      </c>
      <c r="G67" s="26">
        <f>IFERROR(E67*(1+$H$5/2),0)</f>
        <v>10.433999999999999</v>
      </c>
      <c r="H67" s="26">
        <f>IFERROR(F67*$B$5,0)</f>
        <v>4183</v>
      </c>
      <c r="I67" s="26">
        <f>IFERROR(G67*$B$5,0)</f>
        <v>5217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Table'!H65*$E$5,0)</f>
        <v>7.5199999999999996</v>
      </c>
      <c r="F68" s="22">
        <f>IFERROR(E68*(1-$H$5/2),0)</f>
        <v>6.6928000000000001</v>
      </c>
      <c r="G68" s="22">
        <f>IFERROR(E68*(1+$H$5/2),0)</f>
        <v>8.3472000000000008</v>
      </c>
      <c r="H68" s="22">
        <f>IFERROR(F68*$B$5,0)</f>
        <v>3346.4000000000001</v>
      </c>
      <c r="I68" s="22">
        <f>IFERROR(G68*$B$5,0)</f>
        <v>4173.6000000000004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Table'!H66*$E$5,0)</f>
        <v>9.4000000000000004</v>
      </c>
      <c r="F69" s="26">
        <f>IFERROR(E69*(1-$H$5/2),0)</f>
        <v>8.3659999999999997</v>
      </c>
      <c r="G69" s="26">
        <f>IFERROR(E69*(1+$H$5/2),0)</f>
        <v>10.433999999999999</v>
      </c>
      <c r="H69" s="26">
        <f>IFERROR(F69*$B$5,0)</f>
        <v>4183</v>
      </c>
      <c r="I69" s="26">
        <f>IFERROR(G69*$B$5,0)</f>
        <v>5217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Table'!H67*$E$5,0)</f>
        <v>4.7000000000000002</v>
      </c>
      <c r="F70" s="22">
        <f>IFERROR(E70*(1-$H$5/2),0)</f>
        <v>4.1829999999999998</v>
      </c>
      <c r="G70" s="22">
        <f>IFERROR(E70*(1+$H$5/2),0)</f>
        <v>5.2169999999999996</v>
      </c>
      <c r="H70" s="22">
        <f>IFERROR(F70*$B$5,0)</f>
        <v>2091.5</v>
      </c>
      <c r="I70" s="22">
        <f>IFERROR(G70*$B$5,0)</f>
        <v>2608.5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Table'!H68*$E$5,0)</f>
        <v>2.8199999999999998</v>
      </c>
      <c r="F71" s="26">
        <f>IFERROR(E71*(1-$H$5/2),0)</f>
        <v>2.5097999999999998</v>
      </c>
      <c r="G71" s="26">
        <f>IFERROR(E71*(1+$H$5/2),0)</f>
        <v>3.1301999999999999</v>
      </c>
      <c r="H71" s="26">
        <f>IFERROR(F71*$B$5,0)</f>
        <v>1254.9000000000001</v>
      </c>
      <c r="I71" s="26">
        <f>IFERROR(G71*$B$5,0)</f>
        <v>1565.0999999999999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Table'!H69*$E$5,0)</f>
        <v>2.8199999999999998</v>
      </c>
      <c r="F72" s="22">
        <f>IFERROR(E72*(1-$H$5/2),0)</f>
        <v>2.5097999999999998</v>
      </c>
      <c r="G72" s="22">
        <f>IFERROR(E72*(1+$H$5/2),0)</f>
        <v>3.1301999999999999</v>
      </c>
      <c r="H72" s="22">
        <f>IFERROR(F72*$B$5,0)</f>
        <v>1254.9000000000001</v>
      </c>
      <c r="I72" s="22">
        <f>IFERROR(G72*$B$5,0)</f>
        <v>1565.0999999999999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1534742.7</v>
      </c>
      <c r="I73" s="43">
        <f>SUMPRODUCT((I8:I72&gt;0)*I8:I72)</f>
        <v>1914117.3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122779.416</v>
      </c>
      <c r="I77" s="22">
        <f>IFERROR(G77*I73,0)</f>
        <v>191411.73000000001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122779.416</v>
      </c>
      <c r="I78" s="26">
        <f>IFERROR(G78*I73,0)</f>
        <v>229694.076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1780301.5319999999</v>
      </c>
      <c r="I79" s="43">
        <f>I73+I77+I78</f>
        <v>2335223.1060000001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89015.0766</v>
      </c>
      <c r="I80" s="26">
        <f>IFERROR(G80*I79,0)</f>
        <v>350283.46590000001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35606.030639999997</v>
      </c>
      <c r="I81" s="22">
        <f>IFERROR(G81*I79,0)</f>
        <v>93408.924239999993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76737.134999999995</v>
      </c>
      <c r="I82" s="51">
        <f>IFERROR(G82*I73,0)</f>
        <v>191411.73000000001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76737.134999999995</v>
      </c>
      <c r="I83" s="55">
        <f>IFERROR(0.05*I73,0)</f>
        <v>95705.865000000005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30694.853999999999</v>
      </c>
      <c r="I84" s="26">
        <f>IFERROR(G84*I73,0)</f>
        <v>229694.076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2089091.76324</v>
      </c>
      <c r="I85" s="57">
        <f>I79+I80+I81+I82+I83+I84</f>
        <v>3295727.16714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417818.352648</v>
      </c>
      <c r="I86" s="61">
        <f>IFERROR(0.2*I85,0)</f>
        <v>659145.43342799996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3069.4854</v>
      </c>
      <c r="F88" s="64"/>
      <c r="G88" s="65">
        <f>IFERROR(I73/$B$5,0)</f>
        <v>3828.2345999999998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7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321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322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319</v>
      </c>
      <c r="D4" s="31" t="s">
        <v>248</v>
      </c>
      <c r="E4" s="32" t="s">
        <v>316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500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Table'!I6*$E$5,0)</f>
        <v>18.800000000000001</v>
      </c>
      <c r="F9" s="22">
        <f>IFERROR(E9*(1-$H$5/2),0)</f>
        <v>16.731999999999999</v>
      </c>
      <c r="G9" s="22">
        <f>IFERROR(E9*(1+$H$5/2),0)</f>
        <v>20.867999999999999</v>
      </c>
      <c r="H9" s="22">
        <f>IFERROR(F9*$B$5,0)</f>
        <v>8366</v>
      </c>
      <c r="I9" s="22">
        <f>IFERROR(G9*$B$5,0)</f>
        <v>10434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Table'!I7*$E$5,0)</f>
        <v>23.5</v>
      </c>
      <c r="F10" s="26">
        <f>IFERROR(E10*(1-$H$5/2),0)</f>
        <v>20.914999999999999</v>
      </c>
      <c r="G10" s="26">
        <f>IFERROR(E10*(1+$H$5/2),0)</f>
        <v>26.085000000000001</v>
      </c>
      <c r="H10" s="26">
        <f>IFERROR(F10*$B$5,0)</f>
        <v>10457.5</v>
      </c>
      <c r="I10" s="26">
        <f>IFERROR(G10*$B$5,0)</f>
        <v>13042.5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Table'!I8*$E$5,0)</f>
        <v>18.800000000000001</v>
      </c>
      <c r="F11" s="22">
        <f>IFERROR(E11*(1-$H$5/2),0)</f>
        <v>16.731999999999999</v>
      </c>
      <c r="G11" s="22">
        <f>IFERROR(E11*(1+$H$5/2),0)</f>
        <v>20.867999999999999</v>
      </c>
      <c r="H11" s="22">
        <f>IFERROR(F11*$B$5,0)</f>
        <v>8366</v>
      </c>
      <c r="I11" s="22">
        <f>IFERROR(G11*$B$5,0)</f>
        <v>10434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Table'!I9*$E$5,0)</f>
        <v>14.1</v>
      </c>
      <c r="F12" s="26">
        <f>IFERROR(E12*(1-$H$5/2),0)</f>
        <v>12.548999999999999</v>
      </c>
      <c r="G12" s="26">
        <f>IFERROR(E12*(1+$H$5/2),0)</f>
        <v>15.651</v>
      </c>
      <c r="H12" s="26">
        <f>IFERROR(F12*$B$5,0)</f>
        <v>6274.5</v>
      </c>
      <c r="I12" s="26">
        <f>IFERROR(G12*$B$5,0)</f>
        <v>7825.5</v>
      </c>
      <c r="J12" s="25" t="s">
        <v>68</v>
      </c>
    </row>
    <row r="13" ht="15.75" customHeight="1">
      <c r="A13" s="36" t="s">
        <v>261</v>
      </c>
      <c r="B13" s="36"/>
      <c r="C13" s="36"/>
      <c r="D13" s="36"/>
      <c r="E13" s="36"/>
      <c r="F13" s="36"/>
      <c r="G13" s="36"/>
      <c r="H13" s="36"/>
      <c r="I13" s="36"/>
      <c r="J13" s="36"/>
    </row>
    <row r="14" ht="13.5" customHeight="1">
      <c r="A14" s="20" t="s">
        <v>70</v>
      </c>
      <c r="B14" s="20" t="s">
        <v>71</v>
      </c>
      <c r="C14" s="21" t="s">
        <v>72</v>
      </c>
      <c r="D14" s="20" t="s">
        <v>73</v>
      </c>
      <c r="E14" s="22">
        <f>IFERROR('Rates Reference Table'!I11*$E$5,0)</f>
        <v>75.200000000000003</v>
      </c>
      <c r="F14" s="22">
        <f>IFERROR(E14*(1-$H$5/2),0)</f>
        <v>66.927999999999997</v>
      </c>
      <c r="G14" s="22">
        <f>IFERROR(E14*(1+$H$5/2),0)</f>
        <v>83.471999999999994</v>
      </c>
      <c r="H14" s="22">
        <f>IFERROR(F14*$B$5,0)</f>
        <v>33464</v>
      </c>
      <c r="I14" s="22">
        <f>IFERROR(G14*$B$5,0)</f>
        <v>41736</v>
      </c>
      <c r="J14" s="21" t="s">
        <v>74</v>
      </c>
    </row>
    <row r="15" ht="13.5" customHeight="1">
      <c r="A15" s="24" t="s">
        <v>70</v>
      </c>
      <c r="B15" s="24" t="s">
        <v>75</v>
      </c>
      <c r="C15" s="25" t="s">
        <v>76</v>
      </c>
      <c r="D15" s="24" t="s">
        <v>73</v>
      </c>
      <c r="E15" s="26">
        <f>IFERROR('Rates Reference Table'!I12*$E$5,0)</f>
        <v>56.399999999999999</v>
      </c>
      <c r="F15" s="26">
        <f>IFERROR(E15*(1-$H$5/2),0)</f>
        <v>50.195999999999998</v>
      </c>
      <c r="G15" s="26">
        <f>IFERROR(E15*(1+$H$5/2),0)</f>
        <v>62.603999999999999</v>
      </c>
      <c r="H15" s="26">
        <f>IFERROR(F15*$B$5,0)</f>
        <v>25098</v>
      </c>
      <c r="I15" s="26">
        <f>IFERROR(G15*$B$5,0)</f>
        <v>31302</v>
      </c>
      <c r="J15" s="25" t="s">
        <v>77</v>
      </c>
    </row>
    <row r="16" ht="13.5" customHeight="1">
      <c r="A16" s="20" t="s">
        <v>70</v>
      </c>
      <c r="B16" s="20" t="s">
        <v>78</v>
      </c>
      <c r="C16" s="21" t="s">
        <v>79</v>
      </c>
      <c r="D16" s="20" t="s">
        <v>73</v>
      </c>
      <c r="E16" s="22">
        <f>IFERROR('Rates Reference Table'!I13*$E$5,0)</f>
        <v>51.700000000000003</v>
      </c>
      <c r="F16" s="22">
        <f>IFERROR(E16*(1-$H$5/2),0)</f>
        <v>46.012999999999998</v>
      </c>
      <c r="G16" s="22">
        <f>IFERROR(E16*(1+$H$5/2),0)</f>
        <v>57.387</v>
      </c>
      <c r="H16" s="22">
        <f>IFERROR(F16*$B$5,0)</f>
        <v>23006.5</v>
      </c>
      <c r="I16" s="22">
        <f>IFERROR(G16*$B$5,0)</f>
        <v>28693.5</v>
      </c>
      <c r="J16" s="21" t="s">
        <v>80</v>
      </c>
    </row>
    <row r="17" ht="13.5" customHeight="1">
      <c r="A17" s="24" t="s">
        <v>70</v>
      </c>
      <c r="B17" s="24" t="s">
        <v>81</v>
      </c>
      <c r="C17" s="25" t="s">
        <v>82</v>
      </c>
      <c r="D17" s="24" t="s">
        <v>58</v>
      </c>
      <c r="E17" s="26">
        <f>IFERROR('Rates Reference Table'!I14*$E$5,0)</f>
        <v>141</v>
      </c>
      <c r="F17" s="26">
        <f>IFERROR(E17*(1-$H$5/2),0)</f>
        <v>125.48999999999999</v>
      </c>
      <c r="G17" s="26">
        <f>IFERROR(E17*(1+$H$5/2),0)</f>
        <v>156.50999999999999</v>
      </c>
      <c r="H17" s="26">
        <f>IFERROR(F17*$B$5,0)</f>
        <v>62745</v>
      </c>
      <c r="I17" s="26">
        <f>IFERROR(G17*$B$5,0)</f>
        <v>78255</v>
      </c>
      <c r="J17" s="25" t="s">
        <v>83</v>
      </c>
    </row>
    <row r="18" ht="15.75" customHeight="1">
      <c r="A18" s="36" t="s">
        <v>263</v>
      </c>
      <c r="B18" s="36"/>
      <c r="C18" s="36"/>
      <c r="D18" s="36"/>
      <c r="E18" s="36"/>
      <c r="F18" s="36"/>
      <c r="G18" s="36"/>
      <c r="H18" s="36"/>
      <c r="I18" s="36"/>
      <c r="J18" s="36"/>
    </row>
    <row r="19" ht="13.5" customHeight="1">
      <c r="A19" s="20" t="s">
        <v>85</v>
      </c>
      <c r="B19" s="20" t="s">
        <v>86</v>
      </c>
      <c r="C19" s="21" t="s">
        <v>87</v>
      </c>
      <c r="D19" s="20" t="s">
        <v>73</v>
      </c>
      <c r="E19" s="22">
        <f>IFERROR('Rates Reference Table'!I16*$E$5,0)</f>
        <v>206.80000000000001</v>
      </c>
      <c r="F19" s="22">
        <f>IFERROR(E19*(1-$H$5/2),0)</f>
        <v>184.05199999999999</v>
      </c>
      <c r="G19" s="22">
        <f>IFERROR(E19*(1+$H$5/2),0)</f>
        <v>229.548</v>
      </c>
      <c r="H19" s="22">
        <f>IFERROR(F19*$B$5,0)</f>
        <v>92026</v>
      </c>
      <c r="I19" s="22">
        <f>IFERROR(G19*$B$5,0)</f>
        <v>114774</v>
      </c>
      <c r="J19" s="21" t="s">
        <v>88</v>
      </c>
    </row>
    <row r="20" ht="13.5" customHeight="1">
      <c r="A20" s="24" t="s">
        <v>85</v>
      </c>
      <c r="B20" s="24" t="s">
        <v>89</v>
      </c>
      <c r="C20" s="25" t="s">
        <v>90</v>
      </c>
      <c r="D20" s="24" t="s">
        <v>73</v>
      </c>
      <c r="E20" s="26">
        <f>IFERROR('Rates Reference Table'!I17*$E$5,0)</f>
        <v>89.299999999999997</v>
      </c>
      <c r="F20" s="26">
        <f>IFERROR(E20*(1-$H$5/2),0)</f>
        <v>79.477000000000004</v>
      </c>
      <c r="G20" s="26">
        <f>IFERROR(E20*(1+$H$5/2),0)</f>
        <v>99.123000000000005</v>
      </c>
      <c r="H20" s="26">
        <f>IFERROR(F20*$B$5,0)</f>
        <v>39738.5</v>
      </c>
      <c r="I20" s="26">
        <f>IFERROR(G20*$B$5,0)</f>
        <v>49561.5</v>
      </c>
      <c r="J20" s="25" t="s">
        <v>91</v>
      </c>
    </row>
    <row r="21" ht="13.5" customHeight="1">
      <c r="A21" s="20" t="s">
        <v>85</v>
      </c>
      <c r="B21" s="20" t="s">
        <v>92</v>
      </c>
      <c r="C21" s="21" t="s">
        <v>93</v>
      </c>
      <c r="D21" s="20" t="s">
        <v>73</v>
      </c>
      <c r="E21" s="22">
        <f>IFERROR('Rates Reference Table'!I18*$E$5,0)</f>
        <v>112.8</v>
      </c>
      <c r="F21" s="22">
        <f>IFERROR(E21*(1-$H$5/2),0)</f>
        <v>100.392</v>
      </c>
      <c r="G21" s="22">
        <f>IFERROR(E21*(1+$H$5/2),0)</f>
        <v>125.208</v>
      </c>
      <c r="H21" s="22">
        <f>IFERROR(F21*$B$5,0)</f>
        <v>50196</v>
      </c>
      <c r="I21" s="22">
        <f>IFERROR(G21*$B$5,0)</f>
        <v>62604</v>
      </c>
      <c r="J21" s="21" t="s">
        <v>94</v>
      </c>
    </row>
    <row r="22" ht="13.5" customHeight="1">
      <c r="A22" s="24" t="s">
        <v>85</v>
      </c>
      <c r="B22" s="24" t="s">
        <v>95</v>
      </c>
      <c r="C22" s="25" t="s">
        <v>96</v>
      </c>
      <c r="D22" s="24" t="s">
        <v>58</v>
      </c>
      <c r="E22" s="26">
        <f>IFERROR('Rates Reference Table'!I19*$E$5,0)</f>
        <v>32.899999999999999</v>
      </c>
      <c r="F22" s="26">
        <f>IFERROR(E22*(1-$H$5/2),0)</f>
        <v>29.280999999999999</v>
      </c>
      <c r="G22" s="26">
        <f>IFERROR(E22*(1+$H$5/2),0)</f>
        <v>36.518999999999998</v>
      </c>
      <c r="H22" s="26">
        <f>IFERROR(F22*$B$5,0)</f>
        <v>14640.5</v>
      </c>
      <c r="I22" s="26">
        <f>IFERROR(G22*$B$5,0)</f>
        <v>18259.5</v>
      </c>
      <c r="J22" s="25" t="s">
        <v>97</v>
      </c>
    </row>
    <row r="23" ht="13.5" customHeight="1">
      <c r="A23" s="20" t="s">
        <v>85</v>
      </c>
      <c r="B23" s="20" t="s">
        <v>98</v>
      </c>
      <c r="C23" s="21" t="s">
        <v>99</v>
      </c>
      <c r="D23" s="20" t="s">
        <v>73</v>
      </c>
      <c r="E23" s="22">
        <f>IFERROR('Rates Reference Table'!I20*$E$5,0)</f>
        <v>300.80000000000001</v>
      </c>
      <c r="F23" s="22">
        <f>IFERROR(E23*(1-$H$5/2),0)</f>
        <v>267.71199999999999</v>
      </c>
      <c r="G23" s="22">
        <f>IFERROR(E23*(1+$H$5/2),0)</f>
        <v>333.88799999999998</v>
      </c>
      <c r="H23" s="22">
        <f>IFERROR(F23*$B$5,0)</f>
        <v>133856</v>
      </c>
      <c r="I23" s="22">
        <f>IFERROR(G23*$B$5,0)</f>
        <v>166944</v>
      </c>
      <c r="J23" s="21" t="s">
        <v>100</v>
      </c>
    </row>
    <row r="24" ht="13.5" customHeight="1">
      <c r="A24" s="24" t="s">
        <v>85</v>
      </c>
      <c r="B24" s="24" t="s">
        <v>101</v>
      </c>
      <c r="C24" s="25" t="s">
        <v>102</v>
      </c>
      <c r="D24" s="24" t="s">
        <v>73</v>
      </c>
      <c r="E24" s="26">
        <f>IFERROR('Rates Reference Table'!I21*$E$5,0)</f>
        <v>150.40000000000001</v>
      </c>
      <c r="F24" s="26">
        <f>IFERROR(E24*(1-$H$5/2),0)</f>
        <v>133.85599999999999</v>
      </c>
      <c r="G24" s="26">
        <f>IFERROR(E24*(1+$H$5/2),0)</f>
        <v>166.94399999999999</v>
      </c>
      <c r="H24" s="26">
        <f>IFERROR(F24*$B$5,0)</f>
        <v>66928</v>
      </c>
      <c r="I24" s="26">
        <f>IFERROR(G24*$B$5,0)</f>
        <v>83472</v>
      </c>
      <c r="J24" s="25" t="s">
        <v>103</v>
      </c>
    </row>
    <row r="25" ht="13.5" customHeight="1">
      <c r="A25" s="20" t="s">
        <v>85</v>
      </c>
      <c r="B25" s="20" t="s">
        <v>104</v>
      </c>
      <c r="C25" s="21" t="s">
        <v>105</v>
      </c>
      <c r="D25" s="20" t="s">
        <v>73</v>
      </c>
      <c r="E25" s="22">
        <f>IFERROR('Rates Reference Table'!I22*$E$5,0)</f>
        <v>47</v>
      </c>
      <c r="F25" s="22">
        <f>IFERROR(E25*(1-$H$5/2),0)</f>
        <v>41.829999999999998</v>
      </c>
      <c r="G25" s="22">
        <f>IFERROR(E25*(1+$H$5/2),0)</f>
        <v>52.170000000000002</v>
      </c>
      <c r="H25" s="22">
        <f>IFERROR(F25*$B$5,0)</f>
        <v>20915</v>
      </c>
      <c r="I25" s="22">
        <f>IFERROR(G25*$B$5,0)</f>
        <v>26085</v>
      </c>
      <c r="J25" s="21" t="s">
        <v>106</v>
      </c>
    </row>
    <row r="26" ht="13.5" customHeight="1">
      <c r="A26" s="24" t="s">
        <v>85</v>
      </c>
      <c r="B26" s="24" t="s">
        <v>107</v>
      </c>
      <c r="C26" s="25" t="s">
        <v>108</v>
      </c>
      <c r="D26" s="24" t="s">
        <v>109</v>
      </c>
      <c r="E26" s="26">
        <f>IFERROR('Rates Reference Table'!I23*$E$5,0)</f>
        <v>32.899999999999999</v>
      </c>
      <c r="F26" s="26">
        <f>IFERROR(E26*(1-$H$5/2),0)</f>
        <v>29.280999999999999</v>
      </c>
      <c r="G26" s="26">
        <f>IFERROR(E26*(1+$H$5/2),0)</f>
        <v>36.518999999999998</v>
      </c>
      <c r="H26" s="26">
        <f>IFERROR(F26*$B$5,0)</f>
        <v>14640.5</v>
      </c>
      <c r="I26" s="26">
        <f>IFERROR(G26*$B$5,0)</f>
        <v>18259.5</v>
      </c>
      <c r="J26" s="25" t="s">
        <v>110</v>
      </c>
    </row>
    <row r="27" ht="15.75" customHeight="1">
      <c r="A27" s="36" t="s">
        <v>264</v>
      </c>
      <c r="B27" s="36"/>
      <c r="C27" s="36"/>
      <c r="D27" s="36"/>
      <c r="E27" s="36"/>
      <c r="F27" s="36"/>
      <c r="G27" s="36"/>
      <c r="H27" s="36"/>
      <c r="I27" s="36"/>
      <c r="J27" s="36"/>
    </row>
    <row r="28" ht="13.5" customHeight="1">
      <c r="A28" s="20" t="s">
        <v>112</v>
      </c>
      <c r="B28" s="20" t="s">
        <v>113</v>
      </c>
      <c r="C28" s="21" t="s">
        <v>114</v>
      </c>
      <c r="D28" s="20" t="s">
        <v>73</v>
      </c>
      <c r="E28" s="22">
        <f>IFERROR('Rates Reference Table'!I25*$E$5,0)</f>
        <v>51.700000000000003</v>
      </c>
      <c r="F28" s="22">
        <f>IFERROR(E28*(1-$H$5/2),0)</f>
        <v>46.012999999999998</v>
      </c>
      <c r="G28" s="22">
        <f>IFERROR(E28*(1+$H$5/2),0)</f>
        <v>57.387</v>
      </c>
      <c r="H28" s="22">
        <f>IFERROR(F28*$B$5,0)</f>
        <v>23006.5</v>
      </c>
      <c r="I28" s="22">
        <f>IFERROR(G28*$B$5,0)</f>
        <v>28693.5</v>
      </c>
      <c r="J28" s="21" t="s">
        <v>115</v>
      </c>
    </row>
    <row r="29" ht="13.5" customHeight="1">
      <c r="A29" s="24" t="s">
        <v>112</v>
      </c>
      <c r="B29" s="24" t="s">
        <v>116</v>
      </c>
      <c r="C29" s="25" t="s">
        <v>117</v>
      </c>
      <c r="D29" s="24" t="s">
        <v>73</v>
      </c>
      <c r="E29" s="26">
        <f>IFERROR('Rates Reference Table'!I26*$E$5,0)</f>
        <v>75.200000000000003</v>
      </c>
      <c r="F29" s="26">
        <f>IFERROR(E29*(1-$H$5/2),0)</f>
        <v>66.927999999999997</v>
      </c>
      <c r="G29" s="26">
        <f>IFERROR(E29*(1+$H$5/2),0)</f>
        <v>83.471999999999994</v>
      </c>
      <c r="H29" s="26">
        <f>IFERROR(F29*$B$5,0)</f>
        <v>33464</v>
      </c>
      <c r="I29" s="26">
        <f>IFERROR(G29*$B$5,0)</f>
        <v>41736</v>
      </c>
      <c r="J29" s="25" t="s">
        <v>118</v>
      </c>
    </row>
    <row r="30" ht="13.5" customHeight="1">
      <c r="A30" s="20" t="s">
        <v>112</v>
      </c>
      <c r="B30" s="20" t="s">
        <v>119</v>
      </c>
      <c r="C30" s="21" t="s">
        <v>120</v>
      </c>
      <c r="D30" s="20" t="s">
        <v>73</v>
      </c>
      <c r="E30" s="22">
        <f>IFERROR('Rates Reference Table'!I27*$E$5,0)</f>
        <v>42.299999999999997</v>
      </c>
      <c r="F30" s="22">
        <f>IFERROR(E30*(1-$H$5/2),0)</f>
        <v>37.646999999999998</v>
      </c>
      <c r="G30" s="22">
        <f>IFERROR(E30*(1+$H$5/2),0)</f>
        <v>46.953000000000003</v>
      </c>
      <c r="H30" s="22">
        <f>IFERROR(F30*$B$5,0)</f>
        <v>18823.5</v>
      </c>
      <c r="I30" s="22">
        <f>IFERROR(G30*$B$5,0)</f>
        <v>23476.5</v>
      </c>
      <c r="J30" s="21" t="s">
        <v>121</v>
      </c>
    </row>
    <row r="31" ht="15.75" customHeight="1">
      <c r="A31" s="36" t="s">
        <v>265</v>
      </c>
      <c r="B31" s="36"/>
      <c r="C31" s="36"/>
      <c r="D31" s="36"/>
      <c r="E31" s="36"/>
      <c r="F31" s="36"/>
      <c r="G31" s="36"/>
      <c r="H31" s="36"/>
      <c r="I31" s="36"/>
      <c r="J31" s="36"/>
    </row>
    <row r="32" ht="13.5" customHeight="1">
      <c r="A32" s="20" t="s">
        <v>123</v>
      </c>
      <c r="B32" s="20" t="s">
        <v>124</v>
      </c>
      <c r="C32" s="21" t="s">
        <v>125</v>
      </c>
      <c r="D32" s="20" t="s">
        <v>58</v>
      </c>
      <c r="E32" s="22">
        <f>IFERROR('Rates Reference Table'!I29*$E$5,0)</f>
        <v>47</v>
      </c>
      <c r="F32" s="22">
        <f>IFERROR(E32*(1-$H$5/2),0)</f>
        <v>41.829999999999998</v>
      </c>
      <c r="G32" s="22">
        <f>IFERROR(E32*(1+$H$5/2),0)</f>
        <v>52.170000000000002</v>
      </c>
      <c r="H32" s="22">
        <f>IFERROR(F32*$B$5,0)</f>
        <v>20915</v>
      </c>
      <c r="I32" s="22">
        <f>IFERROR(G32*$B$5,0)</f>
        <v>26085</v>
      </c>
      <c r="J32" s="21" t="s">
        <v>126</v>
      </c>
    </row>
    <row r="33" ht="13.5" customHeight="1">
      <c r="A33" s="24" t="s">
        <v>123</v>
      </c>
      <c r="B33" s="24" t="s">
        <v>127</v>
      </c>
      <c r="C33" s="25" t="s">
        <v>128</v>
      </c>
      <c r="D33" s="24" t="s">
        <v>109</v>
      </c>
      <c r="E33" s="26">
        <f>IFERROR('Rates Reference Table'!I30*$E$5,0)</f>
        <v>20.68</v>
      </c>
      <c r="F33" s="26">
        <f>IFERROR(E33*(1-$H$5/2),0)</f>
        <v>18.405200000000001</v>
      </c>
      <c r="G33" s="26">
        <f>IFERROR(E33*(1+$H$5/2),0)</f>
        <v>22.954799999999999</v>
      </c>
      <c r="H33" s="26">
        <f>IFERROR(F33*$B$5,0)</f>
        <v>9202.6000000000004</v>
      </c>
      <c r="I33" s="26">
        <f>IFERROR(G33*$B$5,0)</f>
        <v>11477.4</v>
      </c>
      <c r="J33" s="25" t="s">
        <v>129</v>
      </c>
    </row>
    <row r="34" ht="13.5" customHeight="1">
      <c r="A34" s="20" t="s">
        <v>123</v>
      </c>
      <c r="B34" s="20" t="s">
        <v>130</v>
      </c>
      <c r="C34" s="21" t="s">
        <v>131</v>
      </c>
      <c r="D34" s="20" t="s">
        <v>58</v>
      </c>
      <c r="E34" s="22">
        <f>IFERROR('Rates Reference Table'!I31*$E$5,0)</f>
        <v>18.800000000000001</v>
      </c>
      <c r="F34" s="22">
        <f>IFERROR(E34*(1-$H$5/2),0)</f>
        <v>16.731999999999999</v>
      </c>
      <c r="G34" s="22">
        <f>IFERROR(E34*(1+$H$5/2),0)</f>
        <v>20.867999999999999</v>
      </c>
      <c r="H34" s="22">
        <f>IFERROR(F34*$B$5,0)</f>
        <v>8366</v>
      </c>
      <c r="I34" s="22">
        <f>IFERROR(G34*$B$5,0)</f>
        <v>10434</v>
      </c>
      <c r="J34" s="21" t="s">
        <v>132</v>
      </c>
    </row>
    <row r="35" ht="13.5" customHeight="1">
      <c r="A35" s="24" t="s">
        <v>123</v>
      </c>
      <c r="B35" s="24" t="s">
        <v>133</v>
      </c>
      <c r="C35" s="25" t="s">
        <v>134</v>
      </c>
      <c r="D35" s="24" t="s">
        <v>58</v>
      </c>
      <c r="E35" s="26">
        <f>IFERROR('Rates Reference Table'!I32*$E$5,0)</f>
        <v>56.399999999999999</v>
      </c>
      <c r="F35" s="26">
        <f>IFERROR(E35*(1-$H$5/2),0)</f>
        <v>50.195999999999998</v>
      </c>
      <c r="G35" s="26">
        <f>IFERROR(E35*(1+$H$5/2),0)</f>
        <v>62.603999999999999</v>
      </c>
      <c r="H35" s="26">
        <f>IFERROR(F35*$B$5,0)</f>
        <v>25098</v>
      </c>
      <c r="I35" s="26">
        <f>IFERROR(G35*$B$5,0)</f>
        <v>31302</v>
      </c>
      <c r="J35" s="25" t="s">
        <v>135</v>
      </c>
    </row>
    <row r="36" ht="15.75" customHeight="1">
      <c r="A36" s="36" t="s">
        <v>266</v>
      </c>
      <c r="B36" s="36"/>
      <c r="C36" s="36"/>
      <c r="D36" s="36"/>
      <c r="E36" s="36"/>
      <c r="F36" s="36"/>
      <c r="G36" s="36"/>
      <c r="H36" s="36"/>
      <c r="I36" s="36"/>
      <c r="J36" s="36"/>
    </row>
    <row r="37" ht="13.5" customHeight="1">
      <c r="A37" s="20" t="s">
        <v>137</v>
      </c>
      <c r="B37" s="20" t="s">
        <v>138</v>
      </c>
      <c r="C37" s="21" t="s">
        <v>139</v>
      </c>
      <c r="D37" s="20" t="s">
        <v>73</v>
      </c>
      <c r="E37" s="22">
        <f>IFERROR('Rates Reference Table'!I34*$E$5,0)</f>
        <v>47</v>
      </c>
      <c r="F37" s="22">
        <f>IFERROR(E37*(1-$H$5/2),0)</f>
        <v>41.829999999999998</v>
      </c>
      <c r="G37" s="22">
        <f>IFERROR(E37*(1+$H$5/2),0)</f>
        <v>52.170000000000002</v>
      </c>
      <c r="H37" s="22">
        <f>IFERROR(F37*$B$5,0)</f>
        <v>20915</v>
      </c>
      <c r="I37" s="22">
        <f>IFERROR(G37*$B$5,0)</f>
        <v>26085</v>
      </c>
      <c r="J37" s="21" t="s">
        <v>140</v>
      </c>
    </row>
    <row r="38" ht="13.5" customHeight="1">
      <c r="A38" s="24" t="s">
        <v>137</v>
      </c>
      <c r="B38" s="24" t="s">
        <v>141</v>
      </c>
      <c r="C38" s="25" t="s">
        <v>142</v>
      </c>
      <c r="D38" s="24" t="s">
        <v>73</v>
      </c>
      <c r="E38" s="26">
        <f>IFERROR('Rates Reference Table'!I35*$E$5,0)</f>
        <v>65.799999999999997</v>
      </c>
      <c r="F38" s="26">
        <f>IFERROR(E38*(1-$H$5/2),0)</f>
        <v>58.561999999999998</v>
      </c>
      <c r="G38" s="26">
        <f>IFERROR(E38*(1+$H$5/2),0)</f>
        <v>73.037999999999997</v>
      </c>
      <c r="H38" s="26">
        <f>IFERROR(F38*$B$5,0)</f>
        <v>29281</v>
      </c>
      <c r="I38" s="26">
        <f>IFERROR(G38*$B$5,0)</f>
        <v>36519</v>
      </c>
      <c r="J38" s="25" t="s">
        <v>143</v>
      </c>
    </row>
    <row r="39" ht="13.5" customHeight="1">
      <c r="A39" s="20" t="s">
        <v>137</v>
      </c>
      <c r="B39" s="20" t="s">
        <v>144</v>
      </c>
      <c r="C39" s="21" t="s">
        <v>145</v>
      </c>
      <c r="D39" s="20" t="s">
        <v>73</v>
      </c>
      <c r="E39" s="22">
        <f>IFERROR('Rates Reference Table'!I36*$E$5,0)</f>
        <v>65.799999999999997</v>
      </c>
      <c r="F39" s="22">
        <f>IFERROR(E39*(1-$H$5/2),0)</f>
        <v>58.561999999999998</v>
      </c>
      <c r="G39" s="22">
        <f>IFERROR(E39*(1+$H$5/2),0)</f>
        <v>73.037999999999997</v>
      </c>
      <c r="H39" s="22">
        <f>IFERROR(F39*$B$5,0)</f>
        <v>29281</v>
      </c>
      <c r="I39" s="22">
        <f>IFERROR(G39*$B$5,0)</f>
        <v>36519</v>
      </c>
      <c r="J39" s="21" t="s">
        <v>146</v>
      </c>
    </row>
    <row r="40" ht="13.5" customHeight="1">
      <c r="A40" s="24" t="s">
        <v>137</v>
      </c>
      <c r="B40" s="24" t="s">
        <v>147</v>
      </c>
      <c r="C40" s="25" t="s">
        <v>148</v>
      </c>
      <c r="D40" s="24" t="s">
        <v>73</v>
      </c>
      <c r="E40" s="26">
        <f>IFERROR('Rates Reference Table'!I37*$E$5,0)</f>
        <v>51.700000000000003</v>
      </c>
      <c r="F40" s="26">
        <f>IFERROR(E40*(1-$H$5/2),0)</f>
        <v>46.012999999999998</v>
      </c>
      <c r="G40" s="26">
        <f>IFERROR(E40*(1+$H$5/2),0)</f>
        <v>57.387</v>
      </c>
      <c r="H40" s="26">
        <f>IFERROR(F40*$B$5,0)</f>
        <v>23006.5</v>
      </c>
      <c r="I40" s="26">
        <f>IFERROR(G40*$B$5,0)</f>
        <v>28693.5</v>
      </c>
      <c r="J40" s="25" t="s">
        <v>149</v>
      </c>
    </row>
    <row r="41" ht="13.5" customHeight="1">
      <c r="A41" s="20" t="s">
        <v>137</v>
      </c>
      <c r="B41" s="20" t="s">
        <v>150</v>
      </c>
      <c r="C41" s="21" t="s">
        <v>151</v>
      </c>
      <c r="D41" s="20" t="s">
        <v>58</v>
      </c>
      <c r="E41" s="22">
        <f>IFERROR('Rates Reference Table'!I38*$E$5,0)</f>
        <v>14.1</v>
      </c>
      <c r="F41" s="22">
        <f>IFERROR(E41*(1-$H$5/2),0)</f>
        <v>12.548999999999999</v>
      </c>
      <c r="G41" s="22">
        <f>IFERROR(E41*(1+$H$5/2),0)</f>
        <v>15.651</v>
      </c>
      <c r="H41" s="22">
        <f>IFERROR(F41*$B$5,0)</f>
        <v>6274.5</v>
      </c>
      <c r="I41" s="22">
        <f>IFERROR(G41*$B$5,0)</f>
        <v>7825.5</v>
      </c>
      <c r="J41" s="21" t="s">
        <v>152</v>
      </c>
    </row>
    <row r="42" ht="13.5" customHeight="1">
      <c r="A42" s="24" t="s">
        <v>137</v>
      </c>
      <c r="B42" s="24" t="s">
        <v>153</v>
      </c>
      <c r="C42" s="25" t="s">
        <v>154</v>
      </c>
      <c r="D42" s="24" t="s">
        <v>73</v>
      </c>
      <c r="E42" s="26">
        <f>IFERROR('Rates Reference Table'!I39*$E$5,0)</f>
        <v>23.5</v>
      </c>
      <c r="F42" s="26">
        <f>IFERROR(E42*(1-$H$5/2),0)</f>
        <v>20.914999999999999</v>
      </c>
      <c r="G42" s="26">
        <f>IFERROR(E42*(1+$H$5/2),0)</f>
        <v>26.085000000000001</v>
      </c>
      <c r="H42" s="26">
        <f>IFERROR(F42*$B$5,0)</f>
        <v>10457.5</v>
      </c>
      <c r="I42" s="26">
        <f>IFERROR(G42*$B$5,0)</f>
        <v>13042.5</v>
      </c>
      <c r="J42" s="25" t="s">
        <v>155</v>
      </c>
    </row>
    <row r="43" ht="13.5" customHeight="1">
      <c r="A43" s="20" t="s">
        <v>137</v>
      </c>
      <c r="B43" s="20" t="s">
        <v>156</v>
      </c>
      <c r="C43" s="21" t="s">
        <v>157</v>
      </c>
      <c r="D43" s="20" t="s">
        <v>73</v>
      </c>
      <c r="E43" s="22">
        <f>IFERROR('Rates Reference Table'!I40*$E$5,0)</f>
        <v>42.299999999999997</v>
      </c>
      <c r="F43" s="22">
        <f>IFERROR(E43*(1-$H$5/2),0)</f>
        <v>37.646999999999998</v>
      </c>
      <c r="G43" s="22">
        <f>IFERROR(E43*(1+$H$5/2),0)</f>
        <v>46.953000000000003</v>
      </c>
      <c r="H43" s="22">
        <f>IFERROR(F43*$B$5,0)</f>
        <v>18823.5</v>
      </c>
      <c r="I43" s="22">
        <f>IFERROR(G43*$B$5,0)</f>
        <v>23476.5</v>
      </c>
      <c r="J43" s="21" t="s">
        <v>158</v>
      </c>
    </row>
    <row r="44" ht="13.5" customHeight="1">
      <c r="A44" s="24" t="s">
        <v>137</v>
      </c>
      <c r="B44" s="24" t="s">
        <v>159</v>
      </c>
      <c r="C44" s="25" t="s">
        <v>160</v>
      </c>
      <c r="D44" s="24" t="s">
        <v>73</v>
      </c>
      <c r="E44" s="26">
        <f>IFERROR('Rates Reference Table'!I41*$E$5,0)</f>
        <v>56.399999999999999</v>
      </c>
      <c r="F44" s="26">
        <f>IFERROR(E44*(1-$H$5/2),0)</f>
        <v>50.195999999999998</v>
      </c>
      <c r="G44" s="26">
        <f>IFERROR(E44*(1+$H$5/2),0)</f>
        <v>62.603999999999999</v>
      </c>
      <c r="H44" s="26">
        <f>IFERROR(F44*$B$5,0)</f>
        <v>25098</v>
      </c>
      <c r="I44" s="26">
        <f>IFERROR(G44*$B$5,0)</f>
        <v>31302</v>
      </c>
      <c r="J44" s="25" t="s">
        <v>161</v>
      </c>
    </row>
    <row r="45" ht="13.5" customHeight="1">
      <c r="A45" s="20" t="s">
        <v>137</v>
      </c>
      <c r="B45" s="20" t="s">
        <v>162</v>
      </c>
      <c r="C45" s="21" t="s">
        <v>163</v>
      </c>
      <c r="D45" s="20" t="s">
        <v>73</v>
      </c>
      <c r="E45" s="22">
        <f>IFERROR('Rates Reference Table'!I42*$E$5,0)</f>
        <v>23.5</v>
      </c>
      <c r="F45" s="22">
        <f>IFERROR(E45*(1-$H$5/2),0)</f>
        <v>20.914999999999999</v>
      </c>
      <c r="G45" s="22">
        <f>IFERROR(E45*(1+$H$5/2),0)</f>
        <v>26.085000000000001</v>
      </c>
      <c r="H45" s="22">
        <f>IFERROR(F45*$B$5,0)</f>
        <v>10457.5</v>
      </c>
      <c r="I45" s="22">
        <f>IFERROR(G45*$B$5,0)</f>
        <v>13042.5</v>
      </c>
      <c r="J45" s="21" t="s">
        <v>164</v>
      </c>
    </row>
    <row r="46" ht="13.5" customHeight="1">
      <c r="A46" s="24" t="s">
        <v>137</v>
      </c>
      <c r="B46" s="24" t="s">
        <v>165</v>
      </c>
      <c r="C46" s="25" t="s">
        <v>166</v>
      </c>
      <c r="D46" s="24" t="s">
        <v>58</v>
      </c>
      <c r="E46" s="26">
        <f>IFERROR('Rates Reference Table'!I43*$E$5,0)</f>
        <v>11.279999999999999</v>
      </c>
      <c r="F46" s="26">
        <f>IFERROR(E46*(1-$H$5/2),0)</f>
        <v>10.039199999999999</v>
      </c>
      <c r="G46" s="26">
        <f>IFERROR(E46*(1+$H$5/2),0)</f>
        <v>12.520799999999999</v>
      </c>
      <c r="H46" s="26">
        <f>IFERROR(F46*$B$5,0)</f>
        <v>5019.6000000000004</v>
      </c>
      <c r="I46" s="26">
        <f>IFERROR(G46*$B$5,0)</f>
        <v>6260.3999999999996</v>
      </c>
      <c r="J46" s="25" t="s">
        <v>167</v>
      </c>
    </row>
    <row r="47" ht="13.5" customHeight="1">
      <c r="A47" s="20" t="s">
        <v>137</v>
      </c>
      <c r="B47" s="20" t="s">
        <v>168</v>
      </c>
      <c r="C47" s="21" t="s">
        <v>169</v>
      </c>
      <c r="D47" s="20" t="s">
        <v>170</v>
      </c>
      <c r="E47" s="22">
        <f>IFERROR('Rates Reference Table'!I44*$E$5,0)</f>
        <v>1128</v>
      </c>
      <c r="F47" s="22">
        <f>IFERROR(E47*(1-$H$5/2),0)</f>
        <v>1003.92</v>
      </c>
      <c r="G47" s="22">
        <f>IFERROR(E47*(1+$H$5/2),0)</f>
        <v>1252.0799999999999</v>
      </c>
      <c r="H47" s="22">
        <f>IFERROR(F47*$B$5,0)</f>
        <v>501960</v>
      </c>
      <c r="I47" s="22">
        <f>IFERROR(G47*$B$5,0)</f>
        <v>626040</v>
      </c>
      <c r="J47" s="21" t="s">
        <v>171</v>
      </c>
    </row>
    <row r="48" ht="13.5" customHeight="1">
      <c r="A48" s="24" t="s">
        <v>137</v>
      </c>
      <c r="B48" s="24" t="s">
        <v>172</v>
      </c>
      <c r="C48" s="25" t="s">
        <v>173</v>
      </c>
      <c r="D48" s="24" t="s">
        <v>109</v>
      </c>
      <c r="E48" s="26">
        <f>IFERROR('Rates Reference Table'!I45*$E$5,0)</f>
        <v>2350</v>
      </c>
      <c r="F48" s="26">
        <f>IFERROR(E48*(1-$H$5/2),0)</f>
        <v>2091.5</v>
      </c>
      <c r="G48" s="26">
        <f>IFERROR(E48*(1+$H$5/2),0)</f>
        <v>2608.5</v>
      </c>
      <c r="H48" s="26">
        <f>IFERROR(F48*$B$5,0)</f>
        <v>1045750</v>
      </c>
      <c r="I48" s="26">
        <f>IFERROR(G48*$B$5,0)</f>
        <v>1304250</v>
      </c>
      <c r="J48" s="25" t="s">
        <v>174</v>
      </c>
    </row>
    <row r="49" ht="13.5" customHeight="1">
      <c r="A49" s="20" t="s">
        <v>137</v>
      </c>
      <c r="B49" s="20" t="s">
        <v>175</v>
      </c>
      <c r="C49" s="21" t="s">
        <v>176</v>
      </c>
      <c r="D49" s="20" t="s">
        <v>73</v>
      </c>
      <c r="E49" s="22">
        <f>IFERROR('Rates Reference Table'!I46*$E$5,0)</f>
        <v>23.5</v>
      </c>
      <c r="F49" s="22">
        <f>IFERROR(E49*(1-$H$5/2),0)</f>
        <v>20.914999999999999</v>
      </c>
      <c r="G49" s="22">
        <f>IFERROR(E49*(1+$H$5/2),0)</f>
        <v>26.085000000000001</v>
      </c>
      <c r="H49" s="22">
        <f>IFERROR(F49*$B$5,0)</f>
        <v>10457.5</v>
      </c>
      <c r="I49" s="22">
        <f>IFERROR(G49*$B$5,0)</f>
        <v>13042.5</v>
      </c>
      <c r="J49" s="21" t="s">
        <v>177</v>
      </c>
    </row>
    <row r="50" ht="13.5" customHeight="1">
      <c r="A50" s="24" t="s">
        <v>137</v>
      </c>
      <c r="B50" s="24" t="s">
        <v>178</v>
      </c>
      <c r="C50" s="25" t="s">
        <v>179</v>
      </c>
      <c r="D50" s="24" t="s">
        <v>58</v>
      </c>
      <c r="E50" s="26">
        <f>IFERROR('Rates Reference Table'!I47*$E$5,0)</f>
        <v>37.600000000000001</v>
      </c>
      <c r="F50" s="26">
        <f>IFERROR(E50*(1-$H$5/2),0)</f>
        <v>33.463999999999999</v>
      </c>
      <c r="G50" s="26">
        <f>IFERROR(E50*(1+$H$5/2),0)</f>
        <v>41.735999999999997</v>
      </c>
      <c r="H50" s="26">
        <f>IFERROR(F50*$B$5,0)</f>
        <v>16732</v>
      </c>
      <c r="I50" s="26">
        <f>IFERROR(G50*$B$5,0)</f>
        <v>20868</v>
      </c>
      <c r="J50" s="25" t="s">
        <v>180</v>
      </c>
    </row>
    <row r="51" ht="13.5" customHeight="1">
      <c r="A51" s="20" t="s">
        <v>137</v>
      </c>
      <c r="B51" s="20" t="s">
        <v>181</v>
      </c>
      <c r="C51" s="21" t="s">
        <v>182</v>
      </c>
      <c r="D51" s="20" t="s">
        <v>73</v>
      </c>
      <c r="E51" s="22">
        <f>IFERROR('Rates Reference Table'!I48*$E$5,0)</f>
        <v>18.800000000000001</v>
      </c>
      <c r="F51" s="22">
        <f>IFERROR(E51*(1-$H$5/2),0)</f>
        <v>16.731999999999999</v>
      </c>
      <c r="G51" s="22">
        <f>IFERROR(E51*(1+$H$5/2),0)</f>
        <v>20.867999999999999</v>
      </c>
      <c r="H51" s="22">
        <f>IFERROR(F51*$B$5,0)</f>
        <v>8366</v>
      </c>
      <c r="I51" s="22">
        <f>IFERROR(G51*$B$5,0)</f>
        <v>10434</v>
      </c>
      <c r="J51" s="21" t="s">
        <v>183</v>
      </c>
    </row>
    <row r="52" ht="13.5" customHeight="1">
      <c r="A52" s="24" t="s">
        <v>137</v>
      </c>
      <c r="B52" s="24" t="s">
        <v>184</v>
      </c>
      <c r="C52" s="25" t="s">
        <v>185</v>
      </c>
      <c r="D52" s="24" t="s">
        <v>109</v>
      </c>
      <c r="E52" s="26">
        <f>IFERROR('Rates Reference Table'!I49*$E$5,0)</f>
        <v>94</v>
      </c>
      <c r="F52" s="26">
        <f>IFERROR(E52*(1-$H$5/2),0)</f>
        <v>83.659999999999997</v>
      </c>
      <c r="G52" s="26">
        <f>IFERROR(E52*(1+$H$5/2),0)</f>
        <v>104.34</v>
      </c>
      <c r="H52" s="26">
        <f>IFERROR(F52*$B$5,0)</f>
        <v>41830</v>
      </c>
      <c r="I52" s="26">
        <f>IFERROR(G52*$B$5,0)</f>
        <v>52170</v>
      </c>
      <c r="J52" s="25" t="s">
        <v>186</v>
      </c>
    </row>
    <row r="53" ht="13.5" customHeight="1">
      <c r="A53" s="20" t="s">
        <v>137</v>
      </c>
      <c r="B53" s="20" t="s">
        <v>187</v>
      </c>
      <c r="C53" s="21" t="s">
        <v>188</v>
      </c>
      <c r="D53" s="20" t="s">
        <v>73</v>
      </c>
      <c r="E53" s="22">
        <f>IFERROR('Rates Reference Table'!I50*$E$5,0)</f>
        <v>16.920000000000002</v>
      </c>
      <c r="F53" s="22">
        <f>IFERROR(E53*(1-$H$5/2),0)</f>
        <v>15.0588</v>
      </c>
      <c r="G53" s="22">
        <f>IFERROR(E53*(1+$H$5/2),0)</f>
        <v>18.781199999999998</v>
      </c>
      <c r="H53" s="22">
        <f>IFERROR(F53*$B$5,0)</f>
        <v>7529.3999999999996</v>
      </c>
      <c r="I53" s="22">
        <f>IFERROR(G53*$B$5,0)</f>
        <v>9390.6000000000004</v>
      </c>
      <c r="J53" s="21" t="s">
        <v>189</v>
      </c>
    </row>
    <row r="54" ht="15.75" customHeight="1">
      <c r="A54" s="36" t="s">
        <v>267</v>
      </c>
      <c r="B54" s="36"/>
      <c r="C54" s="36"/>
      <c r="D54" s="36"/>
      <c r="E54" s="36"/>
      <c r="F54" s="36"/>
      <c r="G54" s="36"/>
      <c r="H54" s="36"/>
      <c r="I54" s="36"/>
      <c r="J54" s="36"/>
    </row>
    <row r="55" ht="13.5" customHeight="1">
      <c r="A55" s="20" t="s">
        <v>191</v>
      </c>
      <c r="B55" s="20" t="s">
        <v>192</v>
      </c>
      <c r="C55" s="21" t="s">
        <v>193</v>
      </c>
      <c r="D55" s="20" t="s">
        <v>58</v>
      </c>
      <c r="E55" s="22">
        <f>IFERROR('Rates Reference Table'!I52*$E$5,0)</f>
        <v>141</v>
      </c>
      <c r="F55" s="22">
        <f>IFERROR(E55*(1-$H$5/2),0)</f>
        <v>125.48999999999999</v>
      </c>
      <c r="G55" s="22">
        <f>IFERROR(E55*(1+$H$5/2),0)</f>
        <v>156.50999999999999</v>
      </c>
      <c r="H55" s="22">
        <f>IFERROR(F55*$B$5,0)</f>
        <v>62745</v>
      </c>
      <c r="I55" s="22">
        <f>IFERROR(G55*$B$5,0)</f>
        <v>78255</v>
      </c>
      <c r="J55" s="21" t="s">
        <v>194</v>
      </c>
    </row>
    <row r="56" ht="13.5" customHeight="1">
      <c r="A56" s="24" t="s">
        <v>191</v>
      </c>
      <c r="B56" s="24" t="s">
        <v>195</v>
      </c>
      <c r="C56" s="25" t="s">
        <v>196</v>
      </c>
      <c r="D56" s="24" t="s">
        <v>58</v>
      </c>
      <c r="E56" s="26">
        <f>IFERROR('Rates Reference Table'!I53*$E$5,0)</f>
        <v>75.200000000000003</v>
      </c>
      <c r="F56" s="26">
        <f>IFERROR(E56*(1-$H$5/2),0)</f>
        <v>66.927999999999997</v>
      </c>
      <c r="G56" s="26">
        <f>IFERROR(E56*(1+$H$5/2),0)</f>
        <v>83.471999999999994</v>
      </c>
      <c r="H56" s="26">
        <f>IFERROR(F56*$B$5,0)</f>
        <v>33464</v>
      </c>
      <c r="I56" s="26">
        <f>IFERROR(G56*$B$5,0)</f>
        <v>41736</v>
      </c>
      <c r="J56" s="25" t="s">
        <v>197</v>
      </c>
    </row>
    <row r="57" ht="15.75" customHeight="1">
      <c r="A57" s="37" t="s">
        <v>268</v>
      </c>
      <c r="B57" s="37"/>
      <c r="C57" s="37"/>
      <c r="D57" s="37"/>
      <c r="E57" s="37"/>
      <c r="F57" s="37"/>
      <c r="G57" s="37"/>
      <c r="H57" s="37"/>
      <c r="I57" s="37"/>
      <c r="J57" s="37"/>
    </row>
    <row r="58" ht="13.5" customHeight="1">
      <c r="A58" s="38" t="s">
        <v>199</v>
      </c>
      <c r="B58" s="38" t="s">
        <v>200</v>
      </c>
      <c r="C58" s="39" t="s">
        <v>201</v>
      </c>
      <c r="D58" s="38" t="s">
        <v>58</v>
      </c>
      <c r="E58" s="40" t="s">
        <v>262</v>
      </c>
      <c r="F58" s="40" t="s">
        <v>262</v>
      </c>
      <c r="G58" s="40" t="s">
        <v>262</v>
      </c>
      <c r="H58" s="41">
        <v>0</v>
      </c>
      <c r="I58" s="41">
        <v>0</v>
      </c>
      <c r="J58" s="39" t="s">
        <v>202</v>
      </c>
    </row>
    <row r="59" ht="13.5" customHeight="1">
      <c r="A59" s="38" t="s">
        <v>199</v>
      </c>
      <c r="B59" s="38" t="s">
        <v>203</v>
      </c>
      <c r="C59" s="39" t="s">
        <v>204</v>
      </c>
      <c r="D59" s="38" t="s">
        <v>58</v>
      </c>
      <c r="E59" s="40" t="s">
        <v>262</v>
      </c>
      <c r="F59" s="40" t="s">
        <v>262</v>
      </c>
      <c r="G59" s="40" t="s">
        <v>262</v>
      </c>
      <c r="H59" s="41">
        <v>0</v>
      </c>
      <c r="I59" s="41">
        <v>0</v>
      </c>
      <c r="J59" s="39" t="s">
        <v>205</v>
      </c>
    </row>
    <row r="60" ht="13.5" customHeight="1">
      <c r="A60" s="38" t="s">
        <v>199</v>
      </c>
      <c r="B60" s="38" t="s">
        <v>206</v>
      </c>
      <c r="C60" s="39" t="s">
        <v>207</v>
      </c>
      <c r="D60" s="38" t="s">
        <v>58</v>
      </c>
      <c r="E60" s="40" t="s">
        <v>262</v>
      </c>
      <c r="F60" s="40" t="s">
        <v>262</v>
      </c>
      <c r="G60" s="40" t="s">
        <v>262</v>
      </c>
      <c r="H60" s="41">
        <v>0</v>
      </c>
      <c r="I60" s="41">
        <v>0</v>
      </c>
      <c r="J60" s="39" t="s">
        <v>208</v>
      </c>
    </row>
    <row r="61" ht="13.5" customHeight="1">
      <c r="A61" s="38" t="s">
        <v>199</v>
      </c>
      <c r="B61" s="38" t="s">
        <v>209</v>
      </c>
      <c r="C61" s="39" t="s">
        <v>210</v>
      </c>
      <c r="D61" s="38" t="s">
        <v>58</v>
      </c>
      <c r="E61" s="40" t="s">
        <v>262</v>
      </c>
      <c r="F61" s="40" t="s">
        <v>262</v>
      </c>
      <c r="G61" s="40" t="s">
        <v>262</v>
      </c>
      <c r="H61" s="41">
        <v>0</v>
      </c>
      <c r="I61" s="41">
        <v>0</v>
      </c>
      <c r="J61" s="39" t="s">
        <v>211</v>
      </c>
    </row>
    <row r="62" ht="13.5" customHeight="1">
      <c r="A62" s="38" t="s">
        <v>199</v>
      </c>
      <c r="B62" s="38" t="s">
        <v>212</v>
      </c>
      <c r="C62" s="39" t="s">
        <v>213</v>
      </c>
      <c r="D62" s="38" t="s">
        <v>58</v>
      </c>
      <c r="E62" s="40" t="s">
        <v>262</v>
      </c>
      <c r="F62" s="40" t="s">
        <v>262</v>
      </c>
      <c r="G62" s="40" t="s">
        <v>262</v>
      </c>
      <c r="H62" s="41">
        <v>0</v>
      </c>
      <c r="I62" s="41">
        <v>0</v>
      </c>
      <c r="J62" s="39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Table'!I61*$E$5,0)</f>
        <v>16.920000000000002</v>
      </c>
      <c r="F64" s="22">
        <f>IFERROR(E64*(1-$H$5/2),0)</f>
        <v>15.0588</v>
      </c>
      <c r="G64" s="22">
        <f>IFERROR(E64*(1+$H$5/2),0)</f>
        <v>18.781199999999998</v>
      </c>
      <c r="H64" s="22">
        <f>IFERROR(F64*$B$5,0)</f>
        <v>7529.3999999999996</v>
      </c>
      <c r="I64" s="22">
        <f>IFERROR(G64*$B$5,0)</f>
        <v>9390.6000000000004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Table'!I62*$E$5,0)</f>
        <v>32.899999999999999</v>
      </c>
      <c r="F65" s="26">
        <f>IFERROR(E65*(1-$H$5/2),0)</f>
        <v>29.280999999999999</v>
      </c>
      <c r="G65" s="26">
        <f>IFERROR(E65*(1+$H$5/2),0)</f>
        <v>36.518999999999998</v>
      </c>
      <c r="H65" s="26">
        <f>IFERROR(F65*$B$5,0)</f>
        <v>14640.5</v>
      </c>
      <c r="I65" s="26">
        <f>IFERROR(G65*$B$5,0)</f>
        <v>18259.5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Table'!I63*$E$5,0)</f>
        <v>11.279999999999999</v>
      </c>
      <c r="F66" s="22">
        <f>IFERROR(E66*(1-$H$5/2),0)</f>
        <v>10.039199999999999</v>
      </c>
      <c r="G66" s="22">
        <f>IFERROR(E66*(1+$H$5/2),0)</f>
        <v>12.520799999999999</v>
      </c>
      <c r="H66" s="22">
        <f>IFERROR(F66*$B$5,0)</f>
        <v>5019.6000000000004</v>
      </c>
      <c r="I66" s="22">
        <f>IFERROR(G66*$B$5,0)</f>
        <v>6260.3999999999996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Table'!I64*$E$5,0)</f>
        <v>18.800000000000001</v>
      </c>
      <c r="F67" s="26">
        <f>IFERROR(E67*(1-$H$5/2),0)</f>
        <v>16.731999999999999</v>
      </c>
      <c r="G67" s="26">
        <f>IFERROR(E67*(1+$H$5/2),0)</f>
        <v>20.867999999999999</v>
      </c>
      <c r="H67" s="26">
        <f>IFERROR(F67*$B$5,0)</f>
        <v>8366</v>
      </c>
      <c r="I67" s="26">
        <f>IFERROR(G67*$B$5,0)</f>
        <v>10434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Table'!I65*$E$5,0)</f>
        <v>14.1</v>
      </c>
      <c r="F68" s="22">
        <f>IFERROR(E68*(1-$H$5/2),0)</f>
        <v>12.548999999999999</v>
      </c>
      <c r="G68" s="22">
        <f>IFERROR(E68*(1+$H$5/2),0)</f>
        <v>15.651</v>
      </c>
      <c r="H68" s="22">
        <f>IFERROR(F68*$B$5,0)</f>
        <v>6274.5</v>
      </c>
      <c r="I68" s="22">
        <f>IFERROR(G68*$B$5,0)</f>
        <v>7825.5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Table'!I66*$E$5,0)</f>
        <v>18.800000000000001</v>
      </c>
      <c r="F69" s="26">
        <f>IFERROR(E69*(1-$H$5/2),0)</f>
        <v>16.731999999999999</v>
      </c>
      <c r="G69" s="26">
        <f>IFERROR(E69*(1+$H$5/2),0)</f>
        <v>20.867999999999999</v>
      </c>
      <c r="H69" s="26">
        <f>IFERROR(F69*$B$5,0)</f>
        <v>8366</v>
      </c>
      <c r="I69" s="26">
        <f>IFERROR(G69*$B$5,0)</f>
        <v>10434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Table'!I67*$E$5,0)</f>
        <v>11.279999999999999</v>
      </c>
      <c r="F70" s="22">
        <f>IFERROR(E70*(1-$H$5/2),0)</f>
        <v>10.039199999999999</v>
      </c>
      <c r="G70" s="22">
        <f>IFERROR(E70*(1+$H$5/2),0)</f>
        <v>12.520799999999999</v>
      </c>
      <c r="H70" s="22">
        <f>IFERROR(F70*$B$5,0)</f>
        <v>5019.6000000000004</v>
      </c>
      <c r="I70" s="22">
        <f>IFERROR(G70*$B$5,0)</f>
        <v>6260.3999999999996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Table'!I68*$E$5,0)</f>
        <v>9.4000000000000004</v>
      </c>
      <c r="F71" s="26">
        <f>IFERROR(E71*(1-$H$5/2),0)</f>
        <v>8.3659999999999997</v>
      </c>
      <c r="G71" s="26">
        <f>IFERROR(E71*(1+$H$5/2),0)</f>
        <v>10.433999999999999</v>
      </c>
      <c r="H71" s="26">
        <f>IFERROR(F71*$B$5,0)</f>
        <v>4183</v>
      </c>
      <c r="I71" s="26">
        <f>IFERROR(G71*$B$5,0)</f>
        <v>5217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Table'!I69*$E$5,0)</f>
        <v>7.5199999999999996</v>
      </c>
      <c r="F72" s="22">
        <f>IFERROR(E72*(1-$H$5/2),0)</f>
        <v>6.6928000000000001</v>
      </c>
      <c r="G72" s="22">
        <f>IFERROR(E72*(1+$H$5/2),0)</f>
        <v>8.3472000000000008</v>
      </c>
      <c r="H72" s="22">
        <f>IFERROR(F72*$B$5,0)</f>
        <v>3346.4000000000001</v>
      </c>
      <c r="I72" s="22">
        <f>IFERROR(G72*$B$5,0)</f>
        <v>4173.6000000000004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2719786.6000000001</v>
      </c>
      <c r="I73" s="43">
        <f>SUMPRODUCT((I8:I72&gt;0)*I8:I72)</f>
        <v>3392093.3999999999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217582.92800000001</v>
      </c>
      <c r="I77" s="22">
        <f>IFERROR(G77*I73,0)</f>
        <v>339209.34000000003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217582.92800000001</v>
      </c>
      <c r="I78" s="26">
        <f>IFERROR(G78*I73,0)</f>
        <v>407051.20799999998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3154952.4559999998</v>
      </c>
      <c r="I79" s="43">
        <f>I73+I77+I78</f>
        <v>4138353.9479999999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157747.62280000001</v>
      </c>
      <c r="I80" s="26">
        <f>IFERROR(G80*I79,0)</f>
        <v>620753.09219999996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63099.049120000003</v>
      </c>
      <c r="I81" s="22">
        <f>IFERROR(G81*I79,0)</f>
        <v>165534.15792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135989.32999999999</v>
      </c>
      <c r="I82" s="51">
        <f>IFERROR(G82*I73,0)</f>
        <v>339209.34000000003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135989.32999999999</v>
      </c>
      <c r="I83" s="55">
        <f>IFERROR(0.05*I73,0)</f>
        <v>169604.67000000001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54395.732000000004</v>
      </c>
      <c r="I84" s="26">
        <f>IFERROR(G84*I73,0)</f>
        <v>407051.20799999998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3702173.5199199999</v>
      </c>
      <c r="I85" s="57">
        <f>I79+I80+I81+I82+I83+I84</f>
        <v>5840506.4161200002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740434.70398400002</v>
      </c>
      <c r="I86" s="61">
        <f>IFERROR(0.2*I85,0)</f>
        <v>1168101.2832239999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5439.5731999999998</v>
      </c>
      <c r="F88" s="64"/>
      <c r="G88" s="65">
        <f>IFERROR(I73/$B$5,0)</f>
        <v>6784.1868000000004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8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323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324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325</v>
      </c>
      <c r="D4" s="31" t="s">
        <v>248</v>
      </c>
      <c r="E4" s="32" t="s">
        <v>320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250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Table'!J6*$E$5,0)</f>
        <v>9.4000000000000004</v>
      </c>
      <c r="F9" s="22">
        <f>IFERROR(E9*(1-$H$5/2),0)</f>
        <v>8.3659999999999997</v>
      </c>
      <c r="G9" s="22">
        <f>IFERROR(E9*(1+$H$5/2),0)</f>
        <v>10.433999999999999</v>
      </c>
      <c r="H9" s="22">
        <f>IFERROR(F9*$B$5,0)</f>
        <v>2091.5</v>
      </c>
      <c r="I9" s="22">
        <f>IFERROR(G9*$B$5,0)</f>
        <v>2608.5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Table'!J7*$E$5,0)</f>
        <v>18.800000000000001</v>
      </c>
      <c r="F10" s="26">
        <f>IFERROR(E10*(1-$H$5/2),0)</f>
        <v>16.731999999999999</v>
      </c>
      <c r="G10" s="26">
        <f>IFERROR(E10*(1+$H$5/2),0)</f>
        <v>20.867999999999999</v>
      </c>
      <c r="H10" s="26">
        <f>IFERROR(F10*$B$5,0)</f>
        <v>4183</v>
      </c>
      <c r="I10" s="26">
        <f>IFERROR(G10*$B$5,0)</f>
        <v>5217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Table'!J8*$E$5,0)</f>
        <v>4.7000000000000002</v>
      </c>
      <c r="F11" s="22">
        <f>IFERROR(E11*(1-$H$5/2),0)</f>
        <v>4.1829999999999998</v>
      </c>
      <c r="G11" s="22">
        <f>IFERROR(E11*(1+$H$5/2),0)</f>
        <v>5.2169999999999996</v>
      </c>
      <c r="H11" s="22">
        <f>IFERROR(F11*$B$5,0)</f>
        <v>1045.75</v>
      </c>
      <c r="I11" s="22">
        <f>IFERROR(G11*$B$5,0)</f>
        <v>1304.25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Table'!J9*$E$5,0)</f>
        <v>4.7000000000000002</v>
      </c>
      <c r="F12" s="26">
        <f>IFERROR(E12*(1-$H$5/2),0)</f>
        <v>4.1829999999999998</v>
      </c>
      <c r="G12" s="26">
        <f>IFERROR(E12*(1+$H$5/2),0)</f>
        <v>5.2169999999999996</v>
      </c>
      <c r="H12" s="26">
        <f>IFERROR(F12*$B$5,0)</f>
        <v>1045.75</v>
      </c>
      <c r="I12" s="26">
        <f>IFERROR(G12*$B$5,0)</f>
        <v>1304.25</v>
      </c>
      <c r="J12" s="25" t="s">
        <v>68</v>
      </c>
    </row>
    <row r="13" ht="15.75" customHeight="1">
      <c r="A13" s="36" t="s">
        <v>261</v>
      </c>
      <c r="B13" s="36"/>
      <c r="C13" s="36"/>
      <c r="D13" s="36"/>
      <c r="E13" s="36"/>
      <c r="F13" s="36"/>
      <c r="G13" s="36"/>
      <c r="H13" s="36"/>
      <c r="I13" s="36"/>
      <c r="J13" s="36"/>
    </row>
    <row r="14" ht="13.5" customHeight="1">
      <c r="A14" s="20" t="s">
        <v>70</v>
      </c>
      <c r="B14" s="20" t="s">
        <v>71</v>
      </c>
      <c r="C14" s="21" t="s">
        <v>72</v>
      </c>
      <c r="D14" s="20" t="s">
        <v>73</v>
      </c>
      <c r="E14" s="22">
        <f>IFERROR('Rates Reference Table'!J11*$E$5,0)</f>
        <v>51.700000000000003</v>
      </c>
      <c r="F14" s="22">
        <f>IFERROR(E14*(1-$H$5/2),0)</f>
        <v>46.012999999999998</v>
      </c>
      <c r="G14" s="22">
        <f>IFERROR(E14*(1+$H$5/2),0)</f>
        <v>57.387</v>
      </c>
      <c r="H14" s="22">
        <f>IFERROR(F14*$B$5,0)</f>
        <v>11503.25</v>
      </c>
      <c r="I14" s="22">
        <f>IFERROR(G14*$B$5,0)</f>
        <v>14346.75</v>
      </c>
      <c r="J14" s="21" t="s">
        <v>74</v>
      </c>
    </row>
    <row r="15" ht="13.5" customHeight="1">
      <c r="A15" s="24" t="s">
        <v>70</v>
      </c>
      <c r="B15" s="24" t="s">
        <v>75</v>
      </c>
      <c r="C15" s="25" t="s">
        <v>76</v>
      </c>
      <c r="D15" s="24" t="s">
        <v>73</v>
      </c>
      <c r="E15" s="26">
        <f>IFERROR('Rates Reference Table'!J12*$E$5,0)</f>
        <v>37.600000000000001</v>
      </c>
      <c r="F15" s="26">
        <f>IFERROR(E15*(1-$H$5/2),0)</f>
        <v>33.463999999999999</v>
      </c>
      <c r="G15" s="26">
        <f>IFERROR(E15*(1+$H$5/2),0)</f>
        <v>41.735999999999997</v>
      </c>
      <c r="H15" s="26">
        <f>IFERROR(F15*$B$5,0)</f>
        <v>8366</v>
      </c>
      <c r="I15" s="26">
        <f>IFERROR(G15*$B$5,0)</f>
        <v>10434</v>
      </c>
      <c r="J15" s="25" t="s">
        <v>77</v>
      </c>
    </row>
    <row r="16" ht="13.5" customHeight="1">
      <c r="A16" s="20" t="s">
        <v>70</v>
      </c>
      <c r="B16" s="20" t="s">
        <v>78</v>
      </c>
      <c r="C16" s="21" t="s">
        <v>79</v>
      </c>
      <c r="D16" s="20" t="s">
        <v>73</v>
      </c>
      <c r="E16" s="22">
        <f>IFERROR('Rates Reference Table'!J13*$E$5,0)</f>
        <v>32.899999999999999</v>
      </c>
      <c r="F16" s="22">
        <f>IFERROR(E16*(1-$H$5/2),0)</f>
        <v>29.280999999999999</v>
      </c>
      <c r="G16" s="22">
        <f>IFERROR(E16*(1+$H$5/2),0)</f>
        <v>36.518999999999998</v>
      </c>
      <c r="H16" s="22">
        <f>IFERROR(F16*$B$5,0)</f>
        <v>7320.25</v>
      </c>
      <c r="I16" s="22">
        <f>IFERROR(G16*$B$5,0)</f>
        <v>9129.75</v>
      </c>
      <c r="J16" s="21" t="s">
        <v>80</v>
      </c>
    </row>
    <row r="17" ht="13.5" customHeight="1">
      <c r="A17" s="24" t="s">
        <v>70</v>
      </c>
      <c r="B17" s="24" t="s">
        <v>81</v>
      </c>
      <c r="C17" s="25" t="s">
        <v>82</v>
      </c>
      <c r="D17" s="24" t="s">
        <v>58</v>
      </c>
      <c r="E17" s="26">
        <f>IFERROR('Rates Reference Table'!J14*$E$5,0)</f>
        <v>75.200000000000003</v>
      </c>
      <c r="F17" s="26">
        <f>IFERROR(E17*(1-$H$5/2),0)</f>
        <v>66.927999999999997</v>
      </c>
      <c r="G17" s="26">
        <f>IFERROR(E17*(1+$H$5/2),0)</f>
        <v>83.471999999999994</v>
      </c>
      <c r="H17" s="26">
        <f>IFERROR(F17*$B$5,0)</f>
        <v>16732</v>
      </c>
      <c r="I17" s="26">
        <f>IFERROR(G17*$B$5,0)</f>
        <v>20868</v>
      </c>
      <c r="J17" s="25" t="s">
        <v>83</v>
      </c>
    </row>
    <row r="18" ht="15.75" customHeight="1">
      <c r="A18" s="36" t="s">
        <v>263</v>
      </c>
      <c r="B18" s="36"/>
      <c r="C18" s="36"/>
      <c r="D18" s="36"/>
      <c r="E18" s="36"/>
      <c r="F18" s="36"/>
      <c r="G18" s="36"/>
      <c r="H18" s="36"/>
      <c r="I18" s="36"/>
      <c r="J18" s="36"/>
    </row>
    <row r="19" ht="13.5" customHeight="1">
      <c r="A19" s="20" t="s">
        <v>85</v>
      </c>
      <c r="B19" s="20" t="s">
        <v>86</v>
      </c>
      <c r="C19" s="21" t="s">
        <v>87</v>
      </c>
      <c r="D19" s="20" t="s">
        <v>73</v>
      </c>
      <c r="E19" s="22">
        <f>IFERROR('Rates Reference Table'!J16*$E$5,0)</f>
        <v>122.2</v>
      </c>
      <c r="F19" s="22">
        <f>IFERROR(E19*(1-$H$5/2),0)</f>
        <v>108.758</v>
      </c>
      <c r="G19" s="22">
        <f>IFERROR(E19*(1+$H$5/2),0)</f>
        <v>135.642</v>
      </c>
      <c r="H19" s="22">
        <f>IFERROR(F19*$B$5,0)</f>
        <v>27189.5</v>
      </c>
      <c r="I19" s="22">
        <f>IFERROR(G19*$B$5,0)</f>
        <v>33910.5</v>
      </c>
      <c r="J19" s="21" t="s">
        <v>88</v>
      </c>
    </row>
    <row r="20" ht="13.5" customHeight="1">
      <c r="A20" s="24" t="s">
        <v>85</v>
      </c>
      <c r="B20" s="24" t="s">
        <v>89</v>
      </c>
      <c r="C20" s="25" t="s">
        <v>90</v>
      </c>
      <c r="D20" s="24" t="s">
        <v>73</v>
      </c>
      <c r="E20" s="26">
        <f>IFERROR('Rates Reference Table'!J17*$E$5,0)</f>
        <v>61.100000000000001</v>
      </c>
      <c r="F20" s="26">
        <f>IFERROR(E20*(1-$H$5/2),0)</f>
        <v>54.378999999999998</v>
      </c>
      <c r="G20" s="26">
        <f>IFERROR(E20*(1+$H$5/2),0)</f>
        <v>67.820999999999998</v>
      </c>
      <c r="H20" s="26">
        <f>IFERROR(F20*$B$5,0)</f>
        <v>13594.75</v>
      </c>
      <c r="I20" s="26">
        <f>IFERROR(G20*$B$5,0)</f>
        <v>16955.25</v>
      </c>
      <c r="J20" s="25" t="s">
        <v>91</v>
      </c>
    </row>
    <row r="21" ht="13.5" customHeight="1">
      <c r="A21" s="20" t="s">
        <v>85</v>
      </c>
      <c r="B21" s="20" t="s">
        <v>92</v>
      </c>
      <c r="C21" s="21" t="s">
        <v>93</v>
      </c>
      <c r="D21" s="20" t="s">
        <v>73</v>
      </c>
      <c r="E21" s="22">
        <f>IFERROR('Rates Reference Table'!J18*$E$5,0)</f>
        <v>70.5</v>
      </c>
      <c r="F21" s="22">
        <f>IFERROR(E21*(1-$H$5/2),0)</f>
        <v>62.744999999999997</v>
      </c>
      <c r="G21" s="22">
        <f>IFERROR(E21*(1+$H$5/2),0)</f>
        <v>78.254999999999995</v>
      </c>
      <c r="H21" s="22">
        <f>IFERROR(F21*$B$5,0)</f>
        <v>15686.25</v>
      </c>
      <c r="I21" s="22">
        <f>IFERROR(G21*$B$5,0)</f>
        <v>19563.75</v>
      </c>
      <c r="J21" s="21" t="s">
        <v>94</v>
      </c>
    </row>
    <row r="22" ht="13.5" customHeight="1">
      <c r="A22" s="24" t="s">
        <v>85</v>
      </c>
      <c r="B22" s="24" t="s">
        <v>95</v>
      </c>
      <c r="C22" s="25" t="s">
        <v>96</v>
      </c>
      <c r="D22" s="24" t="s">
        <v>58</v>
      </c>
      <c r="E22" s="26">
        <f>IFERROR('Rates Reference Table'!J19*$E$5,0)</f>
        <v>18.800000000000001</v>
      </c>
      <c r="F22" s="26">
        <f>IFERROR(E22*(1-$H$5/2),0)</f>
        <v>16.731999999999999</v>
      </c>
      <c r="G22" s="26">
        <f>IFERROR(E22*(1+$H$5/2),0)</f>
        <v>20.867999999999999</v>
      </c>
      <c r="H22" s="26">
        <f>IFERROR(F22*$B$5,0)</f>
        <v>4183</v>
      </c>
      <c r="I22" s="26">
        <f>IFERROR(G22*$B$5,0)</f>
        <v>5217</v>
      </c>
      <c r="J22" s="25" t="s">
        <v>97</v>
      </c>
    </row>
    <row r="23" ht="13.5" customHeight="1">
      <c r="A23" s="20" t="s">
        <v>85</v>
      </c>
      <c r="B23" s="20" t="s">
        <v>98</v>
      </c>
      <c r="C23" s="21" t="s">
        <v>99</v>
      </c>
      <c r="D23" s="20" t="s">
        <v>73</v>
      </c>
      <c r="E23" s="22">
        <f>IFERROR('Rates Reference Table'!J20*$E$5,0)</f>
        <v>169.19999999999999</v>
      </c>
      <c r="F23" s="22">
        <f>IFERROR(E23*(1-$H$5/2),0)</f>
        <v>150.58799999999999</v>
      </c>
      <c r="G23" s="22">
        <f>IFERROR(E23*(1+$H$5/2),0)</f>
        <v>187.81200000000001</v>
      </c>
      <c r="H23" s="22">
        <f>IFERROR(F23*$B$5,0)</f>
        <v>37647</v>
      </c>
      <c r="I23" s="22">
        <f>IFERROR(G23*$B$5,0)</f>
        <v>46953</v>
      </c>
      <c r="J23" s="21" t="s">
        <v>100</v>
      </c>
    </row>
    <row r="24" ht="13.5" customHeight="1">
      <c r="A24" s="24" t="s">
        <v>85</v>
      </c>
      <c r="B24" s="24" t="s">
        <v>101</v>
      </c>
      <c r="C24" s="25" t="s">
        <v>102</v>
      </c>
      <c r="D24" s="24" t="s">
        <v>73</v>
      </c>
      <c r="E24" s="26">
        <f>IFERROR('Rates Reference Table'!J21*$E$5,0)</f>
        <v>84.599999999999994</v>
      </c>
      <c r="F24" s="26">
        <f>IFERROR(E24*(1-$H$5/2),0)</f>
        <v>75.293999999999997</v>
      </c>
      <c r="G24" s="26">
        <f>IFERROR(E24*(1+$H$5/2),0)</f>
        <v>93.906000000000006</v>
      </c>
      <c r="H24" s="26">
        <f>IFERROR(F24*$B$5,0)</f>
        <v>18823.5</v>
      </c>
      <c r="I24" s="26">
        <f>IFERROR(G24*$B$5,0)</f>
        <v>23476.5</v>
      </c>
      <c r="J24" s="25" t="s">
        <v>103</v>
      </c>
    </row>
    <row r="25" ht="13.5" customHeight="1">
      <c r="A25" s="20" t="s">
        <v>85</v>
      </c>
      <c r="B25" s="20" t="s">
        <v>104</v>
      </c>
      <c r="C25" s="21" t="s">
        <v>105</v>
      </c>
      <c r="D25" s="20" t="s">
        <v>73</v>
      </c>
      <c r="E25" s="22">
        <f>IFERROR('Rates Reference Table'!J22*$E$5,0)</f>
        <v>23.5</v>
      </c>
      <c r="F25" s="22">
        <f>IFERROR(E25*(1-$H$5/2),0)</f>
        <v>20.914999999999999</v>
      </c>
      <c r="G25" s="22">
        <f>IFERROR(E25*(1+$H$5/2),0)</f>
        <v>26.085000000000001</v>
      </c>
      <c r="H25" s="22">
        <f>IFERROR(F25*$B$5,0)</f>
        <v>5228.75</v>
      </c>
      <c r="I25" s="22">
        <f>IFERROR(G25*$B$5,0)</f>
        <v>6521.25</v>
      </c>
      <c r="J25" s="21" t="s">
        <v>106</v>
      </c>
    </row>
    <row r="26" ht="13.5" customHeight="1">
      <c r="A26" s="24" t="s">
        <v>85</v>
      </c>
      <c r="B26" s="24" t="s">
        <v>107</v>
      </c>
      <c r="C26" s="25" t="s">
        <v>108</v>
      </c>
      <c r="D26" s="24" t="s">
        <v>109</v>
      </c>
      <c r="E26" s="26">
        <f>IFERROR('Rates Reference Table'!J23*$E$5,0)</f>
        <v>16.920000000000002</v>
      </c>
      <c r="F26" s="26">
        <f>IFERROR(E26*(1-$H$5/2),0)</f>
        <v>15.0588</v>
      </c>
      <c r="G26" s="26">
        <f>IFERROR(E26*(1+$H$5/2),0)</f>
        <v>18.781199999999998</v>
      </c>
      <c r="H26" s="26">
        <f>IFERROR(F26*$B$5,0)</f>
        <v>3764.6999999999998</v>
      </c>
      <c r="I26" s="26">
        <f>IFERROR(G26*$B$5,0)</f>
        <v>4695.3000000000002</v>
      </c>
      <c r="J26" s="25" t="s">
        <v>110</v>
      </c>
    </row>
    <row r="27" ht="15.75" customHeight="1">
      <c r="A27" s="36" t="s">
        <v>264</v>
      </c>
      <c r="B27" s="36"/>
      <c r="C27" s="36"/>
      <c r="D27" s="36"/>
      <c r="E27" s="36"/>
      <c r="F27" s="36"/>
      <c r="G27" s="36"/>
      <c r="H27" s="36"/>
      <c r="I27" s="36"/>
      <c r="J27" s="36"/>
    </row>
    <row r="28" ht="13.5" customHeight="1">
      <c r="A28" s="20" t="s">
        <v>112</v>
      </c>
      <c r="B28" s="20" t="s">
        <v>113</v>
      </c>
      <c r="C28" s="21" t="s">
        <v>114</v>
      </c>
      <c r="D28" s="20" t="s">
        <v>73</v>
      </c>
      <c r="E28" s="22">
        <f>IFERROR('Rates Reference Table'!J25*$E$5,0)</f>
        <v>18.800000000000001</v>
      </c>
      <c r="F28" s="22">
        <f>IFERROR(E28*(1-$H$5/2),0)</f>
        <v>16.731999999999999</v>
      </c>
      <c r="G28" s="22">
        <f>IFERROR(E28*(1+$H$5/2),0)</f>
        <v>20.867999999999999</v>
      </c>
      <c r="H28" s="22">
        <f>IFERROR(F28*$B$5,0)</f>
        <v>4183</v>
      </c>
      <c r="I28" s="22">
        <f>IFERROR(G28*$B$5,0)</f>
        <v>5217</v>
      </c>
      <c r="J28" s="21" t="s">
        <v>115</v>
      </c>
    </row>
    <row r="29" ht="13.5" customHeight="1">
      <c r="A29" s="24" t="s">
        <v>112</v>
      </c>
      <c r="B29" s="24" t="s">
        <v>116</v>
      </c>
      <c r="C29" s="25" t="s">
        <v>117</v>
      </c>
      <c r="D29" s="24" t="s">
        <v>73</v>
      </c>
      <c r="E29" s="26">
        <f>IFERROR('Rates Reference Table'!J26*$E$5,0)</f>
        <v>23.5</v>
      </c>
      <c r="F29" s="26">
        <f>IFERROR(E29*(1-$H$5/2),0)</f>
        <v>20.914999999999999</v>
      </c>
      <c r="G29" s="26">
        <f>IFERROR(E29*(1+$H$5/2),0)</f>
        <v>26.085000000000001</v>
      </c>
      <c r="H29" s="26">
        <f>IFERROR(F29*$B$5,0)</f>
        <v>5228.75</v>
      </c>
      <c r="I29" s="26">
        <f>IFERROR(G29*$B$5,0)</f>
        <v>6521.25</v>
      </c>
      <c r="J29" s="25" t="s">
        <v>118</v>
      </c>
    </row>
    <row r="30" ht="13.5" customHeight="1">
      <c r="A30" s="20" t="s">
        <v>112</v>
      </c>
      <c r="B30" s="20" t="s">
        <v>119</v>
      </c>
      <c r="C30" s="21" t="s">
        <v>120</v>
      </c>
      <c r="D30" s="20" t="s">
        <v>73</v>
      </c>
      <c r="E30" s="22">
        <f>IFERROR('Rates Reference Table'!J27*$E$5,0)</f>
        <v>11.279999999999999</v>
      </c>
      <c r="F30" s="22">
        <f>IFERROR(E30*(1-$H$5/2),0)</f>
        <v>10.039199999999999</v>
      </c>
      <c r="G30" s="22">
        <f>IFERROR(E30*(1+$H$5/2),0)</f>
        <v>12.520799999999999</v>
      </c>
      <c r="H30" s="22">
        <f>IFERROR(F30*$B$5,0)</f>
        <v>2509.8000000000002</v>
      </c>
      <c r="I30" s="22">
        <f>IFERROR(G30*$B$5,0)</f>
        <v>3130.1999999999998</v>
      </c>
      <c r="J30" s="21" t="s">
        <v>121</v>
      </c>
    </row>
    <row r="31" ht="15.75" customHeight="1">
      <c r="A31" s="36" t="s">
        <v>265</v>
      </c>
      <c r="B31" s="36"/>
      <c r="C31" s="36"/>
      <c r="D31" s="36"/>
      <c r="E31" s="36"/>
      <c r="F31" s="36"/>
      <c r="G31" s="36"/>
      <c r="H31" s="36"/>
      <c r="I31" s="36"/>
      <c r="J31" s="36"/>
    </row>
    <row r="32" ht="13.5" customHeight="1">
      <c r="A32" s="20" t="s">
        <v>123</v>
      </c>
      <c r="B32" s="20" t="s">
        <v>124</v>
      </c>
      <c r="C32" s="21" t="s">
        <v>125</v>
      </c>
      <c r="D32" s="20" t="s">
        <v>58</v>
      </c>
      <c r="E32" s="22">
        <f>IFERROR('Rates Reference Table'!J29*$E$5,0)</f>
        <v>9.4000000000000004</v>
      </c>
      <c r="F32" s="22">
        <f>IFERROR(E32*(1-$H$5/2),0)</f>
        <v>8.3659999999999997</v>
      </c>
      <c r="G32" s="22">
        <f>IFERROR(E32*(1+$H$5/2),0)</f>
        <v>10.433999999999999</v>
      </c>
      <c r="H32" s="22">
        <f>IFERROR(F32*$B$5,0)</f>
        <v>2091.5</v>
      </c>
      <c r="I32" s="22">
        <f>IFERROR(G32*$B$5,0)</f>
        <v>2608.5</v>
      </c>
      <c r="J32" s="21" t="s">
        <v>126</v>
      </c>
    </row>
    <row r="33" ht="13.5" customHeight="1">
      <c r="A33" s="24" t="s">
        <v>123</v>
      </c>
      <c r="B33" s="24" t="s">
        <v>127</v>
      </c>
      <c r="C33" s="25" t="s">
        <v>128</v>
      </c>
      <c r="D33" s="24" t="s">
        <v>109</v>
      </c>
      <c r="E33" s="26">
        <f>IFERROR('Rates Reference Table'!J30*$E$5,0)</f>
        <v>7.5199999999999996</v>
      </c>
      <c r="F33" s="26">
        <f>IFERROR(E33*(1-$H$5/2),0)</f>
        <v>6.6928000000000001</v>
      </c>
      <c r="G33" s="26">
        <f>IFERROR(E33*(1+$H$5/2),0)</f>
        <v>8.3472000000000008</v>
      </c>
      <c r="H33" s="26">
        <f>IFERROR(F33*$B$5,0)</f>
        <v>1673.2</v>
      </c>
      <c r="I33" s="26">
        <f>IFERROR(G33*$B$5,0)</f>
        <v>2086.8000000000002</v>
      </c>
      <c r="J33" s="25" t="s">
        <v>129</v>
      </c>
    </row>
    <row r="34" ht="13.5" customHeight="1">
      <c r="A34" s="20" t="s">
        <v>123</v>
      </c>
      <c r="B34" s="20" t="s">
        <v>130</v>
      </c>
      <c r="C34" s="21" t="s">
        <v>131</v>
      </c>
      <c r="D34" s="20" t="s">
        <v>58</v>
      </c>
      <c r="E34" s="22">
        <f>IFERROR('Rates Reference Table'!J31*$E$5,0)</f>
        <v>4.7000000000000002</v>
      </c>
      <c r="F34" s="22">
        <f>IFERROR(E34*(1-$H$5/2),0)</f>
        <v>4.1829999999999998</v>
      </c>
      <c r="G34" s="22">
        <f>IFERROR(E34*(1+$H$5/2),0)</f>
        <v>5.2169999999999996</v>
      </c>
      <c r="H34" s="22">
        <f>IFERROR(F34*$B$5,0)</f>
        <v>1045.75</v>
      </c>
      <c r="I34" s="22">
        <f>IFERROR(G34*$B$5,0)</f>
        <v>1304.25</v>
      </c>
      <c r="J34" s="21" t="s">
        <v>132</v>
      </c>
    </row>
    <row r="35" ht="13.5" customHeight="1">
      <c r="A35" s="24" t="s">
        <v>123</v>
      </c>
      <c r="B35" s="24" t="s">
        <v>133</v>
      </c>
      <c r="C35" s="25" t="s">
        <v>134</v>
      </c>
      <c r="D35" s="24" t="s">
        <v>58</v>
      </c>
      <c r="E35" s="26">
        <f>IFERROR('Rates Reference Table'!J32*$E$5,0)</f>
        <v>0</v>
      </c>
      <c r="F35" s="26">
        <f>IFERROR(E35*(1-$H$5/2),0)</f>
        <v>0</v>
      </c>
      <c r="G35" s="26">
        <f>IFERROR(E35*(1+$H$5/2),0)</f>
        <v>0</v>
      </c>
      <c r="H35" s="26">
        <f>IFERROR(F35*$B$5,0)</f>
        <v>0</v>
      </c>
      <c r="I35" s="26">
        <f>IFERROR(G35*$B$5,0)</f>
        <v>0</v>
      </c>
      <c r="J35" s="25" t="s">
        <v>135</v>
      </c>
    </row>
    <row r="36" ht="15.75" customHeight="1">
      <c r="A36" s="36" t="s">
        <v>266</v>
      </c>
      <c r="B36" s="36"/>
      <c r="C36" s="36"/>
      <c r="D36" s="36"/>
      <c r="E36" s="36"/>
      <c r="F36" s="36"/>
      <c r="G36" s="36"/>
      <c r="H36" s="36"/>
      <c r="I36" s="36"/>
      <c r="J36" s="36"/>
    </row>
    <row r="37" ht="13.5" customHeight="1">
      <c r="A37" s="20" t="s">
        <v>137</v>
      </c>
      <c r="B37" s="20" t="s">
        <v>138</v>
      </c>
      <c r="C37" s="21" t="s">
        <v>139</v>
      </c>
      <c r="D37" s="20" t="s">
        <v>73</v>
      </c>
      <c r="E37" s="22">
        <f>IFERROR('Rates Reference Table'!J34*$E$5,0)</f>
        <v>18.800000000000001</v>
      </c>
      <c r="F37" s="22">
        <f>IFERROR(E37*(1-$H$5/2),0)</f>
        <v>16.731999999999999</v>
      </c>
      <c r="G37" s="22">
        <f>IFERROR(E37*(1+$H$5/2),0)</f>
        <v>20.867999999999999</v>
      </c>
      <c r="H37" s="22">
        <f>IFERROR(F37*$B$5,0)</f>
        <v>4183</v>
      </c>
      <c r="I37" s="22">
        <f>IFERROR(G37*$B$5,0)</f>
        <v>5217</v>
      </c>
      <c r="J37" s="21" t="s">
        <v>140</v>
      </c>
    </row>
    <row r="38" ht="13.5" customHeight="1">
      <c r="A38" s="24" t="s">
        <v>137</v>
      </c>
      <c r="B38" s="24" t="s">
        <v>141</v>
      </c>
      <c r="C38" s="25" t="s">
        <v>142</v>
      </c>
      <c r="D38" s="24" t="s">
        <v>73</v>
      </c>
      <c r="E38" s="26">
        <f>IFERROR('Rates Reference Table'!J35*$E$5,0)</f>
        <v>28.199999999999999</v>
      </c>
      <c r="F38" s="26">
        <f>IFERROR(E38*(1-$H$5/2),0)</f>
        <v>25.097999999999999</v>
      </c>
      <c r="G38" s="26">
        <f>IFERROR(E38*(1+$H$5/2),0)</f>
        <v>31.302</v>
      </c>
      <c r="H38" s="26">
        <f>IFERROR(F38*$B$5,0)</f>
        <v>6274.5</v>
      </c>
      <c r="I38" s="26">
        <f>IFERROR(G38*$B$5,0)</f>
        <v>7825.5</v>
      </c>
      <c r="J38" s="25" t="s">
        <v>143</v>
      </c>
    </row>
    <row r="39" ht="13.5" customHeight="1">
      <c r="A39" s="20" t="s">
        <v>137</v>
      </c>
      <c r="B39" s="20" t="s">
        <v>144</v>
      </c>
      <c r="C39" s="21" t="s">
        <v>145</v>
      </c>
      <c r="D39" s="20" t="s">
        <v>73</v>
      </c>
      <c r="E39" s="22">
        <f>IFERROR('Rates Reference Table'!J36*$E$5,0)</f>
        <v>23.5</v>
      </c>
      <c r="F39" s="22">
        <f>IFERROR(E39*(1-$H$5/2),0)</f>
        <v>20.914999999999999</v>
      </c>
      <c r="G39" s="22">
        <f>IFERROR(E39*(1+$H$5/2),0)</f>
        <v>26.085000000000001</v>
      </c>
      <c r="H39" s="22">
        <f>IFERROR(F39*$B$5,0)</f>
        <v>5228.75</v>
      </c>
      <c r="I39" s="22">
        <f>IFERROR(G39*$B$5,0)</f>
        <v>6521.25</v>
      </c>
      <c r="J39" s="21" t="s">
        <v>146</v>
      </c>
    </row>
    <row r="40" ht="13.5" customHeight="1">
      <c r="A40" s="24" t="s">
        <v>137</v>
      </c>
      <c r="B40" s="24" t="s">
        <v>147</v>
      </c>
      <c r="C40" s="25" t="s">
        <v>148</v>
      </c>
      <c r="D40" s="24" t="s">
        <v>73</v>
      </c>
      <c r="E40" s="26">
        <f>IFERROR('Rates Reference Table'!J37*$E$5,0)</f>
        <v>9.4000000000000004</v>
      </c>
      <c r="F40" s="26">
        <f>IFERROR(E40*(1-$H$5/2),0)</f>
        <v>8.3659999999999997</v>
      </c>
      <c r="G40" s="26">
        <f>IFERROR(E40*(1+$H$5/2),0)</f>
        <v>10.433999999999999</v>
      </c>
      <c r="H40" s="26">
        <f>IFERROR(F40*$B$5,0)</f>
        <v>2091.5</v>
      </c>
      <c r="I40" s="26">
        <f>IFERROR(G40*$B$5,0)</f>
        <v>2608.5</v>
      </c>
      <c r="J40" s="25" t="s">
        <v>149</v>
      </c>
    </row>
    <row r="41" ht="13.5" customHeight="1">
      <c r="A41" s="20" t="s">
        <v>137</v>
      </c>
      <c r="B41" s="20" t="s">
        <v>150</v>
      </c>
      <c r="C41" s="21" t="s">
        <v>151</v>
      </c>
      <c r="D41" s="20" t="s">
        <v>58</v>
      </c>
      <c r="E41" s="22">
        <f>IFERROR('Rates Reference Table'!J38*$E$5,0)</f>
        <v>4.7000000000000002</v>
      </c>
      <c r="F41" s="22">
        <f>IFERROR(E41*(1-$H$5/2),0)</f>
        <v>4.1829999999999998</v>
      </c>
      <c r="G41" s="22">
        <f>IFERROR(E41*(1+$H$5/2),0)</f>
        <v>5.2169999999999996</v>
      </c>
      <c r="H41" s="22">
        <f>IFERROR(F41*$B$5,0)</f>
        <v>1045.75</v>
      </c>
      <c r="I41" s="22">
        <f>IFERROR(G41*$B$5,0)</f>
        <v>1304.25</v>
      </c>
      <c r="J41" s="21" t="s">
        <v>152</v>
      </c>
    </row>
    <row r="42" ht="13.5" customHeight="1">
      <c r="A42" s="24" t="s">
        <v>137</v>
      </c>
      <c r="B42" s="24" t="s">
        <v>153</v>
      </c>
      <c r="C42" s="25" t="s">
        <v>154</v>
      </c>
      <c r="D42" s="24" t="s">
        <v>73</v>
      </c>
      <c r="E42" s="26">
        <f>IFERROR('Rates Reference Table'!J39*$E$5,0)</f>
        <v>4.7000000000000002</v>
      </c>
      <c r="F42" s="26">
        <f>IFERROR(E42*(1-$H$5/2),0)</f>
        <v>4.1829999999999998</v>
      </c>
      <c r="G42" s="26">
        <f>IFERROR(E42*(1+$H$5/2),0)</f>
        <v>5.2169999999999996</v>
      </c>
      <c r="H42" s="26">
        <f>IFERROR(F42*$B$5,0)</f>
        <v>1045.75</v>
      </c>
      <c r="I42" s="26">
        <f>IFERROR(G42*$B$5,0)</f>
        <v>1304.25</v>
      </c>
      <c r="J42" s="25" t="s">
        <v>155</v>
      </c>
    </row>
    <row r="43" ht="13.5" customHeight="1">
      <c r="A43" s="20" t="s">
        <v>137</v>
      </c>
      <c r="B43" s="20" t="s">
        <v>156</v>
      </c>
      <c r="C43" s="21" t="s">
        <v>157</v>
      </c>
      <c r="D43" s="20" t="s">
        <v>73</v>
      </c>
      <c r="E43" s="22">
        <f>IFERROR('Rates Reference Table'!J40*$E$5,0)</f>
        <v>14.1</v>
      </c>
      <c r="F43" s="22">
        <f>IFERROR(E43*(1-$H$5/2),0)</f>
        <v>12.548999999999999</v>
      </c>
      <c r="G43" s="22">
        <f>IFERROR(E43*(1+$H$5/2),0)</f>
        <v>15.651</v>
      </c>
      <c r="H43" s="22">
        <f>IFERROR(F43*$B$5,0)</f>
        <v>3137.25</v>
      </c>
      <c r="I43" s="22">
        <f>IFERROR(G43*$B$5,0)</f>
        <v>3912.75</v>
      </c>
      <c r="J43" s="21" t="s">
        <v>158</v>
      </c>
    </row>
    <row r="44" ht="13.5" customHeight="1">
      <c r="A44" s="24" t="s">
        <v>137</v>
      </c>
      <c r="B44" s="24" t="s">
        <v>159</v>
      </c>
      <c r="C44" s="25" t="s">
        <v>160</v>
      </c>
      <c r="D44" s="24" t="s">
        <v>73</v>
      </c>
      <c r="E44" s="26">
        <f>IFERROR('Rates Reference Table'!J41*$E$5,0)</f>
        <v>23.5</v>
      </c>
      <c r="F44" s="26">
        <f>IFERROR(E44*(1-$H$5/2),0)</f>
        <v>20.914999999999999</v>
      </c>
      <c r="G44" s="26">
        <f>IFERROR(E44*(1+$H$5/2),0)</f>
        <v>26.085000000000001</v>
      </c>
      <c r="H44" s="26">
        <f>IFERROR(F44*$B$5,0)</f>
        <v>5228.75</v>
      </c>
      <c r="I44" s="26">
        <f>IFERROR(G44*$B$5,0)</f>
        <v>6521.25</v>
      </c>
      <c r="J44" s="25" t="s">
        <v>161</v>
      </c>
    </row>
    <row r="45" ht="13.5" customHeight="1">
      <c r="A45" s="20" t="s">
        <v>137</v>
      </c>
      <c r="B45" s="20" t="s">
        <v>162</v>
      </c>
      <c r="C45" s="21" t="s">
        <v>163</v>
      </c>
      <c r="D45" s="20" t="s">
        <v>73</v>
      </c>
      <c r="E45" s="22">
        <f>IFERROR('Rates Reference Table'!J42*$E$5,0)</f>
        <v>9.4000000000000004</v>
      </c>
      <c r="F45" s="22">
        <f>IFERROR(E45*(1-$H$5/2),0)</f>
        <v>8.3659999999999997</v>
      </c>
      <c r="G45" s="22">
        <f>IFERROR(E45*(1+$H$5/2),0)</f>
        <v>10.433999999999999</v>
      </c>
      <c r="H45" s="22">
        <f>IFERROR(F45*$B$5,0)</f>
        <v>2091.5</v>
      </c>
      <c r="I45" s="22">
        <f>IFERROR(G45*$B$5,0)</f>
        <v>2608.5</v>
      </c>
      <c r="J45" s="21" t="s">
        <v>164</v>
      </c>
    </row>
    <row r="46" ht="13.5" customHeight="1">
      <c r="A46" s="24" t="s">
        <v>137</v>
      </c>
      <c r="B46" s="24" t="s">
        <v>165</v>
      </c>
      <c r="C46" s="25" t="s">
        <v>166</v>
      </c>
      <c r="D46" s="24" t="s">
        <v>58</v>
      </c>
      <c r="E46" s="26">
        <f>IFERROR('Rates Reference Table'!J43*$E$5,0)</f>
        <v>2.8199999999999998</v>
      </c>
      <c r="F46" s="26">
        <f>IFERROR(E46*(1-$H$5/2),0)</f>
        <v>2.5097999999999998</v>
      </c>
      <c r="G46" s="26">
        <f>IFERROR(E46*(1+$H$5/2),0)</f>
        <v>3.1301999999999999</v>
      </c>
      <c r="H46" s="26">
        <f>IFERROR(F46*$B$5,0)</f>
        <v>627.45000000000005</v>
      </c>
      <c r="I46" s="26">
        <f>IFERROR(G46*$B$5,0)</f>
        <v>782.54999999999995</v>
      </c>
      <c r="J46" s="25" t="s">
        <v>167</v>
      </c>
    </row>
    <row r="47" ht="13.5" customHeight="1">
      <c r="A47" s="20" t="s">
        <v>137</v>
      </c>
      <c r="B47" s="20" t="s">
        <v>168</v>
      </c>
      <c r="C47" s="21" t="s">
        <v>169</v>
      </c>
      <c r="D47" s="20" t="s">
        <v>170</v>
      </c>
      <c r="E47" s="22">
        <f>IFERROR('Rates Reference Table'!J44*$E$5,0)</f>
        <v>752</v>
      </c>
      <c r="F47" s="22">
        <f>IFERROR(E47*(1-$H$5/2),0)</f>
        <v>669.27999999999997</v>
      </c>
      <c r="G47" s="22">
        <f>IFERROR(E47*(1+$H$5/2),0)</f>
        <v>834.72000000000003</v>
      </c>
      <c r="H47" s="22">
        <f>IFERROR(F47*$B$5,0)</f>
        <v>167320</v>
      </c>
      <c r="I47" s="22">
        <f>IFERROR(G47*$B$5,0)</f>
        <v>208680</v>
      </c>
      <c r="J47" s="21" t="s">
        <v>171</v>
      </c>
    </row>
    <row r="48" ht="13.5" customHeight="1">
      <c r="A48" s="24" t="s">
        <v>137</v>
      </c>
      <c r="B48" s="24" t="s">
        <v>172</v>
      </c>
      <c r="C48" s="25" t="s">
        <v>173</v>
      </c>
      <c r="D48" s="24" t="s">
        <v>109</v>
      </c>
      <c r="E48" s="26">
        <f>IFERROR('Rates Reference Table'!J45*$E$5,0)</f>
        <v>1410</v>
      </c>
      <c r="F48" s="26">
        <f>IFERROR(E48*(1-$H$5/2),0)</f>
        <v>1254.9000000000001</v>
      </c>
      <c r="G48" s="26">
        <f>IFERROR(E48*(1+$H$5/2),0)</f>
        <v>1565.0999999999999</v>
      </c>
      <c r="H48" s="26">
        <f>IFERROR(F48*$B$5,0)</f>
        <v>313725</v>
      </c>
      <c r="I48" s="26">
        <f>IFERROR(G48*$B$5,0)</f>
        <v>391275</v>
      </c>
      <c r="J48" s="25" t="s">
        <v>174</v>
      </c>
    </row>
    <row r="49" ht="13.5" customHeight="1">
      <c r="A49" s="20" t="s">
        <v>137</v>
      </c>
      <c r="B49" s="20" t="s">
        <v>175</v>
      </c>
      <c r="C49" s="21" t="s">
        <v>176</v>
      </c>
      <c r="D49" s="20" t="s">
        <v>73</v>
      </c>
      <c r="E49" s="22">
        <f>IFERROR('Rates Reference Table'!J46*$E$5,0)</f>
        <v>7.5199999999999996</v>
      </c>
      <c r="F49" s="22">
        <f>IFERROR(E49*(1-$H$5/2),0)</f>
        <v>6.6928000000000001</v>
      </c>
      <c r="G49" s="22">
        <f>IFERROR(E49*(1+$H$5/2),0)</f>
        <v>8.3472000000000008</v>
      </c>
      <c r="H49" s="22">
        <f>IFERROR(F49*$B$5,0)</f>
        <v>1673.2</v>
      </c>
      <c r="I49" s="22">
        <f>IFERROR(G49*$B$5,0)</f>
        <v>2086.8000000000002</v>
      </c>
      <c r="J49" s="21" t="s">
        <v>177</v>
      </c>
    </row>
    <row r="50" ht="13.5" customHeight="1">
      <c r="A50" s="24" t="s">
        <v>137</v>
      </c>
      <c r="B50" s="24" t="s">
        <v>178</v>
      </c>
      <c r="C50" s="25" t="s">
        <v>179</v>
      </c>
      <c r="D50" s="24" t="s">
        <v>58</v>
      </c>
      <c r="E50" s="26">
        <f>IFERROR('Rates Reference Table'!J47*$E$5,0)</f>
        <v>2.8199999999999998</v>
      </c>
      <c r="F50" s="26">
        <f>IFERROR(E50*(1-$H$5/2),0)</f>
        <v>2.5097999999999998</v>
      </c>
      <c r="G50" s="26">
        <f>IFERROR(E50*(1+$H$5/2),0)</f>
        <v>3.1301999999999999</v>
      </c>
      <c r="H50" s="26">
        <f>IFERROR(F50*$B$5,0)</f>
        <v>627.45000000000005</v>
      </c>
      <c r="I50" s="26">
        <f>IFERROR(G50*$B$5,0)</f>
        <v>782.54999999999995</v>
      </c>
      <c r="J50" s="25" t="s">
        <v>180</v>
      </c>
    </row>
    <row r="51" ht="13.5" customHeight="1">
      <c r="A51" s="20" t="s">
        <v>137</v>
      </c>
      <c r="B51" s="20" t="s">
        <v>181</v>
      </c>
      <c r="C51" s="21" t="s">
        <v>182</v>
      </c>
      <c r="D51" s="20" t="s">
        <v>73</v>
      </c>
      <c r="E51" s="22">
        <f>IFERROR('Rates Reference Table'!J48*$E$5,0)</f>
        <v>4.7000000000000002</v>
      </c>
      <c r="F51" s="22">
        <f>IFERROR(E51*(1-$H$5/2),0)</f>
        <v>4.1829999999999998</v>
      </c>
      <c r="G51" s="22">
        <f>IFERROR(E51*(1+$H$5/2),0)</f>
        <v>5.2169999999999996</v>
      </c>
      <c r="H51" s="22">
        <f>IFERROR(F51*$B$5,0)</f>
        <v>1045.75</v>
      </c>
      <c r="I51" s="22">
        <f>IFERROR(G51*$B$5,0)</f>
        <v>1304.25</v>
      </c>
      <c r="J51" s="21" t="s">
        <v>183</v>
      </c>
    </row>
    <row r="52" ht="13.5" customHeight="1">
      <c r="A52" s="24" t="s">
        <v>137</v>
      </c>
      <c r="B52" s="24" t="s">
        <v>184</v>
      </c>
      <c r="C52" s="25" t="s">
        <v>185</v>
      </c>
      <c r="D52" s="24" t="s">
        <v>109</v>
      </c>
      <c r="E52" s="26">
        <f>IFERROR('Rates Reference Table'!J49*$E$5,0)</f>
        <v>47</v>
      </c>
      <c r="F52" s="26">
        <f>IFERROR(E52*(1-$H$5/2),0)</f>
        <v>41.829999999999998</v>
      </c>
      <c r="G52" s="26">
        <f>IFERROR(E52*(1+$H$5/2),0)</f>
        <v>52.170000000000002</v>
      </c>
      <c r="H52" s="26">
        <f>IFERROR(F52*$B$5,0)</f>
        <v>10457.5</v>
      </c>
      <c r="I52" s="26">
        <f>IFERROR(G52*$B$5,0)</f>
        <v>13042.5</v>
      </c>
      <c r="J52" s="25" t="s">
        <v>186</v>
      </c>
    </row>
    <row r="53" ht="13.5" customHeight="1">
      <c r="A53" s="20" t="s">
        <v>137</v>
      </c>
      <c r="B53" s="20" t="s">
        <v>187</v>
      </c>
      <c r="C53" s="21" t="s">
        <v>188</v>
      </c>
      <c r="D53" s="20" t="s">
        <v>73</v>
      </c>
      <c r="E53" s="22">
        <f>IFERROR('Rates Reference Table'!J50*$E$5,0)</f>
        <v>5.6399999999999997</v>
      </c>
      <c r="F53" s="22">
        <f>IFERROR(E53*(1-$H$5/2),0)</f>
        <v>5.0195999999999996</v>
      </c>
      <c r="G53" s="22">
        <f>IFERROR(E53*(1+$H$5/2),0)</f>
        <v>6.2603999999999997</v>
      </c>
      <c r="H53" s="22">
        <f>IFERROR(F53*$B$5,0)</f>
        <v>1254.9000000000001</v>
      </c>
      <c r="I53" s="22">
        <f>IFERROR(G53*$B$5,0)</f>
        <v>1565.0999999999999</v>
      </c>
      <c r="J53" s="21" t="s">
        <v>189</v>
      </c>
    </row>
    <row r="54" ht="15.75" customHeight="1">
      <c r="A54" s="37" t="s">
        <v>267</v>
      </c>
      <c r="B54" s="37"/>
      <c r="C54" s="37"/>
      <c r="D54" s="37"/>
      <c r="E54" s="37"/>
      <c r="F54" s="37"/>
      <c r="G54" s="37"/>
      <c r="H54" s="37"/>
      <c r="I54" s="37"/>
      <c r="J54" s="37"/>
    </row>
    <row r="55" ht="13.5" customHeight="1">
      <c r="A55" s="38" t="s">
        <v>191</v>
      </c>
      <c r="B55" s="38" t="s">
        <v>192</v>
      </c>
      <c r="C55" s="39" t="s">
        <v>193</v>
      </c>
      <c r="D55" s="38" t="s">
        <v>58</v>
      </c>
      <c r="E55" s="40" t="s">
        <v>262</v>
      </c>
      <c r="F55" s="40" t="s">
        <v>262</v>
      </c>
      <c r="G55" s="40" t="s">
        <v>262</v>
      </c>
      <c r="H55" s="41">
        <v>0</v>
      </c>
      <c r="I55" s="41">
        <v>0</v>
      </c>
      <c r="J55" s="39" t="s">
        <v>194</v>
      </c>
    </row>
    <row r="56" ht="13.5" customHeight="1">
      <c r="A56" s="38" t="s">
        <v>191</v>
      </c>
      <c r="B56" s="38" t="s">
        <v>195</v>
      </c>
      <c r="C56" s="39" t="s">
        <v>196</v>
      </c>
      <c r="D56" s="38" t="s">
        <v>58</v>
      </c>
      <c r="E56" s="40" t="s">
        <v>262</v>
      </c>
      <c r="F56" s="40" t="s">
        <v>262</v>
      </c>
      <c r="G56" s="40" t="s">
        <v>262</v>
      </c>
      <c r="H56" s="41">
        <v>0</v>
      </c>
      <c r="I56" s="41">
        <v>0</v>
      </c>
      <c r="J56" s="39" t="s">
        <v>197</v>
      </c>
    </row>
    <row r="57" ht="15.75" customHeight="1">
      <c r="A57" s="36" t="s">
        <v>268</v>
      </c>
      <c r="B57" s="36"/>
      <c r="C57" s="36"/>
      <c r="D57" s="36"/>
      <c r="E57" s="36"/>
      <c r="F57" s="36"/>
      <c r="G57" s="36"/>
      <c r="H57" s="36"/>
      <c r="I57" s="36"/>
      <c r="J57" s="36"/>
    </row>
    <row r="58" ht="13.5" customHeight="1">
      <c r="A58" s="20" t="s">
        <v>199</v>
      </c>
      <c r="B58" s="20" t="s">
        <v>200</v>
      </c>
      <c r="C58" s="21" t="s">
        <v>201</v>
      </c>
      <c r="D58" s="20" t="s">
        <v>58</v>
      </c>
      <c r="E58" s="22">
        <f>IFERROR('Rates Reference Table'!J55*$E$5,0)</f>
        <v>14.1</v>
      </c>
      <c r="F58" s="22">
        <f>IFERROR(E58*(1-$H$5/2),0)</f>
        <v>12.548999999999999</v>
      </c>
      <c r="G58" s="22">
        <f>IFERROR(E58*(1+$H$5/2),0)</f>
        <v>15.651</v>
      </c>
      <c r="H58" s="22">
        <f>IFERROR(F58*$B$5,0)</f>
        <v>3137.25</v>
      </c>
      <c r="I58" s="22">
        <f>IFERROR(G58*$B$5,0)</f>
        <v>3912.75</v>
      </c>
      <c r="J58" s="21" t="s">
        <v>202</v>
      </c>
    </row>
    <row r="59" ht="13.5" customHeight="1">
      <c r="A59" s="24" t="s">
        <v>199</v>
      </c>
      <c r="B59" s="24" t="s">
        <v>203</v>
      </c>
      <c r="C59" s="25" t="s">
        <v>204</v>
      </c>
      <c r="D59" s="24" t="s">
        <v>58</v>
      </c>
      <c r="E59" s="26">
        <f>IFERROR('Rates Reference Table'!J56*$E$5,0)</f>
        <v>11.279999999999999</v>
      </c>
      <c r="F59" s="26">
        <f>IFERROR(E59*(1-$H$5/2),0)</f>
        <v>10.039199999999999</v>
      </c>
      <c r="G59" s="26">
        <f>IFERROR(E59*(1+$H$5/2),0)</f>
        <v>12.520799999999999</v>
      </c>
      <c r="H59" s="26">
        <f>IFERROR(F59*$B$5,0)</f>
        <v>2509.8000000000002</v>
      </c>
      <c r="I59" s="26">
        <f>IFERROR(G59*$B$5,0)</f>
        <v>3130.1999999999998</v>
      </c>
      <c r="J59" s="25" t="s">
        <v>205</v>
      </c>
    </row>
    <row r="60" ht="13.5" customHeight="1">
      <c r="A60" s="20" t="s">
        <v>199</v>
      </c>
      <c r="B60" s="20" t="s">
        <v>206</v>
      </c>
      <c r="C60" s="21" t="s">
        <v>207</v>
      </c>
      <c r="D60" s="20" t="s">
        <v>58</v>
      </c>
      <c r="E60" s="22">
        <f>IFERROR('Rates Reference Table'!J57*$E$5,0)</f>
        <v>4.7000000000000002</v>
      </c>
      <c r="F60" s="22">
        <f>IFERROR(E60*(1-$H$5/2),0)</f>
        <v>4.1829999999999998</v>
      </c>
      <c r="G60" s="22">
        <f>IFERROR(E60*(1+$H$5/2),0)</f>
        <v>5.2169999999999996</v>
      </c>
      <c r="H60" s="22">
        <f>IFERROR(F60*$B$5,0)</f>
        <v>1045.75</v>
      </c>
      <c r="I60" s="22">
        <f>IFERROR(G60*$B$5,0)</f>
        <v>1304.25</v>
      </c>
      <c r="J60" s="21" t="s">
        <v>208</v>
      </c>
    </row>
    <row r="61" ht="13.5" customHeight="1">
      <c r="A61" s="24" t="s">
        <v>199</v>
      </c>
      <c r="B61" s="24" t="s">
        <v>209</v>
      </c>
      <c r="C61" s="25" t="s">
        <v>210</v>
      </c>
      <c r="D61" s="24" t="s">
        <v>58</v>
      </c>
      <c r="E61" s="26">
        <f>IFERROR('Rates Reference Table'!J58*$E$5,0)</f>
        <v>18.800000000000001</v>
      </c>
      <c r="F61" s="26">
        <f>IFERROR(E61*(1-$H$5/2),0)</f>
        <v>16.731999999999999</v>
      </c>
      <c r="G61" s="26">
        <f>IFERROR(E61*(1+$H$5/2),0)</f>
        <v>20.867999999999999</v>
      </c>
      <c r="H61" s="26">
        <f>IFERROR(F61*$B$5,0)</f>
        <v>4183</v>
      </c>
      <c r="I61" s="26">
        <f>IFERROR(G61*$B$5,0)</f>
        <v>5217</v>
      </c>
      <c r="J61" s="25" t="s">
        <v>211</v>
      </c>
    </row>
    <row r="62" ht="13.5" customHeight="1">
      <c r="A62" s="20" t="s">
        <v>199</v>
      </c>
      <c r="B62" s="20" t="s">
        <v>212</v>
      </c>
      <c r="C62" s="21" t="s">
        <v>213</v>
      </c>
      <c r="D62" s="20" t="s">
        <v>58</v>
      </c>
      <c r="E62" s="22">
        <f>IFERROR('Rates Reference Table'!J59*$E$5,0)</f>
        <v>4.7000000000000002</v>
      </c>
      <c r="F62" s="22">
        <f>IFERROR(E62*(1-$H$5/2),0)</f>
        <v>4.1829999999999998</v>
      </c>
      <c r="G62" s="22">
        <f>IFERROR(E62*(1+$H$5/2),0)</f>
        <v>5.2169999999999996</v>
      </c>
      <c r="H62" s="22">
        <f>IFERROR(F62*$B$5,0)</f>
        <v>1045.75</v>
      </c>
      <c r="I62" s="22">
        <f>IFERROR(G62*$B$5,0)</f>
        <v>1304.25</v>
      </c>
      <c r="J62" s="21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Table'!J61*$E$5,0)</f>
        <v>4.7000000000000002</v>
      </c>
      <c r="F64" s="22">
        <f>IFERROR(E64*(1-$H$5/2),0)</f>
        <v>4.1829999999999998</v>
      </c>
      <c r="G64" s="22">
        <f>IFERROR(E64*(1+$H$5/2),0)</f>
        <v>5.2169999999999996</v>
      </c>
      <c r="H64" s="22">
        <f>IFERROR(F64*$B$5,0)</f>
        <v>1045.75</v>
      </c>
      <c r="I64" s="22">
        <f>IFERROR(G64*$B$5,0)</f>
        <v>1304.25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Table'!J62*$E$5,0)</f>
        <v>9.4000000000000004</v>
      </c>
      <c r="F65" s="26">
        <f>IFERROR(E65*(1-$H$5/2),0)</f>
        <v>8.3659999999999997</v>
      </c>
      <c r="G65" s="26">
        <f>IFERROR(E65*(1+$H$5/2),0)</f>
        <v>10.433999999999999</v>
      </c>
      <c r="H65" s="26">
        <f>IFERROR(F65*$B$5,0)</f>
        <v>2091.5</v>
      </c>
      <c r="I65" s="26">
        <f>IFERROR(G65*$B$5,0)</f>
        <v>2608.5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Table'!J63*$E$5,0)</f>
        <v>2.8199999999999998</v>
      </c>
      <c r="F66" s="22">
        <f>IFERROR(E66*(1-$H$5/2),0)</f>
        <v>2.5097999999999998</v>
      </c>
      <c r="G66" s="22">
        <f>IFERROR(E66*(1+$H$5/2),0)</f>
        <v>3.1301999999999999</v>
      </c>
      <c r="H66" s="22">
        <f>IFERROR(F66*$B$5,0)</f>
        <v>627.45000000000005</v>
      </c>
      <c r="I66" s="22">
        <f>IFERROR(G66*$B$5,0)</f>
        <v>782.54999999999995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Table'!J64*$E$5,0)</f>
        <v>4.7000000000000002</v>
      </c>
      <c r="F67" s="26">
        <f>IFERROR(E67*(1-$H$5/2),0)</f>
        <v>4.1829999999999998</v>
      </c>
      <c r="G67" s="26">
        <f>IFERROR(E67*(1+$H$5/2),0)</f>
        <v>5.2169999999999996</v>
      </c>
      <c r="H67" s="26">
        <f>IFERROR(F67*$B$5,0)</f>
        <v>1045.75</v>
      </c>
      <c r="I67" s="26">
        <f>IFERROR(G67*$B$5,0)</f>
        <v>1304.25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Table'!J65*$E$5,0)</f>
        <v>4.7000000000000002</v>
      </c>
      <c r="F68" s="22">
        <f>IFERROR(E68*(1-$H$5/2),0)</f>
        <v>4.1829999999999998</v>
      </c>
      <c r="G68" s="22">
        <f>IFERROR(E68*(1+$H$5/2),0)</f>
        <v>5.2169999999999996</v>
      </c>
      <c r="H68" s="22">
        <f>IFERROR(F68*$B$5,0)</f>
        <v>1045.75</v>
      </c>
      <c r="I68" s="22">
        <f>IFERROR(G68*$B$5,0)</f>
        <v>1304.25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Table'!J66*$E$5,0)</f>
        <v>4.7000000000000002</v>
      </c>
      <c r="F69" s="26">
        <f>IFERROR(E69*(1-$H$5/2),0)</f>
        <v>4.1829999999999998</v>
      </c>
      <c r="G69" s="26">
        <f>IFERROR(E69*(1+$H$5/2),0)</f>
        <v>5.2169999999999996</v>
      </c>
      <c r="H69" s="26">
        <f>IFERROR(F69*$B$5,0)</f>
        <v>1045.75</v>
      </c>
      <c r="I69" s="26">
        <f>IFERROR(G69*$B$5,0)</f>
        <v>1304.25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Table'!J67*$E$5,0)</f>
        <v>2.8199999999999998</v>
      </c>
      <c r="F70" s="22">
        <f>IFERROR(E70*(1-$H$5/2),0)</f>
        <v>2.5097999999999998</v>
      </c>
      <c r="G70" s="22">
        <f>IFERROR(E70*(1+$H$5/2),0)</f>
        <v>3.1301999999999999</v>
      </c>
      <c r="H70" s="22">
        <f>IFERROR(F70*$B$5,0)</f>
        <v>627.45000000000005</v>
      </c>
      <c r="I70" s="22">
        <f>IFERROR(G70*$B$5,0)</f>
        <v>782.54999999999995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Table'!J68*$E$5,0)</f>
        <v>1.8799999999999999</v>
      </c>
      <c r="F71" s="26">
        <f>IFERROR(E71*(1-$H$5/2),0)</f>
        <v>1.6732</v>
      </c>
      <c r="G71" s="26">
        <f>IFERROR(E71*(1+$H$5/2),0)</f>
        <v>2.0868000000000002</v>
      </c>
      <c r="H71" s="26">
        <f>IFERROR(F71*$B$5,0)</f>
        <v>418.30000000000001</v>
      </c>
      <c r="I71" s="26">
        <f>IFERROR(G71*$B$5,0)</f>
        <v>521.70000000000005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Table'!J69*$E$5,0)</f>
        <v>1.8799999999999999</v>
      </c>
      <c r="F72" s="22">
        <f>IFERROR(E72*(1-$H$5/2),0)</f>
        <v>1.6732</v>
      </c>
      <c r="G72" s="22">
        <f>IFERROR(E72*(1+$H$5/2),0)</f>
        <v>2.0868000000000002</v>
      </c>
      <c r="H72" s="22">
        <f>IFERROR(F72*$B$5,0)</f>
        <v>418.30000000000001</v>
      </c>
      <c r="I72" s="22">
        <f>IFERROR(G72*$B$5,0)</f>
        <v>521.70000000000005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742482.5</v>
      </c>
      <c r="I73" s="43">
        <f>SUMPRODUCT((I8:I72&gt;0)*I8:I72)</f>
        <v>926017.5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59398.599999999999</v>
      </c>
      <c r="I77" s="22">
        <f>IFERROR(G77*I73,0)</f>
        <v>92601.75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59398.599999999999</v>
      </c>
      <c r="I78" s="26">
        <f>IFERROR(G78*I73,0)</f>
        <v>111122.10000000001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861279.69999999995</v>
      </c>
      <c r="I79" s="43">
        <f>I73+I77+I78</f>
        <v>1129741.3500000001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43063.985000000001</v>
      </c>
      <c r="I80" s="26">
        <f>IFERROR(G80*I79,0)</f>
        <v>169461.20250000001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17225.594000000001</v>
      </c>
      <c r="I81" s="22">
        <f>IFERROR(G81*I79,0)</f>
        <v>45189.654000000002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37124.125</v>
      </c>
      <c r="I82" s="51">
        <f>IFERROR(G82*I73,0)</f>
        <v>92601.75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37124.125</v>
      </c>
      <c r="I83" s="55">
        <f>IFERROR(0.05*I73,0)</f>
        <v>46300.875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14849.65</v>
      </c>
      <c r="I84" s="26">
        <f>IFERROR(G84*I73,0)</f>
        <v>111122.10000000001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1010667.179</v>
      </c>
      <c r="I85" s="57">
        <f>I79+I80+I81+I82+I83+I84</f>
        <v>1594416.9314999999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202133.43580000001</v>
      </c>
      <c r="I86" s="61">
        <f>IFERROR(0.2*I85,0)</f>
        <v>318883.38630000001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2969.9299999999998</v>
      </c>
      <c r="F88" s="64"/>
      <c r="G88" s="65">
        <f>IFERROR(I73/$B$5,0)</f>
        <v>3704.0700000000002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9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326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327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325</v>
      </c>
      <c r="D4" s="31" t="s">
        <v>248</v>
      </c>
      <c r="E4" s="32" t="s">
        <v>328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250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Table'!K6*$E$5,0)</f>
        <v>18.800000000000001</v>
      </c>
      <c r="F9" s="22">
        <f>IFERROR(E9*(1-$H$5/2),0)</f>
        <v>16.731999999999999</v>
      </c>
      <c r="G9" s="22">
        <f>IFERROR(E9*(1+$H$5/2),0)</f>
        <v>20.867999999999999</v>
      </c>
      <c r="H9" s="22">
        <f>IFERROR(F9*$B$5,0)</f>
        <v>4183</v>
      </c>
      <c r="I9" s="22">
        <f>IFERROR(G9*$B$5,0)</f>
        <v>5217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Table'!K7*$E$5,0)</f>
        <v>32.899999999999999</v>
      </c>
      <c r="F10" s="26">
        <f>IFERROR(E10*(1-$H$5/2),0)</f>
        <v>29.280999999999999</v>
      </c>
      <c r="G10" s="26">
        <f>IFERROR(E10*(1+$H$5/2),0)</f>
        <v>36.518999999999998</v>
      </c>
      <c r="H10" s="26">
        <f>IFERROR(F10*$B$5,0)</f>
        <v>7320.25</v>
      </c>
      <c r="I10" s="26">
        <f>IFERROR(G10*$B$5,0)</f>
        <v>9129.75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Table'!K8*$E$5,0)</f>
        <v>14.1</v>
      </c>
      <c r="F11" s="22">
        <f>IFERROR(E11*(1-$H$5/2),0)</f>
        <v>12.548999999999999</v>
      </c>
      <c r="G11" s="22">
        <f>IFERROR(E11*(1+$H$5/2),0)</f>
        <v>15.651</v>
      </c>
      <c r="H11" s="22">
        <f>IFERROR(F11*$B$5,0)</f>
        <v>3137.25</v>
      </c>
      <c r="I11" s="22">
        <f>IFERROR(G11*$B$5,0)</f>
        <v>3912.75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Table'!K9*$E$5,0)</f>
        <v>11.279999999999999</v>
      </c>
      <c r="F12" s="26">
        <f>IFERROR(E12*(1-$H$5/2),0)</f>
        <v>10.039199999999999</v>
      </c>
      <c r="G12" s="26">
        <f>IFERROR(E12*(1+$H$5/2),0)</f>
        <v>12.520799999999999</v>
      </c>
      <c r="H12" s="26">
        <f>IFERROR(F12*$B$5,0)</f>
        <v>2509.8000000000002</v>
      </c>
      <c r="I12" s="26">
        <f>IFERROR(G12*$B$5,0)</f>
        <v>3130.1999999999998</v>
      </c>
      <c r="J12" s="25" t="s">
        <v>68</v>
      </c>
    </row>
    <row r="13" ht="15.75" customHeight="1">
      <c r="A13" s="36" t="s">
        <v>261</v>
      </c>
      <c r="B13" s="36"/>
      <c r="C13" s="36"/>
      <c r="D13" s="36"/>
      <c r="E13" s="36"/>
      <c r="F13" s="36"/>
      <c r="G13" s="36"/>
      <c r="H13" s="36"/>
      <c r="I13" s="36"/>
      <c r="J13" s="36"/>
    </row>
    <row r="14" ht="13.5" customHeight="1">
      <c r="A14" s="20" t="s">
        <v>70</v>
      </c>
      <c r="B14" s="20" t="s">
        <v>71</v>
      </c>
      <c r="C14" s="21" t="s">
        <v>72</v>
      </c>
      <c r="D14" s="20" t="s">
        <v>73</v>
      </c>
      <c r="E14" s="22">
        <f>IFERROR('Rates Reference Table'!K11*$E$5,0)</f>
        <v>75.200000000000003</v>
      </c>
      <c r="F14" s="22">
        <f>IFERROR(E14*(1-$H$5/2),0)</f>
        <v>66.927999999999997</v>
      </c>
      <c r="G14" s="22">
        <f>IFERROR(E14*(1+$H$5/2),0)</f>
        <v>83.471999999999994</v>
      </c>
      <c r="H14" s="22">
        <f>IFERROR(F14*$B$5,0)</f>
        <v>16732</v>
      </c>
      <c r="I14" s="22">
        <f>IFERROR(G14*$B$5,0)</f>
        <v>20868</v>
      </c>
      <c r="J14" s="21" t="s">
        <v>74</v>
      </c>
    </row>
    <row r="15" ht="13.5" customHeight="1">
      <c r="A15" s="24" t="s">
        <v>70</v>
      </c>
      <c r="B15" s="24" t="s">
        <v>75</v>
      </c>
      <c r="C15" s="25" t="s">
        <v>76</v>
      </c>
      <c r="D15" s="24" t="s">
        <v>73</v>
      </c>
      <c r="E15" s="26">
        <f>IFERROR('Rates Reference Table'!K12*$E$5,0)</f>
        <v>56.399999999999999</v>
      </c>
      <c r="F15" s="26">
        <f>IFERROR(E15*(1-$H$5/2),0)</f>
        <v>50.195999999999998</v>
      </c>
      <c r="G15" s="26">
        <f>IFERROR(E15*(1+$H$5/2),0)</f>
        <v>62.603999999999999</v>
      </c>
      <c r="H15" s="26">
        <f>IFERROR(F15*$B$5,0)</f>
        <v>12549</v>
      </c>
      <c r="I15" s="26">
        <f>IFERROR(G15*$B$5,0)</f>
        <v>15651</v>
      </c>
      <c r="J15" s="25" t="s">
        <v>77</v>
      </c>
    </row>
    <row r="16" ht="13.5" customHeight="1">
      <c r="A16" s="20" t="s">
        <v>70</v>
      </c>
      <c r="B16" s="20" t="s">
        <v>78</v>
      </c>
      <c r="C16" s="21" t="s">
        <v>79</v>
      </c>
      <c r="D16" s="20" t="s">
        <v>73</v>
      </c>
      <c r="E16" s="22">
        <f>IFERROR('Rates Reference Table'!K13*$E$5,0)</f>
        <v>51.700000000000003</v>
      </c>
      <c r="F16" s="22">
        <f>IFERROR(E16*(1-$H$5/2),0)</f>
        <v>46.012999999999998</v>
      </c>
      <c r="G16" s="22">
        <f>IFERROR(E16*(1+$H$5/2),0)</f>
        <v>57.387</v>
      </c>
      <c r="H16" s="22">
        <f>IFERROR(F16*$B$5,0)</f>
        <v>11503.25</v>
      </c>
      <c r="I16" s="22">
        <f>IFERROR(G16*$B$5,0)</f>
        <v>14346.75</v>
      </c>
      <c r="J16" s="21" t="s">
        <v>80</v>
      </c>
    </row>
    <row r="17" ht="13.5" customHeight="1">
      <c r="A17" s="24" t="s">
        <v>70</v>
      </c>
      <c r="B17" s="24" t="s">
        <v>81</v>
      </c>
      <c r="C17" s="25" t="s">
        <v>82</v>
      </c>
      <c r="D17" s="24" t="s">
        <v>58</v>
      </c>
      <c r="E17" s="26">
        <f>IFERROR('Rates Reference Table'!K14*$E$5,0)</f>
        <v>141</v>
      </c>
      <c r="F17" s="26">
        <f>IFERROR(E17*(1-$H$5/2),0)</f>
        <v>125.48999999999999</v>
      </c>
      <c r="G17" s="26">
        <f>IFERROR(E17*(1+$H$5/2),0)</f>
        <v>156.50999999999999</v>
      </c>
      <c r="H17" s="26">
        <f>IFERROR(F17*$B$5,0)</f>
        <v>31372.5</v>
      </c>
      <c r="I17" s="26">
        <f>IFERROR(G17*$B$5,0)</f>
        <v>39127.5</v>
      </c>
      <c r="J17" s="25" t="s">
        <v>83</v>
      </c>
    </row>
    <row r="18" ht="15.75" customHeight="1">
      <c r="A18" s="36" t="s">
        <v>263</v>
      </c>
      <c r="B18" s="36"/>
      <c r="C18" s="36"/>
      <c r="D18" s="36"/>
      <c r="E18" s="36"/>
      <c r="F18" s="36"/>
      <c r="G18" s="36"/>
      <c r="H18" s="36"/>
      <c r="I18" s="36"/>
      <c r="J18" s="36"/>
    </row>
    <row r="19" ht="13.5" customHeight="1">
      <c r="A19" s="20" t="s">
        <v>85</v>
      </c>
      <c r="B19" s="20" t="s">
        <v>86</v>
      </c>
      <c r="C19" s="21" t="s">
        <v>87</v>
      </c>
      <c r="D19" s="20" t="s">
        <v>73</v>
      </c>
      <c r="E19" s="22">
        <f>IFERROR('Rates Reference Table'!K16*$E$5,0)</f>
        <v>188</v>
      </c>
      <c r="F19" s="22">
        <f>IFERROR(E19*(1-$H$5/2),0)</f>
        <v>167.31999999999999</v>
      </c>
      <c r="G19" s="22">
        <f>IFERROR(E19*(1+$H$5/2),0)</f>
        <v>208.68000000000001</v>
      </c>
      <c r="H19" s="22">
        <f>IFERROR(F19*$B$5,0)</f>
        <v>41830</v>
      </c>
      <c r="I19" s="22">
        <f>IFERROR(G19*$B$5,0)</f>
        <v>52170</v>
      </c>
      <c r="J19" s="21" t="s">
        <v>88</v>
      </c>
    </row>
    <row r="20" ht="13.5" customHeight="1">
      <c r="A20" s="24" t="s">
        <v>85</v>
      </c>
      <c r="B20" s="24" t="s">
        <v>89</v>
      </c>
      <c r="C20" s="25" t="s">
        <v>90</v>
      </c>
      <c r="D20" s="24" t="s">
        <v>73</v>
      </c>
      <c r="E20" s="26">
        <f>IFERROR('Rates Reference Table'!K17*$E$5,0)</f>
        <v>89.299999999999997</v>
      </c>
      <c r="F20" s="26">
        <f>IFERROR(E20*(1-$H$5/2),0)</f>
        <v>79.477000000000004</v>
      </c>
      <c r="G20" s="26">
        <f>IFERROR(E20*(1+$H$5/2),0)</f>
        <v>99.123000000000005</v>
      </c>
      <c r="H20" s="26">
        <f>IFERROR(F20*$B$5,0)</f>
        <v>19869.25</v>
      </c>
      <c r="I20" s="26">
        <f>IFERROR(G20*$B$5,0)</f>
        <v>24780.75</v>
      </c>
      <c r="J20" s="25" t="s">
        <v>91</v>
      </c>
    </row>
    <row r="21" ht="13.5" customHeight="1">
      <c r="A21" s="20" t="s">
        <v>85</v>
      </c>
      <c r="B21" s="20" t="s">
        <v>92</v>
      </c>
      <c r="C21" s="21" t="s">
        <v>93</v>
      </c>
      <c r="D21" s="20" t="s">
        <v>73</v>
      </c>
      <c r="E21" s="22">
        <f>IFERROR('Rates Reference Table'!K18*$E$5,0)</f>
        <v>112.8</v>
      </c>
      <c r="F21" s="22">
        <f>IFERROR(E21*(1-$H$5/2),0)</f>
        <v>100.392</v>
      </c>
      <c r="G21" s="22">
        <f>IFERROR(E21*(1+$H$5/2),0)</f>
        <v>125.208</v>
      </c>
      <c r="H21" s="22">
        <f>IFERROR(F21*$B$5,0)</f>
        <v>25098</v>
      </c>
      <c r="I21" s="22">
        <f>IFERROR(G21*$B$5,0)</f>
        <v>31302</v>
      </c>
      <c r="J21" s="21" t="s">
        <v>94</v>
      </c>
    </row>
    <row r="22" ht="13.5" customHeight="1">
      <c r="A22" s="24" t="s">
        <v>85</v>
      </c>
      <c r="B22" s="24" t="s">
        <v>95</v>
      </c>
      <c r="C22" s="25" t="s">
        <v>96</v>
      </c>
      <c r="D22" s="24" t="s">
        <v>58</v>
      </c>
      <c r="E22" s="26">
        <f>IFERROR('Rates Reference Table'!K19*$E$5,0)</f>
        <v>32.899999999999999</v>
      </c>
      <c r="F22" s="26">
        <f>IFERROR(E22*(1-$H$5/2),0)</f>
        <v>29.280999999999999</v>
      </c>
      <c r="G22" s="26">
        <f>IFERROR(E22*(1+$H$5/2),0)</f>
        <v>36.518999999999998</v>
      </c>
      <c r="H22" s="26">
        <f>IFERROR(F22*$B$5,0)</f>
        <v>7320.25</v>
      </c>
      <c r="I22" s="26">
        <f>IFERROR(G22*$B$5,0)</f>
        <v>9129.75</v>
      </c>
      <c r="J22" s="25" t="s">
        <v>97</v>
      </c>
    </row>
    <row r="23" ht="13.5" customHeight="1">
      <c r="A23" s="20" t="s">
        <v>85</v>
      </c>
      <c r="B23" s="20" t="s">
        <v>98</v>
      </c>
      <c r="C23" s="21" t="s">
        <v>99</v>
      </c>
      <c r="D23" s="20" t="s">
        <v>73</v>
      </c>
      <c r="E23" s="22">
        <f>IFERROR('Rates Reference Table'!K20*$E$5,0)</f>
        <v>263.19999999999999</v>
      </c>
      <c r="F23" s="22">
        <f>IFERROR(E23*(1-$H$5/2),0)</f>
        <v>234.24799999999999</v>
      </c>
      <c r="G23" s="22">
        <f>IFERROR(E23*(1+$H$5/2),0)</f>
        <v>292.15199999999999</v>
      </c>
      <c r="H23" s="22">
        <f>IFERROR(F23*$B$5,0)</f>
        <v>58562</v>
      </c>
      <c r="I23" s="22">
        <f>IFERROR(G23*$B$5,0)</f>
        <v>73038</v>
      </c>
      <c r="J23" s="21" t="s">
        <v>100</v>
      </c>
    </row>
    <row r="24" ht="13.5" customHeight="1">
      <c r="A24" s="24" t="s">
        <v>85</v>
      </c>
      <c r="B24" s="24" t="s">
        <v>101</v>
      </c>
      <c r="C24" s="25" t="s">
        <v>102</v>
      </c>
      <c r="D24" s="24" t="s">
        <v>73</v>
      </c>
      <c r="E24" s="26">
        <f>IFERROR('Rates Reference Table'!K21*$E$5,0)</f>
        <v>141</v>
      </c>
      <c r="F24" s="26">
        <f>IFERROR(E24*(1-$H$5/2),0)</f>
        <v>125.48999999999999</v>
      </c>
      <c r="G24" s="26">
        <f>IFERROR(E24*(1+$H$5/2),0)</f>
        <v>156.50999999999999</v>
      </c>
      <c r="H24" s="26">
        <f>IFERROR(F24*$B$5,0)</f>
        <v>31372.5</v>
      </c>
      <c r="I24" s="26">
        <f>IFERROR(G24*$B$5,0)</f>
        <v>39127.5</v>
      </c>
      <c r="J24" s="25" t="s">
        <v>103</v>
      </c>
    </row>
    <row r="25" ht="13.5" customHeight="1">
      <c r="A25" s="20" t="s">
        <v>85</v>
      </c>
      <c r="B25" s="20" t="s">
        <v>104</v>
      </c>
      <c r="C25" s="21" t="s">
        <v>105</v>
      </c>
      <c r="D25" s="20" t="s">
        <v>73</v>
      </c>
      <c r="E25" s="22">
        <f>IFERROR('Rates Reference Table'!K22*$E$5,0)</f>
        <v>42.299999999999997</v>
      </c>
      <c r="F25" s="22">
        <f>IFERROR(E25*(1-$H$5/2),0)</f>
        <v>37.646999999999998</v>
      </c>
      <c r="G25" s="22">
        <f>IFERROR(E25*(1+$H$5/2),0)</f>
        <v>46.953000000000003</v>
      </c>
      <c r="H25" s="22">
        <f>IFERROR(F25*$B$5,0)</f>
        <v>9411.75</v>
      </c>
      <c r="I25" s="22">
        <f>IFERROR(G25*$B$5,0)</f>
        <v>11738.25</v>
      </c>
      <c r="J25" s="21" t="s">
        <v>106</v>
      </c>
    </row>
    <row r="26" ht="13.5" customHeight="1">
      <c r="A26" s="24" t="s">
        <v>85</v>
      </c>
      <c r="B26" s="24" t="s">
        <v>107</v>
      </c>
      <c r="C26" s="25" t="s">
        <v>108</v>
      </c>
      <c r="D26" s="24" t="s">
        <v>109</v>
      </c>
      <c r="E26" s="26">
        <f>IFERROR('Rates Reference Table'!K23*$E$5,0)</f>
        <v>28.199999999999999</v>
      </c>
      <c r="F26" s="26">
        <f>IFERROR(E26*(1-$H$5/2),0)</f>
        <v>25.097999999999999</v>
      </c>
      <c r="G26" s="26">
        <f>IFERROR(E26*(1+$H$5/2),0)</f>
        <v>31.302</v>
      </c>
      <c r="H26" s="26">
        <f>IFERROR(F26*$B$5,0)</f>
        <v>6274.5</v>
      </c>
      <c r="I26" s="26">
        <f>IFERROR(G26*$B$5,0)</f>
        <v>7825.5</v>
      </c>
      <c r="J26" s="25" t="s">
        <v>110</v>
      </c>
    </row>
    <row r="27" ht="15.75" customHeight="1">
      <c r="A27" s="36" t="s">
        <v>264</v>
      </c>
      <c r="B27" s="36"/>
      <c r="C27" s="36"/>
      <c r="D27" s="36"/>
      <c r="E27" s="36"/>
      <c r="F27" s="36"/>
      <c r="G27" s="36"/>
      <c r="H27" s="36"/>
      <c r="I27" s="36"/>
      <c r="J27" s="36"/>
    </row>
    <row r="28" ht="13.5" customHeight="1">
      <c r="A28" s="20" t="s">
        <v>112</v>
      </c>
      <c r="B28" s="20" t="s">
        <v>113</v>
      </c>
      <c r="C28" s="21" t="s">
        <v>114</v>
      </c>
      <c r="D28" s="20" t="s">
        <v>73</v>
      </c>
      <c r="E28" s="22">
        <f>IFERROR('Rates Reference Table'!K25*$E$5,0)</f>
        <v>47</v>
      </c>
      <c r="F28" s="22">
        <f>IFERROR(E28*(1-$H$5/2),0)</f>
        <v>41.829999999999998</v>
      </c>
      <c r="G28" s="22">
        <f>IFERROR(E28*(1+$H$5/2),0)</f>
        <v>52.170000000000002</v>
      </c>
      <c r="H28" s="22">
        <f>IFERROR(F28*$B$5,0)</f>
        <v>10457.5</v>
      </c>
      <c r="I28" s="22">
        <f>IFERROR(G28*$B$5,0)</f>
        <v>13042.5</v>
      </c>
      <c r="J28" s="21" t="s">
        <v>115</v>
      </c>
    </row>
    <row r="29" ht="13.5" customHeight="1">
      <c r="A29" s="24" t="s">
        <v>112</v>
      </c>
      <c r="B29" s="24" t="s">
        <v>116</v>
      </c>
      <c r="C29" s="25" t="s">
        <v>117</v>
      </c>
      <c r="D29" s="24" t="s">
        <v>73</v>
      </c>
      <c r="E29" s="26">
        <f>IFERROR('Rates Reference Table'!K26*$E$5,0)</f>
        <v>65.799999999999997</v>
      </c>
      <c r="F29" s="26">
        <f>IFERROR(E29*(1-$H$5/2),0)</f>
        <v>58.561999999999998</v>
      </c>
      <c r="G29" s="26">
        <f>IFERROR(E29*(1+$H$5/2),0)</f>
        <v>73.037999999999997</v>
      </c>
      <c r="H29" s="26">
        <f>IFERROR(F29*$B$5,0)</f>
        <v>14640.5</v>
      </c>
      <c r="I29" s="26">
        <f>IFERROR(G29*$B$5,0)</f>
        <v>18259.5</v>
      </c>
      <c r="J29" s="25" t="s">
        <v>118</v>
      </c>
    </row>
    <row r="30" ht="13.5" customHeight="1">
      <c r="A30" s="20" t="s">
        <v>112</v>
      </c>
      <c r="B30" s="20" t="s">
        <v>119</v>
      </c>
      <c r="C30" s="21" t="s">
        <v>120</v>
      </c>
      <c r="D30" s="20" t="s">
        <v>73</v>
      </c>
      <c r="E30" s="22">
        <f>IFERROR('Rates Reference Table'!K27*$E$5,0)</f>
        <v>37.600000000000001</v>
      </c>
      <c r="F30" s="22">
        <f>IFERROR(E30*(1-$H$5/2),0)</f>
        <v>33.463999999999999</v>
      </c>
      <c r="G30" s="22">
        <f>IFERROR(E30*(1+$H$5/2),0)</f>
        <v>41.735999999999997</v>
      </c>
      <c r="H30" s="22">
        <f>IFERROR(F30*$B$5,0)</f>
        <v>8366</v>
      </c>
      <c r="I30" s="22">
        <f>IFERROR(G30*$B$5,0)</f>
        <v>10434</v>
      </c>
      <c r="J30" s="21" t="s">
        <v>121</v>
      </c>
    </row>
    <row r="31" ht="15.75" customHeight="1">
      <c r="A31" s="36" t="s">
        <v>265</v>
      </c>
      <c r="B31" s="36"/>
      <c r="C31" s="36"/>
      <c r="D31" s="36"/>
      <c r="E31" s="36"/>
      <c r="F31" s="36"/>
      <c r="G31" s="36"/>
      <c r="H31" s="36"/>
      <c r="I31" s="36"/>
      <c r="J31" s="36"/>
    </row>
    <row r="32" ht="13.5" customHeight="1">
      <c r="A32" s="20" t="s">
        <v>123</v>
      </c>
      <c r="B32" s="20" t="s">
        <v>124</v>
      </c>
      <c r="C32" s="21" t="s">
        <v>125</v>
      </c>
      <c r="D32" s="20" t="s">
        <v>58</v>
      </c>
      <c r="E32" s="22">
        <f>IFERROR('Rates Reference Table'!K29*$E$5,0)</f>
        <v>37.600000000000001</v>
      </c>
      <c r="F32" s="22">
        <f>IFERROR(E32*(1-$H$5/2),0)</f>
        <v>33.463999999999999</v>
      </c>
      <c r="G32" s="22">
        <f>IFERROR(E32*(1+$H$5/2),0)</f>
        <v>41.735999999999997</v>
      </c>
      <c r="H32" s="22">
        <f>IFERROR(F32*$B$5,0)</f>
        <v>8366</v>
      </c>
      <c r="I32" s="22">
        <f>IFERROR(G32*$B$5,0)</f>
        <v>10434</v>
      </c>
      <c r="J32" s="21" t="s">
        <v>126</v>
      </c>
    </row>
    <row r="33" ht="13.5" customHeight="1">
      <c r="A33" s="24" t="s">
        <v>123</v>
      </c>
      <c r="B33" s="24" t="s">
        <v>127</v>
      </c>
      <c r="C33" s="25" t="s">
        <v>128</v>
      </c>
      <c r="D33" s="24" t="s">
        <v>109</v>
      </c>
      <c r="E33" s="26">
        <f>IFERROR('Rates Reference Table'!K30*$E$5,0)</f>
        <v>16.920000000000002</v>
      </c>
      <c r="F33" s="26">
        <f>IFERROR(E33*(1-$H$5/2),0)</f>
        <v>15.0588</v>
      </c>
      <c r="G33" s="26">
        <f>IFERROR(E33*(1+$H$5/2),0)</f>
        <v>18.781199999999998</v>
      </c>
      <c r="H33" s="26">
        <f>IFERROR(F33*$B$5,0)</f>
        <v>3764.6999999999998</v>
      </c>
      <c r="I33" s="26">
        <f>IFERROR(G33*$B$5,0)</f>
        <v>4695.3000000000002</v>
      </c>
      <c r="J33" s="25" t="s">
        <v>129</v>
      </c>
    </row>
    <row r="34" ht="13.5" customHeight="1">
      <c r="A34" s="20" t="s">
        <v>123</v>
      </c>
      <c r="B34" s="20" t="s">
        <v>130</v>
      </c>
      <c r="C34" s="21" t="s">
        <v>131</v>
      </c>
      <c r="D34" s="20" t="s">
        <v>58</v>
      </c>
      <c r="E34" s="22">
        <f>IFERROR('Rates Reference Table'!K31*$E$5,0)</f>
        <v>14.1</v>
      </c>
      <c r="F34" s="22">
        <f>IFERROR(E34*(1-$H$5/2),0)</f>
        <v>12.548999999999999</v>
      </c>
      <c r="G34" s="22">
        <f>IFERROR(E34*(1+$H$5/2),0)</f>
        <v>15.651</v>
      </c>
      <c r="H34" s="22">
        <f>IFERROR(F34*$B$5,0)</f>
        <v>3137.25</v>
      </c>
      <c r="I34" s="22">
        <f>IFERROR(G34*$B$5,0)</f>
        <v>3912.75</v>
      </c>
      <c r="J34" s="21" t="s">
        <v>132</v>
      </c>
    </row>
    <row r="35" ht="13.5" customHeight="1">
      <c r="A35" s="24" t="s">
        <v>123</v>
      </c>
      <c r="B35" s="24" t="s">
        <v>133</v>
      </c>
      <c r="C35" s="25" t="s">
        <v>134</v>
      </c>
      <c r="D35" s="24" t="s">
        <v>58</v>
      </c>
      <c r="E35" s="26">
        <f>IFERROR('Rates Reference Table'!K32*$E$5,0)</f>
        <v>37.600000000000001</v>
      </c>
      <c r="F35" s="26">
        <f>IFERROR(E35*(1-$H$5/2),0)</f>
        <v>33.463999999999999</v>
      </c>
      <c r="G35" s="26">
        <f>IFERROR(E35*(1+$H$5/2),0)</f>
        <v>41.735999999999997</v>
      </c>
      <c r="H35" s="26">
        <f>IFERROR(F35*$B$5,0)</f>
        <v>8366</v>
      </c>
      <c r="I35" s="26">
        <f>IFERROR(G35*$B$5,0)</f>
        <v>10434</v>
      </c>
      <c r="J35" s="25" t="s">
        <v>135</v>
      </c>
    </row>
    <row r="36" ht="15.75" customHeight="1">
      <c r="A36" s="36" t="s">
        <v>266</v>
      </c>
      <c r="B36" s="36"/>
      <c r="C36" s="36"/>
      <c r="D36" s="36"/>
      <c r="E36" s="36"/>
      <c r="F36" s="36"/>
      <c r="G36" s="36"/>
      <c r="H36" s="36"/>
      <c r="I36" s="36"/>
      <c r="J36" s="36"/>
    </row>
    <row r="37" ht="13.5" customHeight="1">
      <c r="A37" s="20" t="s">
        <v>137</v>
      </c>
      <c r="B37" s="20" t="s">
        <v>138</v>
      </c>
      <c r="C37" s="21" t="s">
        <v>139</v>
      </c>
      <c r="D37" s="20" t="s">
        <v>73</v>
      </c>
      <c r="E37" s="22">
        <f>IFERROR('Rates Reference Table'!K34*$E$5,0)</f>
        <v>42.299999999999997</v>
      </c>
      <c r="F37" s="22">
        <f>IFERROR(E37*(1-$H$5/2),0)</f>
        <v>37.646999999999998</v>
      </c>
      <c r="G37" s="22">
        <f>IFERROR(E37*(1+$H$5/2),0)</f>
        <v>46.953000000000003</v>
      </c>
      <c r="H37" s="22">
        <f>IFERROR(F37*$B$5,0)</f>
        <v>9411.75</v>
      </c>
      <c r="I37" s="22">
        <f>IFERROR(G37*$B$5,0)</f>
        <v>11738.25</v>
      </c>
      <c r="J37" s="21" t="s">
        <v>140</v>
      </c>
    </row>
    <row r="38" ht="13.5" customHeight="1">
      <c r="A38" s="24" t="s">
        <v>137</v>
      </c>
      <c r="B38" s="24" t="s">
        <v>141</v>
      </c>
      <c r="C38" s="25" t="s">
        <v>142</v>
      </c>
      <c r="D38" s="24" t="s">
        <v>73</v>
      </c>
      <c r="E38" s="26">
        <f>IFERROR('Rates Reference Table'!K35*$E$5,0)</f>
        <v>61.100000000000001</v>
      </c>
      <c r="F38" s="26">
        <f>IFERROR(E38*(1-$H$5/2),0)</f>
        <v>54.378999999999998</v>
      </c>
      <c r="G38" s="26">
        <f>IFERROR(E38*(1+$H$5/2),0)</f>
        <v>67.820999999999998</v>
      </c>
      <c r="H38" s="26">
        <f>IFERROR(F38*$B$5,0)</f>
        <v>13594.75</v>
      </c>
      <c r="I38" s="26">
        <f>IFERROR(G38*$B$5,0)</f>
        <v>16955.25</v>
      </c>
      <c r="J38" s="25" t="s">
        <v>143</v>
      </c>
    </row>
    <row r="39" ht="13.5" customHeight="1">
      <c r="A39" s="20" t="s">
        <v>137</v>
      </c>
      <c r="B39" s="20" t="s">
        <v>144</v>
      </c>
      <c r="C39" s="21" t="s">
        <v>145</v>
      </c>
      <c r="D39" s="20" t="s">
        <v>73</v>
      </c>
      <c r="E39" s="22">
        <f>IFERROR('Rates Reference Table'!K36*$E$5,0)</f>
        <v>56.399999999999999</v>
      </c>
      <c r="F39" s="22">
        <f>IFERROR(E39*(1-$H$5/2),0)</f>
        <v>50.195999999999998</v>
      </c>
      <c r="G39" s="22">
        <f>IFERROR(E39*(1+$H$5/2),0)</f>
        <v>62.603999999999999</v>
      </c>
      <c r="H39" s="22">
        <f>IFERROR(F39*$B$5,0)</f>
        <v>12549</v>
      </c>
      <c r="I39" s="22">
        <f>IFERROR(G39*$B$5,0)</f>
        <v>15651</v>
      </c>
      <c r="J39" s="21" t="s">
        <v>146</v>
      </c>
    </row>
    <row r="40" ht="13.5" customHeight="1">
      <c r="A40" s="24" t="s">
        <v>137</v>
      </c>
      <c r="B40" s="24" t="s">
        <v>147</v>
      </c>
      <c r="C40" s="25" t="s">
        <v>148</v>
      </c>
      <c r="D40" s="24" t="s">
        <v>73</v>
      </c>
      <c r="E40" s="26">
        <f>IFERROR('Rates Reference Table'!K37*$E$5,0)</f>
        <v>42.299999999999997</v>
      </c>
      <c r="F40" s="26">
        <f>IFERROR(E40*(1-$H$5/2),0)</f>
        <v>37.646999999999998</v>
      </c>
      <c r="G40" s="26">
        <f>IFERROR(E40*(1+$H$5/2),0)</f>
        <v>46.953000000000003</v>
      </c>
      <c r="H40" s="26">
        <f>IFERROR(F40*$B$5,0)</f>
        <v>9411.75</v>
      </c>
      <c r="I40" s="26">
        <f>IFERROR(G40*$B$5,0)</f>
        <v>11738.25</v>
      </c>
      <c r="J40" s="25" t="s">
        <v>149</v>
      </c>
    </row>
    <row r="41" ht="13.5" customHeight="1">
      <c r="A41" s="20" t="s">
        <v>137</v>
      </c>
      <c r="B41" s="20" t="s">
        <v>150</v>
      </c>
      <c r="C41" s="21" t="s">
        <v>151</v>
      </c>
      <c r="D41" s="20" t="s">
        <v>58</v>
      </c>
      <c r="E41" s="22">
        <f>IFERROR('Rates Reference Table'!K38*$E$5,0)</f>
        <v>9.4000000000000004</v>
      </c>
      <c r="F41" s="22">
        <f>IFERROR(E41*(1-$H$5/2),0)</f>
        <v>8.3659999999999997</v>
      </c>
      <c r="G41" s="22">
        <f>IFERROR(E41*(1+$H$5/2),0)</f>
        <v>10.433999999999999</v>
      </c>
      <c r="H41" s="22">
        <f>IFERROR(F41*$B$5,0)</f>
        <v>2091.5</v>
      </c>
      <c r="I41" s="22">
        <f>IFERROR(G41*$B$5,0)</f>
        <v>2608.5</v>
      </c>
      <c r="J41" s="21" t="s">
        <v>152</v>
      </c>
    </row>
    <row r="42" ht="13.5" customHeight="1">
      <c r="A42" s="24" t="s">
        <v>137</v>
      </c>
      <c r="B42" s="24" t="s">
        <v>153</v>
      </c>
      <c r="C42" s="25" t="s">
        <v>154</v>
      </c>
      <c r="D42" s="24" t="s">
        <v>73</v>
      </c>
      <c r="E42" s="26">
        <f>IFERROR('Rates Reference Table'!K39*$E$5,0)</f>
        <v>18.800000000000001</v>
      </c>
      <c r="F42" s="26">
        <f>IFERROR(E42*(1-$H$5/2),0)</f>
        <v>16.731999999999999</v>
      </c>
      <c r="G42" s="26">
        <f>IFERROR(E42*(1+$H$5/2),0)</f>
        <v>20.867999999999999</v>
      </c>
      <c r="H42" s="26">
        <f>IFERROR(F42*$B$5,0)</f>
        <v>4183</v>
      </c>
      <c r="I42" s="26">
        <f>IFERROR(G42*$B$5,0)</f>
        <v>5217</v>
      </c>
      <c r="J42" s="25" t="s">
        <v>155</v>
      </c>
    </row>
    <row r="43" ht="13.5" customHeight="1">
      <c r="A43" s="20" t="s">
        <v>137</v>
      </c>
      <c r="B43" s="20" t="s">
        <v>156</v>
      </c>
      <c r="C43" s="21" t="s">
        <v>157</v>
      </c>
      <c r="D43" s="20" t="s">
        <v>73</v>
      </c>
      <c r="E43" s="22">
        <f>IFERROR('Rates Reference Table'!K40*$E$5,0)</f>
        <v>37.600000000000001</v>
      </c>
      <c r="F43" s="22">
        <f>IFERROR(E43*(1-$H$5/2),0)</f>
        <v>33.463999999999999</v>
      </c>
      <c r="G43" s="22">
        <f>IFERROR(E43*(1+$H$5/2),0)</f>
        <v>41.735999999999997</v>
      </c>
      <c r="H43" s="22">
        <f>IFERROR(F43*$B$5,0)</f>
        <v>8366</v>
      </c>
      <c r="I43" s="22">
        <f>IFERROR(G43*$B$5,0)</f>
        <v>10434</v>
      </c>
      <c r="J43" s="21" t="s">
        <v>158</v>
      </c>
    </row>
    <row r="44" ht="13.5" customHeight="1">
      <c r="A44" s="24" t="s">
        <v>137</v>
      </c>
      <c r="B44" s="24" t="s">
        <v>159</v>
      </c>
      <c r="C44" s="25" t="s">
        <v>160</v>
      </c>
      <c r="D44" s="24" t="s">
        <v>73</v>
      </c>
      <c r="E44" s="26">
        <f>IFERROR('Rates Reference Table'!K41*$E$5,0)</f>
        <v>51.700000000000003</v>
      </c>
      <c r="F44" s="26">
        <f>IFERROR(E44*(1-$H$5/2),0)</f>
        <v>46.012999999999998</v>
      </c>
      <c r="G44" s="26">
        <f>IFERROR(E44*(1+$H$5/2),0)</f>
        <v>57.387</v>
      </c>
      <c r="H44" s="26">
        <f>IFERROR(F44*$B$5,0)</f>
        <v>11503.25</v>
      </c>
      <c r="I44" s="26">
        <f>IFERROR(G44*$B$5,0)</f>
        <v>14346.75</v>
      </c>
      <c r="J44" s="25" t="s">
        <v>161</v>
      </c>
    </row>
    <row r="45" ht="13.5" customHeight="1">
      <c r="A45" s="20" t="s">
        <v>137</v>
      </c>
      <c r="B45" s="20" t="s">
        <v>162</v>
      </c>
      <c r="C45" s="21" t="s">
        <v>163</v>
      </c>
      <c r="D45" s="20" t="s">
        <v>73</v>
      </c>
      <c r="E45" s="22">
        <f>IFERROR('Rates Reference Table'!K42*$E$5,0)</f>
        <v>20.68</v>
      </c>
      <c r="F45" s="22">
        <f>IFERROR(E45*(1-$H$5/2),0)</f>
        <v>18.405200000000001</v>
      </c>
      <c r="G45" s="22">
        <f>IFERROR(E45*(1+$H$5/2),0)</f>
        <v>22.954799999999999</v>
      </c>
      <c r="H45" s="22">
        <f>IFERROR(F45*$B$5,0)</f>
        <v>4601.3000000000002</v>
      </c>
      <c r="I45" s="22">
        <f>IFERROR(G45*$B$5,0)</f>
        <v>5738.6999999999998</v>
      </c>
      <c r="J45" s="21" t="s">
        <v>164</v>
      </c>
    </row>
    <row r="46" ht="13.5" customHeight="1">
      <c r="A46" s="24" t="s">
        <v>137</v>
      </c>
      <c r="B46" s="24" t="s">
        <v>165</v>
      </c>
      <c r="C46" s="25" t="s">
        <v>166</v>
      </c>
      <c r="D46" s="24" t="s">
        <v>58</v>
      </c>
      <c r="E46" s="26">
        <f>IFERROR('Rates Reference Table'!K43*$E$5,0)</f>
        <v>7.5199999999999996</v>
      </c>
      <c r="F46" s="26">
        <f>IFERROR(E46*(1-$H$5/2),0)</f>
        <v>6.6928000000000001</v>
      </c>
      <c r="G46" s="26">
        <f>IFERROR(E46*(1+$H$5/2),0)</f>
        <v>8.3472000000000008</v>
      </c>
      <c r="H46" s="26">
        <f>IFERROR(F46*$B$5,0)</f>
        <v>1673.2</v>
      </c>
      <c r="I46" s="26">
        <f>IFERROR(G46*$B$5,0)</f>
        <v>2086.8000000000002</v>
      </c>
      <c r="J46" s="25" t="s">
        <v>167</v>
      </c>
    </row>
    <row r="47" ht="13.5" customHeight="1">
      <c r="A47" s="20" t="s">
        <v>137</v>
      </c>
      <c r="B47" s="20" t="s">
        <v>168</v>
      </c>
      <c r="C47" s="21" t="s">
        <v>169</v>
      </c>
      <c r="D47" s="20" t="s">
        <v>170</v>
      </c>
      <c r="E47" s="22">
        <f>IFERROR('Rates Reference Table'!K44*$E$5,0)</f>
        <v>1128</v>
      </c>
      <c r="F47" s="22">
        <f>IFERROR(E47*(1-$H$5/2),0)</f>
        <v>1003.92</v>
      </c>
      <c r="G47" s="22">
        <f>IFERROR(E47*(1+$H$5/2),0)</f>
        <v>1252.0799999999999</v>
      </c>
      <c r="H47" s="22">
        <f>IFERROR(F47*$B$5,0)</f>
        <v>250980</v>
      </c>
      <c r="I47" s="22">
        <f>IFERROR(G47*$B$5,0)</f>
        <v>313020</v>
      </c>
      <c r="J47" s="21" t="s">
        <v>171</v>
      </c>
    </row>
    <row r="48" ht="13.5" customHeight="1">
      <c r="A48" s="24" t="s">
        <v>137</v>
      </c>
      <c r="B48" s="24" t="s">
        <v>172</v>
      </c>
      <c r="C48" s="25" t="s">
        <v>173</v>
      </c>
      <c r="D48" s="24" t="s">
        <v>109</v>
      </c>
      <c r="E48" s="26">
        <f>IFERROR('Rates Reference Table'!K45*$E$5,0)</f>
        <v>2350</v>
      </c>
      <c r="F48" s="26">
        <f>IFERROR(E48*(1-$H$5/2),0)</f>
        <v>2091.5</v>
      </c>
      <c r="G48" s="26">
        <f>IFERROR(E48*(1+$H$5/2),0)</f>
        <v>2608.5</v>
      </c>
      <c r="H48" s="26">
        <f>IFERROR(F48*$B$5,0)</f>
        <v>522875</v>
      </c>
      <c r="I48" s="26">
        <f>IFERROR(G48*$B$5,0)</f>
        <v>652125</v>
      </c>
      <c r="J48" s="25" t="s">
        <v>174</v>
      </c>
    </row>
    <row r="49" ht="13.5" customHeight="1">
      <c r="A49" s="20" t="s">
        <v>137</v>
      </c>
      <c r="B49" s="20" t="s">
        <v>175</v>
      </c>
      <c r="C49" s="21" t="s">
        <v>176</v>
      </c>
      <c r="D49" s="20" t="s">
        <v>73</v>
      </c>
      <c r="E49" s="22">
        <f>IFERROR('Rates Reference Table'!K46*$E$5,0)</f>
        <v>18.800000000000001</v>
      </c>
      <c r="F49" s="22">
        <f>IFERROR(E49*(1-$H$5/2),0)</f>
        <v>16.731999999999999</v>
      </c>
      <c r="G49" s="22">
        <f>IFERROR(E49*(1+$H$5/2),0)</f>
        <v>20.867999999999999</v>
      </c>
      <c r="H49" s="22">
        <f>IFERROR(F49*$B$5,0)</f>
        <v>4183</v>
      </c>
      <c r="I49" s="22">
        <f>IFERROR(G49*$B$5,0)</f>
        <v>5217</v>
      </c>
      <c r="J49" s="21" t="s">
        <v>177</v>
      </c>
    </row>
    <row r="50" ht="13.5" customHeight="1">
      <c r="A50" s="24" t="s">
        <v>137</v>
      </c>
      <c r="B50" s="24" t="s">
        <v>178</v>
      </c>
      <c r="C50" s="25" t="s">
        <v>179</v>
      </c>
      <c r="D50" s="24" t="s">
        <v>58</v>
      </c>
      <c r="E50" s="26">
        <f>IFERROR('Rates Reference Table'!K47*$E$5,0)</f>
        <v>28.199999999999999</v>
      </c>
      <c r="F50" s="26">
        <f>IFERROR(E50*(1-$H$5/2),0)</f>
        <v>25.097999999999999</v>
      </c>
      <c r="G50" s="26">
        <f>IFERROR(E50*(1+$H$5/2),0)</f>
        <v>31.302</v>
      </c>
      <c r="H50" s="26">
        <f>IFERROR(F50*$B$5,0)</f>
        <v>6274.5</v>
      </c>
      <c r="I50" s="26">
        <f>IFERROR(G50*$B$5,0)</f>
        <v>7825.5</v>
      </c>
      <c r="J50" s="25" t="s">
        <v>180</v>
      </c>
    </row>
    <row r="51" ht="13.5" customHeight="1">
      <c r="A51" s="20" t="s">
        <v>137</v>
      </c>
      <c r="B51" s="20" t="s">
        <v>181</v>
      </c>
      <c r="C51" s="21" t="s">
        <v>182</v>
      </c>
      <c r="D51" s="20" t="s">
        <v>73</v>
      </c>
      <c r="E51" s="22">
        <f>IFERROR('Rates Reference Table'!K48*$E$5,0)</f>
        <v>14.1</v>
      </c>
      <c r="F51" s="22">
        <f>IFERROR(E51*(1-$H$5/2),0)</f>
        <v>12.548999999999999</v>
      </c>
      <c r="G51" s="22">
        <f>IFERROR(E51*(1+$H$5/2),0)</f>
        <v>15.651</v>
      </c>
      <c r="H51" s="22">
        <f>IFERROR(F51*$B$5,0)</f>
        <v>3137.25</v>
      </c>
      <c r="I51" s="22">
        <f>IFERROR(G51*$B$5,0)</f>
        <v>3912.75</v>
      </c>
      <c r="J51" s="21" t="s">
        <v>183</v>
      </c>
    </row>
    <row r="52" ht="13.5" customHeight="1">
      <c r="A52" s="24" t="s">
        <v>137</v>
      </c>
      <c r="B52" s="24" t="s">
        <v>184</v>
      </c>
      <c r="C52" s="25" t="s">
        <v>185</v>
      </c>
      <c r="D52" s="24" t="s">
        <v>109</v>
      </c>
      <c r="E52" s="26">
        <f>IFERROR('Rates Reference Table'!K49*$E$5,0)</f>
        <v>84.599999999999994</v>
      </c>
      <c r="F52" s="26">
        <f>IFERROR(E52*(1-$H$5/2),0)</f>
        <v>75.293999999999997</v>
      </c>
      <c r="G52" s="26">
        <f>IFERROR(E52*(1+$H$5/2),0)</f>
        <v>93.906000000000006</v>
      </c>
      <c r="H52" s="26">
        <f>IFERROR(F52*$B$5,0)</f>
        <v>18823.5</v>
      </c>
      <c r="I52" s="26">
        <f>IFERROR(G52*$B$5,0)</f>
        <v>23476.5</v>
      </c>
      <c r="J52" s="25" t="s">
        <v>186</v>
      </c>
    </row>
    <row r="53" ht="13.5" customHeight="1">
      <c r="A53" s="20" t="s">
        <v>137</v>
      </c>
      <c r="B53" s="20" t="s">
        <v>187</v>
      </c>
      <c r="C53" s="21" t="s">
        <v>188</v>
      </c>
      <c r="D53" s="20" t="s">
        <v>73</v>
      </c>
      <c r="E53" s="22">
        <f>IFERROR('Rates Reference Table'!K50*$E$5,0)</f>
        <v>14.1</v>
      </c>
      <c r="F53" s="22">
        <f>IFERROR(E53*(1-$H$5/2),0)</f>
        <v>12.548999999999999</v>
      </c>
      <c r="G53" s="22">
        <f>IFERROR(E53*(1+$H$5/2),0)</f>
        <v>15.651</v>
      </c>
      <c r="H53" s="22">
        <f>IFERROR(F53*$B$5,0)</f>
        <v>3137.25</v>
      </c>
      <c r="I53" s="22">
        <f>IFERROR(G53*$B$5,0)</f>
        <v>3912.75</v>
      </c>
      <c r="J53" s="21" t="s">
        <v>189</v>
      </c>
    </row>
    <row r="54" ht="15.75" customHeight="1">
      <c r="A54" s="37" t="s">
        <v>267</v>
      </c>
      <c r="B54" s="37"/>
      <c r="C54" s="37"/>
      <c r="D54" s="37"/>
      <c r="E54" s="37"/>
      <c r="F54" s="37"/>
      <c r="G54" s="37"/>
      <c r="H54" s="37"/>
      <c r="I54" s="37"/>
      <c r="J54" s="37"/>
    </row>
    <row r="55" ht="13.5" customHeight="1">
      <c r="A55" s="38" t="s">
        <v>191</v>
      </c>
      <c r="B55" s="38" t="s">
        <v>192</v>
      </c>
      <c r="C55" s="39" t="s">
        <v>193</v>
      </c>
      <c r="D55" s="38" t="s">
        <v>58</v>
      </c>
      <c r="E55" s="40" t="s">
        <v>262</v>
      </c>
      <c r="F55" s="40" t="s">
        <v>262</v>
      </c>
      <c r="G55" s="40" t="s">
        <v>262</v>
      </c>
      <c r="H55" s="41">
        <v>0</v>
      </c>
      <c r="I55" s="41">
        <v>0</v>
      </c>
      <c r="J55" s="39" t="s">
        <v>194</v>
      </c>
    </row>
    <row r="56" ht="13.5" customHeight="1">
      <c r="A56" s="38" t="s">
        <v>191</v>
      </c>
      <c r="B56" s="38" t="s">
        <v>195</v>
      </c>
      <c r="C56" s="39" t="s">
        <v>196</v>
      </c>
      <c r="D56" s="38" t="s">
        <v>58</v>
      </c>
      <c r="E56" s="40" t="s">
        <v>262</v>
      </c>
      <c r="F56" s="40" t="s">
        <v>262</v>
      </c>
      <c r="G56" s="40" t="s">
        <v>262</v>
      </c>
      <c r="H56" s="41">
        <v>0</v>
      </c>
      <c r="I56" s="41">
        <v>0</v>
      </c>
      <c r="J56" s="39" t="s">
        <v>197</v>
      </c>
    </row>
    <row r="57" ht="15.75" customHeight="1">
      <c r="A57" s="36" t="s">
        <v>268</v>
      </c>
      <c r="B57" s="36"/>
      <c r="C57" s="36"/>
      <c r="D57" s="36"/>
      <c r="E57" s="36"/>
      <c r="F57" s="36"/>
      <c r="G57" s="36"/>
      <c r="H57" s="36"/>
      <c r="I57" s="36"/>
      <c r="J57" s="36"/>
    </row>
    <row r="58" ht="13.5" customHeight="1">
      <c r="A58" s="20" t="s">
        <v>199</v>
      </c>
      <c r="B58" s="20" t="s">
        <v>200</v>
      </c>
      <c r="C58" s="21" t="s">
        <v>201</v>
      </c>
      <c r="D58" s="20" t="s">
        <v>58</v>
      </c>
      <c r="E58" s="22">
        <f>IFERROR('Rates Reference Table'!K55*$E$5,0)</f>
        <v>32.899999999999999</v>
      </c>
      <c r="F58" s="22">
        <f>IFERROR(E58*(1-$H$5/2),0)</f>
        <v>29.280999999999999</v>
      </c>
      <c r="G58" s="22">
        <f>IFERROR(E58*(1+$H$5/2),0)</f>
        <v>36.518999999999998</v>
      </c>
      <c r="H58" s="22">
        <f>IFERROR(F58*$B$5,0)</f>
        <v>7320.25</v>
      </c>
      <c r="I58" s="22">
        <f>IFERROR(G58*$B$5,0)</f>
        <v>9129.75</v>
      </c>
      <c r="J58" s="21" t="s">
        <v>202</v>
      </c>
    </row>
    <row r="59" ht="13.5" customHeight="1">
      <c r="A59" s="24" t="s">
        <v>199</v>
      </c>
      <c r="B59" s="24" t="s">
        <v>203</v>
      </c>
      <c r="C59" s="25" t="s">
        <v>204</v>
      </c>
      <c r="D59" s="24" t="s">
        <v>58</v>
      </c>
      <c r="E59" s="26">
        <f>IFERROR('Rates Reference Table'!K56*$E$5,0)</f>
        <v>26.32</v>
      </c>
      <c r="F59" s="26">
        <f>IFERROR(E59*(1-$H$5/2),0)</f>
        <v>23.424800000000001</v>
      </c>
      <c r="G59" s="26">
        <f>IFERROR(E59*(1+$H$5/2),0)</f>
        <v>29.215199999999999</v>
      </c>
      <c r="H59" s="26">
        <f>IFERROR(F59*$B$5,0)</f>
        <v>5856.1999999999998</v>
      </c>
      <c r="I59" s="26">
        <f>IFERROR(G59*$B$5,0)</f>
        <v>7303.8000000000002</v>
      </c>
      <c r="J59" s="25" t="s">
        <v>205</v>
      </c>
    </row>
    <row r="60" ht="13.5" customHeight="1">
      <c r="A60" s="20" t="s">
        <v>199</v>
      </c>
      <c r="B60" s="20" t="s">
        <v>206</v>
      </c>
      <c r="C60" s="21" t="s">
        <v>207</v>
      </c>
      <c r="D60" s="20" t="s">
        <v>58</v>
      </c>
      <c r="E60" s="22">
        <f>IFERROR('Rates Reference Table'!K57*$E$5,0)</f>
        <v>14.1</v>
      </c>
      <c r="F60" s="22">
        <f>IFERROR(E60*(1-$H$5/2),0)</f>
        <v>12.548999999999999</v>
      </c>
      <c r="G60" s="22">
        <f>IFERROR(E60*(1+$H$5/2),0)</f>
        <v>15.651</v>
      </c>
      <c r="H60" s="22">
        <f>IFERROR(F60*$B$5,0)</f>
        <v>3137.25</v>
      </c>
      <c r="I60" s="22">
        <f>IFERROR(G60*$B$5,0)</f>
        <v>3912.75</v>
      </c>
      <c r="J60" s="21" t="s">
        <v>208</v>
      </c>
    </row>
    <row r="61" ht="13.5" customHeight="1">
      <c r="A61" s="24" t="s">
        <v>199</v>
      </c>
      <c r="B61" s="24" t="s">
        <v>209</v>
      </c>
      <c r="C61" s="25" t="s">
        <v>210</v>
      </c>
      <c r="D61" s="24" t="s">
        <v>58</v>
      </c>
      <c r="E61" s="26">
        <f>IFERROR('Rates Reference Table'!K58*$E$5,0)</f>
        <v>51.700000000000003</v>
      </c>
      <c r="F61" s="26">
        <f>IFERROR(E61*(1-$H$5/2),0)</f>
        <v>46.012999999999998</v>
      </c>
      <c r="G61" s="26">
        <f>IFERROR(E61*(1+$H$5/2),0)</f>
        <v>57.387</v>
      </c>
      <c r="H61" s="26">
        <f>IFERROR(F61*$B$5,0)</f>
        <v>11503.25</v>
      </c>
      <c r="I61" s="26">
        <f>IFERROR(G61*$B$5,0)</f>
        <v>14346.75</v>
      </c>
      <c r="J61" s="25" t="s">
        <v>211</v>
      </c>
    </row>
    <row r="62" ht="13.5" customHeight="1">
      <c r="A62" s="20" t="s">
        <v>199</v>
      </c>
      <c r="B62" s="20" t="s">
        <v>212</v>
      </c>
      <c r="C62" s="21" t="s">
        <v>213</v>
      </c>
      <c r="D62" s="20" t="s">
        <v>58</v>
      </c>
      <c r="E62" s="22">
        <f>IFERROR('Rates Reference Table'!K59*$E$5,0)</f>
        <v>11.279999999999999</v>
      </c>
      <c r="F62" s="22">
        <f>IFERROR(E62*(1-$H$5/2),0)</f>
        <v>10.039199999999999</v>
      </c>
      <c r="G62" s="22">
        <f>IFERROR(E62*(1+$H$5/2),0)</f>
        <v>12.520799999999999</v>
      </c>
      <c r="H62" s="22">
        <f>IFERROR(F62*$B$5,0)</f>
        <v>2509.8000000000002</v>
      </c>
      <c r="I62" s="22">
        <f>IFERROR(G62*$B$5,0)</f>
        <v>3130.1999999999998</v>
      </c>
      <c r="J62" s="21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Table'!K61*$E$5,0)</f>
        <v>11.279999999999999</v>
      </c>
      <c r="F64" s="22">
        <f>IFERROR(E64*(1-$H$5/2),0)</f>
        <v>10.039199999999999</v>
      </c>
      <c r="G64" s="22">
        <f>IFERROR(E64*(1+$H$5/2),0)</f>
        <v>12.520799999999999</v>
      </c>
      <c r="H64" s="22">
        <f>IFERROR(F64*$B$5,0)</f>
        <v>2509.8000000000002</v>
      </c>
      <c r="I64" s="22">
        <f>IFERROR(G64*$B$5,0)</f>
        <v>3130.1999999999998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Table'!K62*$E$5,0)</f>
        <v>23.5</v>
      </c>
      <c r="F65" s="26">
        <f>IFERROR(E65*(1-$H$5/2),0)</f>
        <v>20.914999999999999</v>
      </c>
      <c r="G65" s="26">
        <f>IFERROR(E65*(1+$H$5/2),0)</f>
        <v>26.085000000000001</v>
      </c>
      <c r="H65" s="26">
        <f>IFERROR(F65*$B$5,0)</f>
        <v>5228.75</v>
      </c>
      <c r="I65" s="26">
        <f>IFERROR(G65*$B$5,0)</f>
        <v>6521.25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Table'!K63*$E$5,0)</f>
        <v>7.5199999999999996</v>
      </c>
      <c r="F66" s="22">
        <f>IFERROR(E66*(1-$H$5/2),0)</f>
        <v>6.6928000000000001</v>
      </c>
      <c r="G66" s="22">
        <f>IFERROR(E66*(1+$H$5/2),0)</f>
        <v>8.3472000000000008</v>
      </c>
      <c r="H66" s="22">
        <f>IFERROR(F66*$B$5,0)</f>
        <v>1673.2</v>
      </c>
      <c r="I66" s="22">
        <f>IFERROR(G66*$B$5,0)</f>
        <v>2086.8000000000002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Table'!K64*$E$5,0)</f>
        <v>14.1</v>
      </c>
      <c r="F67" s="26">
        <f>IFERROR(E67*(1-$H$5/2),0)</f>
        <v>12.548999999999999</v>
      </c>
      <c r="G67" s="26">
        <f>IFERROR(E67*(1+$H$5/2),0)</f>
        <v>15.651</v>
      </c>
      <c r="H67" s="26">
        <f>IFERROR(F67*$B$5,0)</f>
        <v>3137.25</v>
      </c>
      <c r="I67" s="26">
        <f>IFERROR(G67*$B$5,0)</f>
        <v>3912.75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Table'!K65*$E$5,0)</f>
        <v>9.4000000000000004</v>
      </c>
      <c r="F68" s="22">
        <f>IFERROR(E68*(1-$H$5/2),0)</f>
        <v>8.3659999999999997</v>
      </c>
      <c r="G68" s="22">
        <f>IFERROR(E68*(1+$H$5/2),0)</f>
        <v>10.433999999999999</v>
      </c>
      <c r="H68" s="22">
        <f>IFERROR(F68*$B$5,0)</f>
        <v>2091.5</v>
      </c>
      <c r="I68" s="22">
        <f>IFERROR(G68*$B$5,0)</f>
        <v>2608.5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Table'!K66*$E$5,0)</f>
        <v>14.1</v>
      </c>
      <c r="F69" s="26">
        <f>IFERROR(E69*(1-$H$5/2),0)</f>
        <v>12.548999999999999</v>
      </c>
      <c r="G69" s="26">
        <f>IFERROR(E69*(1+$H$5/2),0)</f>
        <v>15.651</v>
      </c>
      <c r="H69" s="26">
        <f>IFERROR(F69*$B$5,0)</f>
        <v>3137.25</v>
      </c>
      <c r="I69" s="26">
        <f>IFERROR(G69*$B$5,0)</f>
        <v>3912.75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Table'!K67*$E$5,0)</f>
        <v>9.4000000000000004</v>
      </c>
      <c r="F70" s="22">
        <f>IFERROR(E70*(1-$H$5/2),0)</f>
        <v>8.3659999999999997</v>
      </c>
      <c r="G70" s="22">
        <f>IFERROR(E70*(1+$H$5/2),0)</f>
        <v>10.433999999999999</v>
      </c>
      <c r="H70" s="22">
        <f>IFERROR(F70*$B$5,0)</f>
        <v>2091.5</v>
      </c>
      <c r="I70" s="22">
        <f>IFERROR(G70*$B$5,0)</f>
        <v>2608.5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Table'!K68*$E$5,0)</f>
        <v>7.5199999999999996</v>
      </c>
      <c r="F71" s="26">
        <f>IFERROR(E71*(1-$H$5/2),0)</f>
        <v>6.6928000000000001</v>
      </c>
      <c r="G71" s="26">
        <f>IFERROR(E71*(1+$H$5/2),0)</f>
        <v>8.3472000000000008</v>
      </c>
      <c r="H71" s="26">
        <f>IFERROR(F71*$B$5,0)</f>
        <v>1673.2</v>
      </c>
      <c r="I71" s="26">
        <f>IFERROR(G71*$B$5,0)</f>
        <v>2086.8000000000002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Table'!K69*$E$5,0)</f>
        <v>5.6399999999999997</v>
      </c>
      <c r="F72" s="22">
        <f>IFERROR(E72*(1-$H$5/2),0)</f>
        <v>5.0195999999999996</v>
      </c>
      <c r="G72" s="22">
        <f>IFERROR(E72*(1+$H$5/2),0)</f>
        <v>6.2603999999999997</v>
      </c>
      <c r="H72" s="22">
        <f>IFERROR(F72*$B$5,0)</f>
        <v>1254.9000000000001</v>
      </c>
      <c r="I72" s="22">
        <f>IFERROR(G72*$B$5,0)</f>
        <v>1565.0999999999999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1286063.3500000001</v>
      </c>
      <c r="I73" s="43">
        <f>SUMPRODUCT((I8:I72&gt;0)*I8:I72)</f>
        <v>1603966.6499999999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102885.068</v>
      </c>
      <c r="I77" s="22">
        <f>IFERROR(G77*I73,0)</f>
        <v>160396.66500000001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102885.068</v>
      </c>
      <c r="I78" s="26">
        <f>IFERROR(G78*I73,0)</f>
        <v>192475.99799999999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1491833.486</v>
      </c>
      <c r="I79" s="43">
        <f>I73+I77+I78</f>
        <v>1956839.3130000001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74591.674299999999</v>
      </c>
      <c r="I80" s="26">
        <f>IFERROR(G80*I79,0)</f>
        <v>293525.89695000002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29836.669720000002</v>
      </c>
      <c r="I81" s="22">
        <f>IFERROR(G81*I79,0)</f>
        <v>78273.572520000002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64303.167500000003</v>
      </c>
      <c r="I82" s="51">
        <f>IFERROR(G82*I73,0)</f>
        <v>160396.66500000001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64303.167500000003</v>
      </c>
      <c r="I83" s="55">
        <f>IFERROR(0.05*I73,0)</f>
        <v>80198.332500000004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25721.267</v>
      </c>
      <c r="I84" s="26">
        <f>IFERROR(G84*I73,0)</f>
        <v>192475.99799999999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1750589.4320199999</v>
      </c>
      <c r="I85" s="57">
        <f>I79+I80+I81+I82+I83+I84</f>
        <v>2761709.7779700002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350117.88640399999</v>
      </c>
      <c r="I86" s="61">
        <f>IFERROR(0.2*I85,0)</f>
        <v>552341.95559400006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5144.2533999999996</v>
      </c>
      <c r="F88" s="64"/>
      <c r="G88" s="65">
        <f>IFERROR(I73/$B$5,0)</f>
        <v>6415.8666000000003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10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pane activePane="bottomLeft" state="frozen" topLeftCell="A8" ySplit="7"/>
      <selection pane="bottomLeft" activeCell="A1" sqref="A1:I1"/>
    </sheetView>
  </sheetViews>
  <sheetFormatPr defaultColWidth="8.710938" defaultRowHeight="15"/>
  <cols>
    <col min="1" max="1" width="6" style="1" customWidth="1"/>
    <col min="2" max="2" width="8" style="1" customWidth="1"/>
    <col min="3" max="3" width="50" style="1" customWidth="1"/>
    <col min="4" max="4" width="8" style="1" customWidth="1"/>
    <col min="5" max="7" width="14" style="1" customWidth="1"/>
    <col min="8" max="9" width="17" style="1" customWidth="1"/>
    <col min="10" max="10" width="40" style="1" customWidth="1"/>
  </cols>
  <sheetData>
    <row r="1" ht="21.75" customHeight="1">
      <c r="A1" s="29" t="s">
        <v>329</v>
      </c>
      <c r="B1" s="29"/>
      <c r="C1" s="29"/>
      <c r="D1" s="29"/>
      <c r="E1" s="29"/>
      <c r="F1" s="29"/>
      <c r="G1" s="29"/>
      <c r="H1" s="29"/>
      <c r="I1" s="29"/>
    </row>
    <row r="2" ht="19.5" customHeight="1">
      <c r="A2" s="30" t="s">
        <v>330</v>
      </c>
      <c r="B2" s="30"/>
      <c r="C2" s="30"/>
      <c r="D2" s="30"/>
      <c r="E2" s="30"/>
      <c r="F2" s="30"/>
      <c r="G2" s="30"/>
      <c r="H2" s="30"/>
      <c r="I2" s="30"/>
    </row>
    <row r="3" ht="6" customHeight="1"/>
    <row r="4" ht="15" customHeight="1">
      <c r="A4" s="31" t="s">
        <v>246</v>
      </c>
      <c r="B4" s="32" t="s">
        <v>331</v>
      </c>
      <c r="D4" s="31" t="s">
        <v>248</v>
      </c>
      <c r="E4" s="32" t="s">
        <v>332</v>
      </c>
      <c r="G4" s="31" t="s">
        <v>250</v>
      </c>
      <c r="H4" s="33" t="s">
        <v>251</v>
      </c>
    </row>
    <row r="5" ht="18" customHeight="1">
      <c r="A5" s="31" t="s">
        <v>252</v>
      </c>
      <c r="B5" s="34">
        <v>1000</v>
      </c>
      <c r="D5" s="31" t="s">
        <v>253</v>
      </c>
      <c r="E5" s="35">
        <v>0.93999999999999995</v>
      </c>
      <c r="G5" s="31" t="s">
        <v>254</v>
      </c>
      <c r="H5" s="35">
        <v>0.22</v>
      </c>
    </row>
    <row r="6" ht="6" customHeight="1"/>
    <row r="7" ht="27.75" customHeight="1">
      <c r="A7" s="18" t="s">
        <v>41</v>
      </c>
      <c r="B7" s="18" t="s">
        <v>42</v>
      </c>
      <c r="C7" s="18" t="s">
        <v>43</v>
      </c>
      <c r="D7" s="18" t="s">
        <v>44</v>
      </c>
      <c r="E7" s="18" t="s">
        <v>255</v>
      </c>
      <c r="F7" s="18" t="s">
        <v>256</v>
      </c>
      <c r="G7" s="18" t="s">
        <v>257</v>
      </c>
      <c r="H7" s="18" t="s">
        <v>258</v>
      </c>
      <c r="I7" s="18" t="s">
        <v>259</v>
      </c>
      <c r="J7" s="18" t="s">
        <v>53</v>
      </c>
    </row>
    <row r="8" ht="15.75" customHeight="1">
      <c r="A8" s="36" t="s">
        <v>260</v>
      </c>
      <c r="B8" s="36"/>
      <c r="C8" s="36"/>
      <c r="D8" s="36"/>
      <c r="E8" s="36"/>
      <c r="F8" s="36"/>
      <c r="G8" s="36"/>
      <c r="H8" s="36"/>
      <c r="I8" s="36"/>
      <c r="J8" s="36"/>
    </row>
    <row r="9" ht="13.5" customHeight="1">
      <c r="A9" s="20" t="s">
        <v>55</v>
      </c>
      <c r="B9" s="20" t="s">
        <v>56</v>
      </c>
      <c r="C9" s="21" t="s">
        <v>57</v>
      </c>
      <c r="D9" s="20" t="s">
        <v>58</v>
      </c>
      <c r="E9" s="22">
        <f>IFERROR('Rates Reference Table'!L6*$E$5,0)</f>
        <v>0</v>
      </c>
      <c r="F9" s="22">
        <f>IFERROR(E9*(1-$H$5/2),0)</f>
        <v>0</v>
      </c>
      <c r="G9" s="22">
        <f>IFERROR(E9*(1+$H$5/2),0)</f>
        <v>0</v>
      </c>
      <c r="H9" s="22">
        <f>IFERROR(F9*$B$5,0)</f>
        <v>0</v>
      </c>
      <c r="I9" s="22">
        <f>IFERROR(G9*$B$5,0)</f>
        <v>0</v>
      </c>
      <c r="J9" s="21" t="s">
        <v>59</v>
      </c>
    </row>
    <row r="10" ht="13.5" customHeight="1">
      <c r="A10" s="24" t="s">
        <v>55</v>
      </c>
      <c r="B10" s="24" t="s">
        <v>60</v>
      </c>
      <c r="C10" s="25" t="s">
        <v>61</v>
      </c>
      <c r="D10" s="24" t="s">
        <v>58</v>
      </c>
      <c r="E10" s="26">
        <f>IFERROR('Rates Reference Table'!L7*$E$5,0)</f>
        <v>4.7000000000000002</v>
      </c>
      <c r="F10" s="26">
        <f>IFERROR(E10*(1-$H$5/2),0)</f>
        <v>4.1829999999999998</v>
      </c>
      <c r="G10" s="26">
        <f>IFERROR(E10*(1+$H$5/2),0)</f>
        <v>5.2169999999999996</v>
      </c>
      <c r="H10" s="26">
        <f>IFERROR(F10*$B$5,0)</f>
        <v>4183</v>
      </c>
      <c r="I10" s="26">
        <f>IFERROR(G10*$B$5,0)</f>
        <v>5217</v>
      </c>
      <c r="J10" s="25" t="s">
        <v>62</v>
      </c>
    </row>
    <row r="11" ht="13.5" customHeight="1">
      <c r="A11" s="20" t="s">
        <v>55</v>
      </c>
      <c r="B11" s="20" t="s">
        <v>63</v>
      </c>
      <c r="C11" s="21" t="s">
        <v>64</v>
      </c>
      <c r="D11" s="20" t="s">
        <v>58</v>
      </c>
      <c r="E11" s="22">
        <f>IFERROR('Rates Reference Table'!L8*$E$5,0)</f>
        <v>9.4000000000000004</v>
      </c>
      <c r="F11" s="22">
        <f>IFERROR(E11*(1-$H$5/2),0)</f>
        <v>8.3659999999999997</v>
      </c>
      <c r="G11" s="22">
        <f>IFERROR(E11*(1+$H$5/2),0)</f>
        <v>10.433999999999999</v>
      </c>
      <c r="H11" s="22">
        <f>IFERROR(F11*$B$5,0)</f>
        <v>8366</v>
      </c>
      <c r="I11" s="22">
        <f>IFERROR(G11*$B$5,0)</f>
        <v>10434</v>
      </c>
      <c r="J11" s="21" t="s">
        <v>65</v>
      </c>
    </row>
    <row r="12" ht="13.5" customHeight="1">
      <c r="A12" s="24" t="s">
        <v>55</v>
      </c>
      <c r="B12" s="24" t="s">
        <v>66</v>
      </c>
      <c r="C12" s="25" t="s">
        <v>67</v>
      </c>
      <c r="D12" s="24" t="s">
        <v>58</v>
      </c>
      <c r="E12" s="26">
        <f>IFERROR('Rates Reference Table'!L9*$E$5,0)</f>
        <v>4.7000000000000002</v>
      </c>
      <c r="F12" s="26">
        <f>IFERROR(E12*(1-$H$5/2),0)</f>
        <v>4.1829999999999998</v>
      </c>
      <c r="G12" s="26">
        <f>IFERROR(E12*(1+$H$5/2),0)</f>
        <v>5.2169999999999996</v>
      </c>
      <c r="H12" s="26">
        <f>IFERROR(F12*$B$5,0)</f>
        <v>4183</v>
      </c>
      <c r="I12" s="26">
        <f>IFERROR(G12*$B$5,0)</f>
        <v>5217</v>
      </c>
      <c r="J12" s="25" t="s">
        <v>68</v>
      </c>
    </row>
    <row r="13" ht="15.75" customHeight="1">
      <c r="A13" s="37" t="s">
        <v>261</v>
      </c>
      <c r="B13" s="37"/>
      <c r="C13" s="37"/>
      <c r="D13" s="37"/>
      <c r="E13" s="37"/>
      <c r="F13" s="37"/>
      <c r="G13" s="37"/>
      <c r="H13" s="37"/>
      <c r="I13" s="37"/>
      <c r="J13" s="37"/>
    </row>
    <row r="14" ht="13.5" customHeight="1">
      <c r="A14" s="38" t="s">
        <v>70</v>
      </c>
      <c r="B14" s="38" t="s">
        <v>71</v>
      </c>
      <c r="C14" s="39" t="s">
        <v>72</v>
      </c>
      <c r="D14" s="38" t="s">
        <v>73</v>
      </c>
      <c r="E14" s="40" t="s">
        <v>262</v>
      </c>
      <c r="F14" s="40" t="s">
        <v>262</v>
      </c>
      <c r="G14" s="40" t="s">
        <v>262</v>
      </c>
      <c r="H14" s="41">
        <v>0</v>
      </c>
      <c r="I14" s="41">
        <v>0</v>
      </c>
      <c r="J14" s="39" t="s">
        <v>74</v>
      </c>
    </row>
    <row r="15" ht="13.5" customHeight="1">
      <c r="A15" s="38" t="s">
        <v>70</v>
      </c>
      <c r="B15" s="38" t="s">
        <v>75</v>
      </c>
      <c r="C15" s="39" t="s">
        <v>76</v>
      </c>
      <c r="D15" s="38" t="s">
        <v>73</v>
      </c>
      <c r="E15" s="40" t="s">
        <v>262</v>
      </c>
      <c r="F15" s="40" t="s">
        <v>262</v>
      </c>
      <c r="G15" s="40" t="s">
        <v>262</v>
      </c>
      <c r="H15" s="41">
        <v>0</v>
      </c>
      <c r="I15" s="41">
        <v>0</v>
      </c>
      <c r="J15" s="39" t="s">
        <v>77</v>
      </c>
    </row>
    <row r="16" ht="13.5" customHeight="1">
      <c r="A16" s="38" t="s">
        <v>70</v>
      </c>
      <c r="B16" s="38" t="s">
        <v>78</v>
      </c>
      <c r="C16" s="39" t="s">
        <v>79</v>
      </c>
      <c r="D16" s="38" t="s">
        <v>73</v>
      </c>
      <c r="E16" s="40" t="s">
        <v>262</v>
      </c>
      <c r="F16" s="40" t="s">
        <v>262</v>
      </c>
      <c r="G16" s="40" t="s">
        <v>262</v>
      </c>
      <c r="H16" s="41">
        <v>0</v>
      </c>
      <c r="I16" s="41">
        <v>0</v>
      </c>
      <c r="J16" s="39" t="s">
        <v>80</v>
      </c>
    </row>
    <row r="17" ht="13.5" customHeight="1">
      <c r="A17" s="38" t="s">
        <v>70</v>
      </c>
      <c r="B17" s="38" t="s">
        <v>81</v>
      </c>
      <c r="C17" s="39" t="s">
        <v>82</v>
      </c>
      <c r="D17" s="38" t="s">
        <v>58</v>
      </c>
      <c r="E17" s="40" t="s">
        <v>262</v>
      </c>
      <c r="F17" s="40" t="s">
        <v>262</v>
      </c>
      <c r="G17" s="40" t="s">
        <v>262</v>
      </c>
      <c r="H17" s="41">
        <v>0</v>
      </c>
      <c r="I17" s="41">
        <v>0</v>
      </c>
      <c r="J17" s="39" t="s">
        <v>83</v>
      </c>
    </row>
    <row r="18" ht="15.75" customHeight="1">
      <c r="A18" s="37" t="s">
        <v>263</v>
      </c>
      <c r="B18" s="37"/>
      <c r="C18" s="37"/>
      <c r="D18" s="37"/>
      <c r="E18" s="37"/>
      <c r="F18" s="37"/>
      <c r="G18" s="37"/>
      <c r="H18" s="37"/>
      <c r="I18" s="37"/>
      <c r="J18" s="37"/>
    </row>
    <row r="19" ht="13.5" customHeight="1">
      <c r="A19" s="38" t="s">
        <v>85</v>
      </c>
      <c r="B19" s="38" t="s">
        <v>86</v>
      </c>
      <c r="C19" s="39" t="s">
        <v>87</v>
      </c>
      <c r="D19" s="38" t="s">
        <v>73</v>
      </c>
      <c r="E19" s="40" t="s">
        <v>262</v>
      </c>
      <c r="F19" s="40" t="s">
        <v>262</v>
      </c>
      <c r="G19" s="40" t="s">
        <v>262</v>
      </c>
      <c r="H19" s="41">
        <v>0</v>
      </c>
      <c r="I19" s="41">
        <v>0</v>
      </c>
      <c r="J19" s="39" t="s">
        <v>88</v>
      </c>
    </row>
    <row r="20" ht="13.5" customHeight="1">
      <c r="A20" s="38" t="s">
        <v>85</v>
      </c>
      <c r="B20" s="38" t="s">
        <v>89</v>
      </c>
      <c r="C20" s="39" t="s">
        <v>90</v>
      </c>
      <c r="D20" s="38" t="s">
        <v>73</v>
      </c>
      <c r="E20" s="40" t="s">
        <v>262</v>
      </c>
      <c r="F20" s="40" t="s">
        <v>262</v>
      </c>
      <c r="G20" s="40" t="s">
        <v>262</v>
      </c>
      <c r="H20" s="41">
        <v>0</v>
      </c>
      <c r="I20" s="41">
        <v>0</v>
      </c>
      <c r="J20" s="39" t="s">
        <v>91</v>
      </c>
    </row>
    <row r="21" ht="13.5" customHeight="1">
      <c r="A21" s="38" t="s">
        <v>85</v>
      </c>
      <c r="B21" s="38" t="s">
        <v>92</v>
      </c>
      <c r="C21" s="39" t="s">
        <v>93</v>
      </c>
      <c r="D21" s="38" t="s">
        <v>73</v>
      </c>
      <c r="E21" s="40" t="s">
        <v>262</v>
      </c>
      <c r="F21" s="40" t="s">
        <v>262</v>
      </c>
      <c r="G21" s="40" t="s">
        <v>262</v>
      </c>
      <c r="H21" s="41">
        <v>0</v>
      </c>
      <c r="I21" s="41">
        <v>0</v>
      </c>
      <c r="J21" s="39" t="s">
        <v>94</v>
      </c>
    </row>
    <row r="22" ht="13.5" customHeight="1">
      <c r="A22" s="38" t="s">
        <v>85</v>
      </c>
      <c r="B22" s="38" t="s">
        <v>95</v>
      </c>
      <c r="C22" s="39" t="s">
        <v>96</v>
      </c>
      <c r="D22" s="38" t="s">
        <v>58</v>
      </c>
      <c r="E22" s="40" t="s">
        <v>262</v>
      </c>
      <c r="F22" s="40" t="s">
        <v>262</v>
      </c>
      <c r="G22" s="40" t="s">
        <v>262</v>
      </c>
      <c r="H22" s="41">
        <v>0</v>
      </c>
      <c r="I22" s="41">
        <v>0</v>
      </c>
      <c r="J22" s="39" t="s">
        <v>97</v>
      </c>
    </row>
    <row r="23" ht="13.5" customHeight="1">
      <c r="A23" s="38" t="s">
        <v>85</v>
      </c>
      <c r="B23" s="38" t="s">
        <v>98</v>
      </c>
      <c r="C23" s="39" t="s">
        <v>99</v>
      </c>
      <c r="D23" s="38" t="s">
        <v>73</v>
      </c>
      <c r="E23" s="40" t="s">
        <v>262</v>
      </c>
      <c r="F23" s="40" t="s">
        <v>262</v>
      </c>
      <c r="G23" s="40" t="s">
        <v>262</v>
      </c>
      <c r="H23" s="41">
        <v>0</v>
      </c>
      <c r="I23" s="41">
        <v>0</v>
      </c>
      <c r="J23" s="39" t="s">
        <v>100</v>
      </c>
    </row>
    <row r="24" ht="13.5" customHeight="1">
      <c r="A24" s="38" t="s">
        <v>85</v>
      </c>
      <c r="B24" s="38" t="s">
        <v>101</v>
      </c>
      <c r="C24" s="39" t="s">
        <v>102</v>
      </c>
      <c r="D24" s="38" t="s">
        <v>73</v>
      </c>
      <c r="E24" s="40" t="s">
        <v>262</v>
      </c>
      <c r="F24" s="40" t="s">
        <v>262</v>
      </c>
      <c r="G24" s="40" t="s">
        <v>262</v>
      </c>
      <c r="H24" s="41">
        <v>0</v>
      </c>
      <c r="I24" s="41">
        <v>0</v>
      </c>
      <c r="J24" s="39" t="s">
        <v>103</v>
      </c>
    </row>
    <row r="25" ht="13.5" customHeight="1">
      <c r="A25" s="38" t="s">
        <v>85</v>
      </c>
      <c r="B25" s="38" t="s">
        <v>104</v>
      </c>
      <c r="C25" s="39" t="s">
        <v>105</v>
      </c>
      <c r="D25" s="38" t="s">
        <v>73</v>
      </c>
      <c r="E25" s="40" t="s">
        <v>262</v>
      </c>
      <c r="F25" s="40" t="s">
        <v>262</v>
      </c>
      <c r="G25" s="40" t="s">
        <v>262</v>
      </c>
      <c r="H25" s="41">
        <v>0</v>
      </c>
      <c r="I25" s="41">
        <v>0</v>
      </c>
      <c r="J25" s="39" t="s">
        <v>106</v>
      </c>
    </row>
    <row r="26" ht="13.5" customHeight="1">
      <c r="A26" s="38" t="s">
        <v>85</v>
      </c>
      <c r="B26" s="38" t="s">
        <v>107</v>
      </c>
      <c r="C26" s="39" t="s">
        <v>108</v>
      </c>
      <c r="D26" s="38" t="s">
        <v>109</v>
      </c>
      <c r="E26" s="40" t="s">
        <v>262</v>
      </c>
      <c r="F26" s="40" t="s">
        <v>262</v>
      </c>
      <c r="G26" s="40" t="s">
        <v>262</v>
      </c>
      <c r="H26" s="41">
        <v>0</v>
      </c>
      <c r="I26" s="41">
        <v>0</v>
      </c>
      <c r="J26" s="39" t="s">
        <v>110</v>
      </c>
    </row>
    <row r="27" ht="15.75" customHeight="1">
      <c r="A27" s="37" t="s">
        <v>264</v>
      </c>
      <c r="B27" s="37"/>
      <c r="C27" s="37"/>
      <c r="D27" s="37"/>
      <c r="E27" s="37"/>
      <c r="F27" s="37"/>
      <c r="G27" s="37"/>
      <c r="H27" s="37"/>
      <c r="I27" s="37"/>
      <c r="J27" s="37"/>
    </row>
    <row r="28" ht="13.5" customHeight="1">
      <c r="A28" s="38" t="s">
        <v>112</v>
      </c>
      <c r="B28" s="38" t="s">
        <v>113</v>
      </c>
      <c r="C28" s="39" t="s">
        <v>114</v>
      </c>
      <c r="D28" s="38" t="s">
        <v>73</v>
      </c>
      <c r="E28" s="40" t="s">
        <v>262</v>
      </c>
      <c r="F28" s="40" t="s">
        <v>262</v>
      </c>
      <c r="G28" s="40" t="s">
        <v>262</v>
      </c>
      <c r="H28" s="41">
        <v>0</v>
      </c>
      <c r="I28" s="41">
        <v>0</v>
      </c>
      <c r="J28" s="39" t="s">
        <v>115</v>
      </c>
    </row>
    <row r="29" ht="13.5" customHeight="1">
      <c r="A29" s="38" t="s">
        <v>112</v>
      </c>
      <c r="B29" s="38" t="s">
        <v>116</v>
      </c>
      <c r="C29" s="39" t="s">
        <v>117</v>
      </c>
      <c r="D29" s="38" t="s">
        <v>73</v>
      </c>
      <c r="E29" s="40" t="s">
        <v>262</v>
      </c>
      <c r="F29" s="40" t="s">
        <v>262</v>
      </c>
      <c r="G29" s="40" t="s">
        <v>262</v>
      </c>
      <c r="H29" s="41">
        <v>0</v>
      </c>
      <c r="I29" s="41">
        <v>0</v>
      </c>
      <c r="J29" s="39" t="s">
        <v>118</v>
      </c>
    </row>
    <row r="30" ht="13.5" customHeight="1">
      <c r="A30" s="38" t="s">
        <v>112</v>
      </c>
      <c r="B30" s="38" t="s">
        <v>119</v>
      </c>
      <c r="C30" s="39" t="s">
        <v>120</v>
      </c>
      <c r="D30" s="38" t="s">
        <v>73</v>
      </c>
      <c r="E30" s="40" t="s">
        <v>262</v>
      </c>
      <c r="F30" s="40" t="s">
        <v>262</v>
      </c>
      <c r="G30" s="40" t="s">
        <v>262</v>
      </c>
      <c r="H30" s="41">
        <v>0</v>
      </c>
      <c r="I30" s="41">
        <v>0</v>
      </c>
      <c r="J30" s="39" t="s">
        <v>121</v>
      </c>
    </row>
    <row r="31" ht="15.75" customHeight="1">
      <c r="A31" s="37" t="s">
        <v>265</v>
      </c>
      <c r="B31" s="37"/>
      <c r="C31" s="37"/>
      <c r="D31" s="37"/>
      <c r="E31" s="37"/>
      <c r="F31" s="37"/>
      <c r="G31" s="37"/>
      <c r="H31" s="37"/>
      <c r="I31" s="37"/>
      <c r="J31" s="37"/>
    </row>
    <row r="32" ht="13.5" customHeight="1">
      <c r="A32" s="38" t="s">
        <v>123</v>
      </c>
      <c r="B32" s="38" t="s">
        <v>124</v>
      </c>
      <c r="C32" s="39" t="s">
        <v>125</v>
      </c>
      <c r="D32" s="38" t="s">
        <v>58</v>
      </c>
      <c r="E32" s="40" t="s">
        <v>262</v>
      </c>
      <c r="F32" s="40" t="s">
        <v>262</v>
      </c>
      <c r="G32" s="40" t="s">
        <v>262</v>
      </c>
      <c r="H32" s="41">
        <v>0</v>
      </c>
      <c r="I32" s="41">
        <v>0</v>
      </c>
      <c r="J32" s="39" t="s">
        <v>126</v>
      </c>
    </row>
    <row r="33" ht="13.5" customHeight="1">
      <c r="A33" s="38" t="s">
        <v>123</v>
      </c>
      <c r="B33" s="38" t="s">
        <v>127</v>
      </c>
      <c r="C33" s="39" t="s">
        <v>128</v>
      </c>
      <c r="D33" s="38" t="s">
        <v>109</v>
      </c>
      <c r="E33" s="40" t="s">
        <v>262</v>
      </c>
      <c r="F33" s="40" t="s">
        <v>262</v>
      </c>
      <c r="G33" s="40" t="s">
        <v>262</v>
      </c>
      <c r="H33" s="41">
        <v>0</v>
      </c>
      <c r="I33" s="41">
        <v>0</v>
      </c>
      <c r="J33" s="39" t="s">
        <v>129</v>
      </c>
    </row>
    <row r="34" ht="13.5" customHeight="1">
      <c r="A34" s="38" t="s">
        <v>123</v>
      </c>
      <c r="B34" s="38" t="s">
        <v>130</v>
      </c>
      <c r="C34" s="39" t="s">
        <v>131</v>
      </c>
      <c r="D34" s="38" t="s">
        <v>58</v>
      </c>
      <c r="E34" s="40" t="s">
        <v>262</v>
      </c>
      <c r="F34" s="40" t="s">
        <v>262</v>
      </c>
      <c r="G34" s="40" t="s">
        <v>262</v>
      </c>
      <c r="H34" s="41">
        <v>0</v>
      </c>
      <c r="I34" s="41">
        <v>0</v>
      </c>
      <c r="J34" s="39" t="s">
        <v>132</v>
      </c>
    </row>
    <row r="35" ht="13.5" customHeight="1">
      <c r="A35" s="38" t="s">
        <v>123</v>
      </c>
      <c r="B35" s="38" t="s">
        <v>133</v>
      </c>
      <c r="C35" s="39" t="s">
        <v>134</v>
      </c>
      <c r="D35" s="38" t="s">
        <v>58</v>
      </c>
      <c r="E35" s="40" t="s">
        <v>262</v>
      </c>
      <c r="F35" s="40" t="s">
        <v>262</v>
      </c>
      <c r="G35" s="40" t="s">
        <v>262</v>
      </c>
      <c r="H35" s="41">
        <v>0</v>
      </c>
      <c r="I35" s="41">
        <v>0</v>
      </c>
      <c r="J35" s="39" t="s">
        <v>135</v>
      </c>
    </row>
    <row r="36" ht="15.75" customHeight="1">
      <c r="A36" s="37" t="s">
        <v>266</v>
      </c>
      <c r="B36" s="37"/>
      <c r="C36" s="37"/>
      <c r="D36" s="37"/>
      <c r="E36" s="37"/>
      <c r="F36" s="37"/>
      <c r="G36" s="37"/>
      <c r="H36" s="37"/>
      <c r="I36" s="37"/>
      <c r="J36" s="37"/>
    </row>
    <row r="37" ht="13.5" customHeight="1">
      <c r="A37" s="38" t="s">
        <v>137</v>
      </c>
      <c r="B37" s="38" t="s">
        <v>138</v>
      </c>
      <c r="C37" s="39" t="s">
        <v>139</v>
      </c>
      <c r="D37" s="38" t="s">
        <v>73</v>
      </c>
      <c r="E37" s="40" t="s">
        <v>262</v>
      </c>
      <c r="F37" s="40" t="s">
        <v>262</v>
      </c>
      <c r="G37" s="40" t="s">
        <v>262</v>
      </c>
      <c r="H37" s="41">
        <v>0</v>
      </c>
      <c r="I37" s="41">
        <v>0</v>
      </c>
      <c r="J37" s="39" t="s">
        <v>140</v>
      </c>
    </row>
    <row r="38" ht="13.5" customHeight="1">
      <c r="A38" s="38" t="s">
        <v>137</v>
      </c>
      <c r="B38" s="38" t="s">
        <v>141</v>
      </c>
      <c r="C38" s="39" t="s">
        <v>142</v>
      </c>
      <c r="D38" s="38" t="s">
        <v>73</v>
      </c>
      <c r="E38" s="40" t="s">
        <v>262</v>
      </c>
      <c r="F38" s="40" t="s">
        <v>262</v>
      </c>
      <c r="G38" s="40" t="s">
        <v>262</v>
      </c>
      <c r="H38" s="41">
        <v>0</v>
      </c>
      <c r="I38" s="41">
        <v>0</v>
      </c>
      <c r="J38" s="39" t="s">
        <v>143</v>
      </c>
    </row>
    <row r="39" ht="13.5" customHeight="1">
      <c r="A39" s="38" t="s">
        <v>137</v>
      </c>
      <c r="B39" s="38" t="s">
        <v>144</v>
      </c>
      <c r="C39" s="39" t="s">
        <v>145</v>
      </c>
      <c r="D39" s="38" t="s">
        <v>73</v>
      </c>
      <c r="E39" s="40" t="s">
        <v>262</v>
      </c>
      <c r="F39" s="40" t="s">
        <v>262</v>
      </c>
      <c r="G39" s="40" t="s">
        <v>262</v>
      </c>
      <c r="H39" s="41">
        <v>0</v>
      </c>
      <c r="I39" s="41">
        <v>0</v>
      </c>
      <c r="J39" s="39" t="s">
        <v>146</v>
      </c>
    </row>
    <row r="40" ht="13.5" customHeight="1">
      <c r="A40" s="38" t="s">
        <v>137</v>
      </c>
      <c r="B40" s="38" t="s">
        <v>147</v>
      </c>
      <c r="C40" s="39" t="s">
        <v>148</v>
      </c>
      <c r="D40" s="38" t="s">
        <v>73</v>
      </c>
      <c r="E40" s="40" t="s">
        <v>262</v>
      </c>
      <c r="F40" s="40" t="s">
        <v>262</v>
      </c>
      <c r="G40" s="40" t="s">
        <v>262</v>
      </c>
      <c r="H40" s="41">
        <v>0</v>
      </c>
      <c r="I40" s="41">
        <v>0</v>
      </c>
      <c r="J40" s="39" t="s">
        <v>149</v>
      </c>
    </row>
    <row r="41" ht="13.5" customHeight="1">
      <c r="A41" s="38" t="s">
        <v>137</v>
      </c>
      <c r="B41" s="38" t="s">
        <v>150</v>
      </c>
      <c r="C41" s="39" t="s">
        <v>151</v>
      </c>
      <c r="D41" s="38" t="s">
        <v>58</v>
      </c>
      <c r="E41" s="40" t="s">
        <v>262</v>
      </c>
      <c r="F41" s="40" t="s">
        <v>262</v>
      </c>
      <c r="G41" s="40" t="s">
        <v>262</v>
      </c>
      <c r="H41" s="41">
        <v>0</v>
      </c>
      <c r="I41" s="41">
        <v>0</v>
      </c>
      <c r="J41" s="39" t="s">
        <v>152</v>
      </c>
    </row>
    <row r="42" ht="13.5" customHeight="1">
      <c r="A42" s="38" t="s">
        <v>137</v>
      </c>
      <c r="B42" s="38" t="s">
        <v>153</v>
      </c>
      <c r="C42" s="39" t="s">
        <v>154</v>
      </c>
      <c r="D42" s="38" t="s">
        <v>73</v>
      </c>
      <c r="E42" s="40" t="s">
        <v>262</v>
      </c>
      <c r="F42" s="40" t="s">
        <v>262</v>
      </c>
      <c r="G42" s="40" t="s">
        <v>262</v>
      </c>
      <c r="H42" s="41">
        <v>0</v>
      </c>
      <c r="I42" s="41">
        <v>0</v>
      </c>
      <c r="J42" s="39" t="s">
        <v>155</v>
      </c>
    </row>
    <row r="43" ht="13.5" customHeight="1">
      <c r="A43" s="38" t="s">
        <v>137</v>
      </c>
      <c r="B43" s="38" t="s">
        <v>156</v>
      </c>
      <c r="C43" s="39" t="s">
        <v>157</v>
      </c>
      <c r="D43" s="38" t="s">
        <v>73</v>
      </c>
      <c r="E43" s="40" t="s">
        <v>262</v>
      </c>
      <c r="F43" s="40" t="s">
        <v>262</v>
      </c>
      <c r="G43" s="40" t="s">
        <v>262</v>
      </c>
      <c r="H43" s="41">
        <v>0</v>
      </c>
      <c r="I43" s="41">
        <v>0</v>
      </c>
      <c r="J43" s="39" t="s">
        <v>158</v>
      </c>
    </row>
    <row r="44" ht="13.5" customHeight="1">
      <c r="A44" s="38" t="s">
        <v>137</v>
      </c>
      <c r="B44" s="38" t="s">
        <v>159</v>
      </c>
      <c r="C44" s="39" t="s">
        <v>160</v>
      </c>
      <c r="D44" s="38" t="s">
        <v>73</v>
      </c>
      <c r="E44" s="40" t="s">
        <v>262</v>
      </c>
      <c r="F44" s="40" t="s">
        <v>262</v>
      </c>
      <c r="G44" s="40" t="s">
        <v>262</v>
      </c>
      <c r="H44" s="41">
        <v>0</v>
      </c>
      <c r="I44" s="41">
        <v>0</v>
      </c>
      <c r="J44" s="39" t="s">
        <v>161</v>
      </c>
    </row>
    <row r="45" ht="13.5" customHeight="1">
      <c r="A45" s="38" t="s">
        <v>137</v>
      </c>
      <c r="B45" s="38" t="s">
        <v>162</v>
      </c>
      <c r="C45" s="39" t="s">
        <v>163</v>
      </c>
      <c r="D45" s="38" t="s">
        <v>73</v>
      </c>
      <c r="E45" s="40" t="s">
        <v>262</v>
      </c>
      <c r="F45" s="40" t="s">
        <v>262</v>
      </c>
      <c r="G45" s="40" t="s">
        <v>262</v>
      </c>
      <c r="H45" s="41">
        <v>0</v>
      </c>
      <c r="I45" s="41">
        <v>0</v>
      </c>
      <c r="J45" s="39" t="s">
        <v>164</v>
      </c>
    </row>
    <row r="46" ht="13.5" customHeight="1">
      <c r="A46" s="38" t="s">
        <v>137</v>
      </c>
      <c r="B46" s="38" t="s">
        <v>165</v>
      </c>
      <c r="C46" s="39" t="s">
        <v>166</v>
      </c>
      <c r="D46" s="38" t="s">
        <v>58</v>
      </c>
      <c r="E46" s="40" t="s">
        <v>262</v>
      </c>
      <c r="F46" s="40" t="s">
        <v>262</v>
      </c>
      <c r="G46" s="40" t="s">
        <v>262</v>
      </c>
      <c r="H46" s="41">
        <v>0</v>
      </c>
      <c r="I46" s="41">
        <v>0</v>
      </c>
      <c r="J46" s="39" t="s">
        <v>167</v>
      </c>
    </row>
    <row r="47" ht="13.5" customHeight="1">
      <c r="A47" s="38" t="s">
        <v>137</v>
      </c>
      <c r="B47" s="38" t="s">
        <v>168</v>
      </c>
      <c r="C47" s="39" t="s">
        <v>169</v>
      </c>
      <c r="D47" s="38" t="s">
        <v>170</v>
      </c>
      <c r="E47" s="40" t="s">
        <v>262</v>
      </c>
      <c r="F47" s="40" t="s">
        <v>262</v>
      </c>
      <c r="G47" s="40" t="s">
        <v>262</v>
      </c>
      <c r="H47" s="41">
        <v>0</v>
      </c>
      <c r="I47" s="41">
        <v>0</v>
      </c>
      <c r="J47" s="39" t="s">
        <v>171</v>
      </c>
    </row>
    <row r="48" ht="13.5" customHeight="1">
      <c r="A48" s="38" t="s">
        <v>137</v>
      </c>
      <c r="B48" s="38" t="s">
        <v>172</v>
      </c>
      <c r="C48" s="39" t="s">
        <v>173</v>
      </c>
      <c r="D48" s="38" t="s">
        <v>109</v>
      </c>
      <c r="E48" s="40" t="s">
        <v>262</v>
      </c>
      <c r="F48" s="40" t="s">
        <v>262</v>
      </c>
      <c r="G48" s="40" t="s">
        <v>262</v>
      </c>
      <c r="H48" s="41">
        <v>0</v>
      </c>
      <c r="I48" s="41">
        <v>0</v>
      </c>
      <c r="J48" s="39" t="s">
        <v>174</v>
      </c>
    </row>
    <row r="49" ht="13.5" customHeight="1">
      <c r="A49" s="38" t="s">
        <v>137</v>
      </c>
      <c r="B49" s="38" t="s">
        <v>175</v>
      </c>
      <c r="C49" s="39" t="s">
        <v>176</v>
      </c>
      <c r="D49" s="38" t="s">
        <v>73</v>
      </c>
      <c r="E49" s="40" t="s">
        <v>262</v>
      </c>
      <c r="F49" s="40" t="s">
        <v>262</v>
      </c>
      <c r="G49" s="40" t="s">
        <v>262</v>
      </c>
      <c r="H49" s="41">
        <v>0</v>
      </c>
      <c r="I49" s="41">
        <v>0</v>
      </c>
      <c r="J49" s="39" t="s">
        <v>177</v>
      </c>
    </row>
    <row r="50" ht="13.5" customHeight="1">
      <c r="A50" s="38" t="s">
        <v>137</v>
      </c>
      <c r="B50" s="38" t="s">
        <v>178</v>
      </c>
      <c r="C50" s="39" t="s">
        <v>179</v>
      </c>
      <c r="D50" s="38" t="s">
        <v>58</v>
      </c>
      <c r="E50" s="40" t="s">
        <v>262</v>
      </c>
      <c r="F50" s="40" t="s">
        <v>262</v>
      </c>
      <c r="G50" s="40" t="s">
        <v>262</v>
      </c>
      <c r="H50" s="41">
        <v>0</v>
      </c>
      <c r="I50" s="41">
        <v>0</v>
      </c>
      <c r="J50" s="39" t="s">
        <v>180</v>
      </c>
    </row>
    <row r="51" ht="13.5" customHeight="1">
      <c r="A51" s="38" t="s">
        <v>137</v>
      </c>
      <c r="B51" s="38" t="s">
        <v>181</v>
      </c>
      <c r="C51" s="39" t="s">
        <v>182</v>
      </c>
      <c r="D51" s="38" t="s">
        <v>73</v>
      </c>
      <c r="E51" s="40" t="s">
        <v>262</v>
      </c>
      <c r="F51" s="40" t="s">
        <v>262</v>
      </c>
      <c r="G51" s="40" t="s">
        <v>262</v>
      </c>
      <c r="H51" s="41">
        <v>0</v>
      </c>
      <c r="I51" s="41">
        <v>0</v>
      </c>
      <c r="J51" s="39" t="s">
        <v>183</v>
      </c>
    </row>
    <row r="52" ht="13.5" customHeight="1">
      <c r="A52" s="38" t="s">
        <v>137</v>
      </c>
      <c r="B52" s="38" t="s">
        <v>184</v>
      </c>
      <c r="C52" s="39" t="s">
        <v>185</v>
      </c>
      <c r="D52" s="38" t="s">
        <v>109</v>
      </c>
      <c r="E52" s="40" t="s">
        <v>262</v>
      </c>
      <c r="F52" s="40" t="s">
        <v>262</v>
      </c>
      <c r="G52" s="40" t="s">
        <v>262</v>
      </c>
      <c r="H52" s="41">
        <v>0</v>
      </c>
      <c r="I52" s="41">
        <v>0</v>
      </c>
      <c r="J52" s="39" t="s">
        <v>186</v>
      </c>
    </row>
    <row r="53" ht="13.5" customHeight="1">
      <c r="A53" s="38" t="s">
        <v>137</v>
      </c>
      <c r="B53" s="38" t="s">
        <v>187</v>
      </c>
      <c r="C53" s="39" t="s">
        <v>188</v>
      </c>
      <c r="D53" s="38" t="s">
        <v>73</v>
      </c>
      <c r="E53" s="40" t="s">
        <v>262</v>
      </c>
      <c r="F53" s="40" t="s">
        <v>262</v>
      </c>
      <c r="G53" s="40" t="s">
        <v>262</v>
      </c>
      <c r="H53" s="41">
        <v>0</v>
      </c>
      <c r="I53" s="41">
        <v>0</v>
      </c>
      <c r="J53" s="39" t="s">
        <v>189</v>
      </c>
    </row>
    <row r="54" ht="15.75" customHeight="1">
      <c r="A54" s="37" t="s">
        <v>267</v>
      </c>
      <c r="B54" s="37"/>
      <c r="C54" s="37"/>
      <c r="D54" s="37"/>
      <c r="E54" s="37"/>
      <c r="F54" s="37"/>
      <c r="G54" s="37"/>
      <c r="H54" s="37"/>
      <c r="I54" s="37"/>
      <c r="J54" s="37"/>
    </row>
    <row r="55" ht="13.5" customHeight="1">
      <c r="A55" s="38" t="s">
        <v>191</v>
      </c>
      <c r="B55" s="38" t="s">
        <v>192</v>
      </c>
      <c r="C55" s="39" t="s">
        <v>193</v>
      </c>
      <c r="D55" s="38" t="s">
        <v>58</v>
      </c>
      <c r="E55" s="40" t="s">
        <v>262</v>
      </c>
      <c r="F55" s="40" t="s">
        <v>262</v>
      </c>
      <c r="G55" s="40" t="s">
        <v>262</v>
      </c>
      <c r="H55" s="41">
        <v>0</v>
      </c>
      <c r="I55" s="41">
        <v>0</v>
      </c>
      <c r="J55" s="39" t="s">
        <v>194</v>
      </c>
    </row>
    <row r="56" ht="13.5" customHeight="1">
      <c r="A56" s="38" t="s">
        <v>191</v>
      </c>
      <c r="B56" s="38" t="s">
        <v>195</v>
      </c>
      <c r="C56" s="39" t="s">
        <v>196</v>
      </c>
      <c r="D56" s="38" t="s">
        <v>58</v>
      </c>
      <c r="E56" s="40" t="s">
        <v>262</v>
      </c>
      <c r="F56" s="40" t="s">
        <v>262</v>
      </c>
      <c r="G56" s="40" t="s">
        <v>262</v>
      </c>
      <c r="H56" s="41">
        <v>0</v>
      </c>
      <c r="I56" s="41">
        <v>0</v>
      </c>
      <c r="J56" s="39" t="s">
        <v>197</v>
      </c>
    </row>
    <row r="57" ht="15.75" customHeight="1">
      <c r="A57" s="37" t="s">
        <v>268</v>
      </c>
      <c r="B57" s="37"/>
      <c r="C57" s="37"/>
      <c r="D57" s="37"/>
      <c r="E57" s="37"/>
      <c r="F57" s="37"/>
      <c r="G57" s="37"/>
      <c r="H57" s="37"/>
      <c r="I57" s="37"/>
      <c r="J57" s="37"/>
    </row>
    <row r="58" ht="13.5" customHeight="1">
      <c r="A58" s="38" t="s">
        <v>199</v>
      </c>
      <c r="B58" s="38" t="s">
        <v>200</v>
      </c>
      <c r="C58" s="39" t="s">
        <v>201</v>
      </c>
      <c r="D58" s="38" t="s">
        <v>58</v>
      </c>
      <c r="E58" s="40" t="s">
        <v>262</v>
      </c>
      <c r="F58" s="40" t="s">
        <v>262</v>
      </c>
      <c r="G58" s="40" t="s">
        <v>262</v>
      </c>
      <c r="H58" s="41">
        <v>0</v>
      </c>
      <c r="I58" s="41">
        <v>0</v>
      </c>
      <c r="J58" s="39" t="s">
        <v>202</v>
      </c>
    </row>
    <row r="59" ht="13.5" customHeight="1">
      <c r="A59" s="38" t="s">
        <v>199</v>
      </c>
      <c r="B59" s="38" t="s">
        <v>203</v>
      </c>
      <c r="C59" s="39" t="s">
        <v>204</v>
      </c>
      <c r="D59" s="38" t="s">
        <v>58</v>
      </c>
      <c r="E59" s="40" t="s">
        <v>262</v>
      </c>
      <c r="F59" s="40" t="s">
        <v>262</v>
      </c>
      <c r="G59" s="40" t="s">
        <v>262</v>
      </c>
      <c r="H59" s="41">
        <v>0</v>
      </c>
      <c r="I59" s="41">
        <v>0</v>
      </c>
      <c r="J59" s="39" t="s">
        <v>205</v>
      </c>
    </row>
    <row r="60" ht="13.5" customHeight="1">
      <c r="A60" s="38" t="s">
        <v>199</v>
      </c>
      <c r="B60" s="38" t="s">
        <v>206</v>
      </c>
      <c r="C60" s="39" t="s">
        <v>207</v>
      </c>
      <c r="D60" s="38" t="s">
        <v>58</v>
      </c>
      <c r="E60" s="40" t="s">
        <v>262</v>
      </c>
      <c r="F60" s="40" t="s">
        <v>262</v>
      </c>
      <c r="G60" s="40" t="s">
        <v>262</v>
      </c>
      <c r="H60" s="41">
        <v>0</v>
      </c>
      <c r="I60" s="41">
        <v>0</v>
      </c>
      <c r="J60" s="39" t="s">
        <v>208</v>
      </c>
    </row>
    <row r="61" ht="13.5" customHeight="1">
      <c r="A61" s="38" t="s">
        <v>199</v>
      </c>
      <c r="B61" s="38" t="s">
        <v>209</v>
      </c>
      <c r="C61" s="39" t="s">
        <v>210</v>
      </c>
      <c r="D61" s="38" t="s">
        <v>58</v>
      </c>
      <c r="E61" s="40" t="s">
        <v>262</v>
      </c>
      <c r="F61" s="40" t="s">
        <v>262</v>
      </c>
      <c r="G61" s="40" t="s">
        <v>262</v>
      </c>
      <c r="H61" s="41">
        <v>0</v>
      </c>
      <c r="I61" s="41">
        <v>0</v>
      </c>
      <c r="J61" s="39" t="s">
        <v>211</v>
      </c>
    </row>
    <row r="62" ht="13.5" customHeight="1">
      <c r="A62" s="38" t="s">
        <v>199</v>
      </c>
      <c r="B62" s="38" t="s">
        <v>212</v>
      </c>
      <c r="C62" s="39" t="s">
        <v>213</v>
      </c>
      <c r="D62" s="38" t="s">
        <v>58</v>
      </c>
      <c r="E62" s="40" t="s">
        <v>262</v>
      </c>
      <c r="F62" s="40" t="s">
        <v>262</v>
      </c>
      <c r="G62" s="40" t="s">
        <v>262</v>
      </c>
      <c r="H62" s="41">
        <v>0</v>
      </c>
      <c r="I62" s="41">
        <v>0</v>
      </c>
      <c r="J62" s="39" t="s">
        <v>214</v>
      </c>
    </row>
    <row r="63" ht="15.75" customHeight="1">
      <c r="A63" s="36" t="s">
        <v>269</v>
      </c>
      <c r="B63" s="36"/>
      <c r="C63" s="36"/>
      <c r="D63" s="36"/>
      <c r="E63" s="36"/>
      <c r="F63" s="36"/>
      <c r="G63" s="36"/>
      <c r="H63" s="36"/>
      <c r="I63" s="36"/>
      <c r="J63" s="36"/>
    </row>
    <row r="64" ht="13.5" customHeight="1">
      <c r="A64" s="20" t="s">
        <v>216</v>
      </c>
      <c r="B64" s="20" t="s">
        <v>217</v>
      </c>
      <c r="C64" s="21" t="s">
        <v>218</v>
      </c>
      <c r="D64" s="20" t="s">
        <v>58</v>
      </c>
      <c r="E64" s="22">
        <f>IFERROR('Rates Reference Table'!L61*$E$5,0)</f>
        <v>9.4000000000000004</v>
      </c>
      <c r="F64" s="22">
        <f>IFERROR(E64*(1-$H$5/2),0)</f>
        <v>8.3659999999999997</v>
      </c>
      <c r="G64" s="22">
        <f>IFERROR(E64*(1+$H$5/2),0)</f>
        <v>10.433999999999999</v>
      </c>
      <c r="H64" s="22">
        <f>IFERROR(F64*$B$5,0)</f>
        <v>8366</v>
      </c>
      <c r="I64" s="22">
        <f>IFERROR(G64*$B$5,0)</f>
        <v>10434</v>
      </c>
      <c r="J64" s="21" t="s">
        <v>219</v>
      </c>
    </row>
    <row r="65" ht="13.5" customHeight="1">
      <c r="A65" s="24" t="s">
        <v>216</v>
      </c>
      <c r="B65" s="24" t="s">
        <v>220</v>
      </c>
      <c r="C65" s="25" t="s">
        <v>221</v>
      </c>
      <c r="D65" s="24" t="s">
        <v>73</v>
      </c>
      <c r="E65" s="26">
        <f>IFERROR('Rates Reference Table'!L62*$E$5,0)</f>
        <v>32.899999999999999</v>
      </c>
      <c r="F65" s="26">
        <f>IFERROR(E65*(1-$H$5/2),0)</f>
        <v>29.280999999999999</v>
      </c>
      <c r="G65" s="26">
        <f>IFERROR(E65*(1+$H$5/2),0)</f>
        <v>36.518999999999998</v>
      </c>
      <c r="H65" s="26">
        <f>IFERROR(F65*$B$5,0)</f>
        <v>29281</v>
      </c>
      <c r="I65" s="26">
        <f>IFERROR(G65*$B$5,0)</f>
        <v>36519</v>
      </c>
      <c r="J65" s="25" t="s">
        <v>222</v>
      </c>
    </row>
    <row r="66" ht="13.5" customHeight="1">
      <c r="A66" s="20" t="s">
        <v>216</v>
      </c>
      <c r="B66" s="20" t="s">
        <v>223</v>
      </c>
      <c r="C66" s="21" t="s">
        <v>224</v>
      </c>
      <c r="D66" s="20" t="s">
        <v>109</v>
      </c>
      <c r="E66" s="22">
        <f>IFERROR('Rates Reference Table'!L63*$E$5,0)</f>
        <v>18.800000000000001</v>
      </c>
      <c r="F66" s="22">
        <f>IFERROR(E66*(1-$H$5/2),0)</f>
        <v>16.731999999999999</v>
      </c>
      <c r="G66" s="22">
        <f>IFERROR(E66*(1+$H$5/2),0)</f>
        <v>20.867999999999999</v>
      </c>
      <c r="H66" s="22">
        <f>IFERROR(F66*$B$5,0)</f>
        <v>16732</v>
      </c>
      <c r="I66" s="22">
        <f>IFERROR(G66*$B$5,0)</f>
        <v>20868</v>
      </c>
      <c r="J66" s="21" t="s">
        <v>225</v>
      </c>
    </row>
    <row r="67" ht="13.5" customHeight="1">
      <c r="A67" s="24" t="s">
        <v>216</v>
      </c>
      <c r="B67" s="24" t="s">
        <v>226</v>
      </c>
      <c r="C67" s="25" t="s">
        <v>227</v>
      </c>
      <c r="D67" s="24" t="s">
        <v>58</v>
      </c>
      <c r="E67" s="26">
        <f>IFERROR('Rates Reference Table'!L64*$E$5,0)</f>
        <v>23.5</v>
      </c>
      <c r="F67" s="26">
        <f>IFERROR(E67*(1-$H$5/2),0)</f>
        <v>20.914999999999999</v>
      </c>
      <c r="G67" s="26">
        <f>IFERROR(E67*(1+$H$5/2),0)</f>
        <v>26.085000000000001</v>
      </c>
      <c r="H67" s="26">
        <f>IFERROR(F67*$B$5,0)</f>
        <v>20915</v>
      </c>
      <c r="I67" s="26">
        <f>IFERROR(G67*$B$5,0)</f>
        <v>26085</v>
      </c>
      <c r="J67" s="25" t="s">
        <v>228</v>
      </c>
    </row>
    <row r="68" ht="13.5" customHeight="1">
      <c r="A68" s="20" t="s">
        <v>216</v>
      </c>
      <c r="B68" s="20" t="s">
        <v>229</v>
      </c>
      <c r="C68" s="21" t="s">
        <v>230</v>
      </c>
      <c r="D68" s="20" t="s">
        <v>58</v>
      </c>
      <c r="E68" s="22">
        <f>IFERROR('Rates Reference Table'!L65*$E$5,0)</f>
        <v>14.1</v>
      </c>
      <c r="F68" s="22">
        <f>IFERROR(E68*(1-$H$5/2),0)</f>
        <v>12.548999999999999</v>
      </c>
      <c r="G68" s="22">
        <f>IFERROR(E68*(1+$H$5/2),0)</f>
        <v>15.651</v>
      </c>
      <c r="H68" s="22">
        <f>IFERROR(F68*$B$5,0)</f>
        <v>12549</v>
      </c>
      <c r="I68" s="22">
        <f>IFERROR(G68*$B$5,0)</f>
        <v>15651</v>
      </c>
      <c r="J68" s="21" t="s">
        <v>231</v>
      </c>
    </row>
    <row r="69" ht="13.5" customHeight="1">
      <c r="A69" s="24" t="s">
        <v>216</v>
      </c>
      <c r="B69" s="24" t="s">
        <v>232</v>
      </c>
      <c r="C69" s="25" t="s">
        <v>233</v>
      </c>
      <c r="D69" s="24" t="s">
        <v>58</v>
      </c>
      <c r="E69" s="26">
        <f>IFERROR('Rates Reference Table'!L66*$E$5,0)</f>
        <v>18.800000000000001</v>
      </c>
      <c r="F69" s="26">
        <f>IFERROR(E69*(1-$H$5/2),0)</f>
        <v>16.731999999999999</v>
      </c>
      <c r="G69" s="26">
        <f>IFERROR(E69*(1+$H$5/2),0)</f>
        <v>20.867999999999999</v>
      </c>
      <c r="H69" s="26">
        <f>IFERROR(F69*$B$5,0)</f>
        <v>16732</v>
      </c>
      <c r="I69" s="26">
        <f>IFERROR(G69*$B$5,0)</f>
        <v>20868</v>
      </c>
      <c r="J69" s="25" t="s">
        <v>234</v>
      </c>
    </row>
    <row r="70" ht="13.5" customHeight="1">
      <c r="A70" s="20" t="s">
        <v>216</v>
      </c>
      <c r="B70" s="20" t="s">
        <v>235</v>
      </c>
      <c r="C70" s="21" t="s">
        <v>236</v>
      </c>
      <c r="D70" s="20" t="s">
        <v>73</v>
      </c>
      <c r="E70" s="22">
        <f>IFERROR('Rates Reference Table'!L67*$E$5,0)</f>
        <v>14.1</v>
      </c>
      <c r="F70" s="22">
        <f>IFERROR(E70*(1-$H$5/2),0)</f>
        <v>12.548999999999999</v>
      </c>
      <c r="G70" s="22">
        <f>IFERROR(E70*(1+$H$5/2),0)</f>
        <v>15.651</v>
      </c>
      <c r="H70" s="22">
        <f>IFERROR(F70*$B$5,0)</f>
        <v>12549</v>
      </c>
      <c r="I70" s="22">
        <f>IFERROR(G70*$B$5,0)</f>
        <v>15651</v>
      </c>
      <c r="J70" s="21" t="s">
        <v>237</v>
      </c>
    </row>
    <row r="71" ht="13.5" customHeight="1">
      <c r="A71" s="24" t="s">
        <v>216</v>
      </c>
      <c r="B71" s="24" t="s">
        <v>238</v>
      </c>
      <c r="C71" s="25" t="s">
        <v>239</v>
      </c>
      <c r="D71" s="24" t="s">
        <v>58</v>
      </c>
      <c r="E71" s="26">
        <f>IFERROR('Rates Reference Table'!L68*$E$5,0)</f>
        <v>11.279999999999999</v>
      </c>
      <c r="F71" s="26">
        <f>IFERROR(E71*(1-$H$5/2),0)</f>
        <v>10.039199999999999</v>
      </c>
      <c r="G71" s="26">
        <f>IFERROR(E71*(1+$H$5/2),0)</f>
        <v>12.520799999999999</v>
      </c>
      <c r="H71" s="26">
        <f>IFERROR(F71*$B$5,0)</f>
        <v>10039.200000000001</v>
      </c>
      <c r="I71" s="26">
        <f>IFERROR(G71*$B$5,0)</f>
        <v>12520.799999999999</v>
      </c>
      <c r="J71" s="25" t="s">
        <v>240</v>
      </c>
    </row>
    <row r="72" ht="13.5" customHeight="1">
      <c r="A72" s="20" t="s">
        <v>216</v>
      </c>
      <c r="B72" s="20" t="s">
        <v>241</v>
      </c>
      <c r="C72" s="21" t="s">
        <v>166</v>
      </c>
      <c r="D72" s="20" t="s">
        <v>58</v>
      </c>
      <c r="E72" s="22">
        <f>IFERROR('Rates Reference Table'!L69*$E$5,0)</f>
        <v>9.4000000000000004</v>
      </c>
      <c r="F72" s="22">
        <f>IFERROR(E72*(1-$H$5/2),0)</f>
        <v>8.3659999999999997</v>
      </c>
      <c r="G72" s="22">
        <f>IFERROR(E72*(1+$H$5/2),0)</f>
        <v>10.433999999999999</v>
      </c>
      <c r="H72" s="22">
        <f>IFERROR(F72*$B$5,0)</f>
        <v>8366</v>
      </c>
      <c r="I72" s="22">
        <f>IFERROR(G72*$B$5,0)</f>
        <v>10434</v>
      </c>
      <c r="J72" s="21" t="s">
        <v>242</v>
      </c>
    </row>
    <row r="73" ht="18" customHeight="1">
      <c r="A73" s="42" t="s">
        <v>270</v>
      </c>
      <c r="B73" s="42"/>
      <c r="C73" s="42"/>
      <c r="D73" s="42"/>
      <c r="E73" s="42"/>
      <c r="F73" s="42"/>
      <c r="G73" s="42"/>
      <c r="H73" s="43">
        <f>SUMPRODUCT((H8:H72&gt;0)*H8:H72)</f>
        <v>152261.20000000001</v>
      </c>
      <c r="I73" s="43">
        <f>SUMPRODUCT((I8:I72&gt;0)*I8:I72)</f>
        <v>189898.79999999999</v>
      </c>
    </row>
    <row r="74" ht="7.5" customHeight="1"/>
    <row r="75" ht="15" customHeight="1">
      <c r="A75" s="44" t="s">
        <v>271</v>
      </c>
      <c r="B75" s="44"/>
      <c r="C75" s="44"/>
      <c r="D75" s="44"/>
      <c r="E75" s="44"/>
      <c r="F75" s="44"/>
      <c r="G75" s="44"/>
      <c r="H75" s="44"/>
      <c r="I75" s="44"/>
      <c r="J75" s="44"/>
    </row>
    <row r="76" ht="15" customHeight="1">
      <c r="A76" s="45" t="s">
        <v>272</v>
      </c>
      <c r="B76" s="45"/>
      <c r="C76" s="45"/>
      <c r="D76" s="45" t="s">
        <v>273</v>
      </c>
      <c r="E76" s="45" t="s">
        <v>274</v>
      </c>
      <c r="F76" s="45" t="s">
        <v>275</v>
      </c>
      <c r="G76" s="45" t="s">
        <v>276</v>
      </c>
      <c r="H76" s="45" t="s">
        <v>277</v>
      </c>
      <c r="I76" s="45" t="s">
        <v>278</v>
      </c>
      <c r="J76" s="45" t="s">
        <v>279</v>
      </c>
    </row>
    <row r="77" ht="15.75" customHeight="1">
      <c r="A77" s="20" t="s">
        <v>280</v>
      </c>
      <c r="B77" s="21"/>
      <c r="C77" s="21"/>
      <c r="D77" s="21" t="s">
        <v>281</v>
      </c>
      <c r="E77" s="20" t="s">
        <v>282</v>
      </c>
      <c r="F77" s="46">
        <v>0.080000000000000002</v>
      </c>
      <c r="G77" s="46">
        <v>0.10000000000000001</v>
      </c>
      <c r="H77" s="22">
        <f>IFERROR(F77*H73,0)</f>
        <v>12180.896000000001</v>
      </c>
      <c r="I77" s="22">
        <f>IFERROR(G77*I73,0)</f>
        <v>18989.880000000001</v>
      </c>
      <c r="J77" s="21" t="s">
        <v>283</v>
      </c>
    </row>
    <row r="78" ht="15.75" customHeight="1">
      <c r="A78" s="24" t="s">
        <v>284</v>
      </c>
      <c r="B78" s="25"/>
      <c r="C78" s="25"/>
      <c r="D78" s="25" t="s">
        <v>285</v>
      </c>
      <c r="E78" s="24" t="s">
        <v>282</v>
      </c>
      <c r="F78" s="47">
        <v>0.080000000000000002</v>
      </c>
      <c r="G78" s="47">
        <v>0.12</v>
      </c>
      <c r="H78" s="26">
        <f>IFERROR(F78*H73,0)</f>
        <v>12180.896000000001</v>
      </c>
      <c r="I78" s="26">
        <f>IFERROR(G78*I73,0)</f>
        <v>22787.856</v>
      </c>
      <c r="J78" s="25" t="s">
        <v>286</v>
      </c>
    </row>
    <row r="79" ht="18" customHeight="1">
      <c r="A79" s="42" t="s">
        <v>287</v>
      </c>
      <c r="B79" s="42"/>
      <c r="C79" s="42"/>
      <c r="D79" s="42"/>
      <c r="E79" s="42"/>
      <c r="F79" s="42"/>
      <c r="G79" s="42"/>
      <c r="H79" s="43">
        <f>H73+H77+H78</f>
        <v>176622.992</v>
      </c>
      <c r="I79" s="43">
        <f>I73+I77+I78</f>
        <v>231676.53599999999</v>
      </c>
    </row>
    <row r="80" ht="15.75" customHeight="1">
      <c r="A80" s="24" t="s">
        <v>288</v>
      </c>
      <c r="B80" s="25"/>
      <c r="C80" s="25"/>
      <c r="D80" s="25" t="s">
        <v>289</v>
      </c>
      <c r="E80" s="24" t="s">
        <v>290</v>
      </c>
      <c r="F80" s="47">
        <v>0.050000000000000003</v>
      </c>
      <c r="G80" s="47">
        <v>0.14999999999999999</v>
      </c>
      <c r="H80" s="26">
        <f>IFERROR(F80*H79,0)</f>
        <v>8831.1496000000006</v>
      </c>
      <c r="I80" s="26">
        <f>IFERROR(G80*I79,0)</f>
        <v>34751.4804</v>
      </c>
      <c r="J80" s="25" t="s">
        <v>291</v>
      </c>
    </row>
    <row r="81" ht="15.75" customHeight="1">
      <c r="A81" s="20" t="s">
        <v>292</v>
      </c>
      <c r="B81" s="21"/>
      <c r="C81" s="21"/>
      <c r="D81" s="21" t="s">
        <v>293</v>
      </c>
      <c r="E81" s="20" t="s">
        <v>290</v>
      </c>
      <c r="F81" s="46">
        <v>0.02</v>
      </c>
      <c r="G81" s="46">
        <v>0.040000000000000001</v>
      </c>
      <c r="H81" s="22">
        <f>IFERROR(F81*H79,0)</f>
        <v>3532.45984</v>
      </c>
      <c r="I81" s="22">
        <f>IFERROR(G81*I79,0)</f>
        <v>9267.0614399999995</v>
      </c>
      <c r="J81" s="21" t="s">
        <v>294</v>
      </c>
    </row>
    <row r="82" ht="15.75" customHeight="1">
      <c r="A82" s="48" t="s">
        <v>295</v>
      </c>
      <c r="B82" s="49"/>
      <c r="C82" s="49"/>
      <c r="D82" s="49" t="s">
        <v>296</v>
      </c>
      <c r="E82" s="48" t="s">
        <v>282</v>
      </c>
      <c r="F82" s="50">
        <v>0.050000000000000003</v>
      </c>
      <c r="G82" s="50">
        <v>0.10000000000000001</v>
      </c>
      <c r="H82" s="51">
        <f>IFERROR(F82*H73,0)</f>
        <v>7613.0600000000004</v>
      </c>
      <c r="I82" s="51">
        <f>IFERROR(G82*I73,0)</f>
        <v>18989.880000000001</v>
      </c>
      <c r="J82" s="49" t="s">
        <v>297</v>
      </c>
    </row>
    <row r="83" ht="15.75" customHeight="1">
      <c r="A83" s="52" t="s">
        <v>298</v>
      </c>
      <c r="B83" s="53"/>
      <c r="C83" s="53"/>
      <c r="D83" s="53" t="s">
        <v>299</v>
      </c>
      <c r="E83" s="52" t="s">
        <v>282</v>
      </c>
      <c r="F83" s="54">
        <v>0.050000000000000003</v>
      </c>
      <c r="G83" s="54">
        <v>0.050000000000000003</v>
      </c>
      <c r="H83" s="55">
        <f>IFERROR(0.05*H73,0)</f>
        <v>7613.0600000000004</v>
      </c>
      <c r="I83" s="55">
        <f>IFERROR(0.05*I73,0)</f>
        <v>9494.9400000000005</v>
      </c>
      <c r="J83" s="53" t="s">
        <v>300</v>
      </c>
    </row>
    <row r="84" ht="15.75" customHeight="1">
      <c r="A84" s="24" t="s">
        <v>301</v>
      </c>
      <c r="B84" s="25"/>
      <c r="C84" s="25"/>
      <c r="D84" s="25" t="s">
        <v>302</v>
      </c>
      <c r="E84" s="24" t="s">
        <v>282</v>
      </c>
      <c r="F84" s="47">
        <v>0.02</v>
      </c>
      <c r="G84" s="47">
        <v>0.12</v>
      </c>
      <c r="H84" s="26">
        <f>IFERROR(F84*H73,0)</f>
        <v>3045.2240000000002</v>
      </c>
      <c r="I84" s="26">
        <f>IFERROR(G84*I73,0)</f>
        <v>22787.856</v>
      </c>
      <c r="J84" s="25" t="s">
        <v>303</v>
      </c>
    </row>
    <row r="85" ht="21.75" customHeight="1">
      <c r="A85" s="56" t="s">
        <v>304</v>
      </c>
      <c r="B85" s="56"/>
      <c r="C85" s="56"/>
      <c r="D85" s="56"/>
      <c r="E85" s="56"/>
      <c r="F85" s="56"/>
      <c r="G85" s="56"/>
      <c r="H85" s="57">
        <f>H79+H80+H81+H82+H83+H84</f>
        <v>207257.94544000001</v>
      </c>
      <c r="I85" s="57">
        <f>I79+I80+I81+I82+I83+I84</f>
        <v>326967.75384000002</v>
      </c>
    </row>
    <row r="86" ht="15.75" customHeight="1">
      <c r="A86" s="58" t="s">
        <v>305</v>
      </c>
      <c r="B86" s="59"/>
      <c r="C86" s="59"/>
      <c r="D86" s="59" t="s">
        <v>306</v>
      </c>
      <c r="E86" s="58" t="s">
        <v>307</v>
      </c>
      <c r="F86" s="60">
        <v>0.20000000000000001</v>
      </c>
      <c r="G86" s="60">
        <v>0.20000000000000001</v>
      </c>
      <c r="H86" s="61">
        <f>IFERROR(0.2*H85,0)</f>
        <v>41451.589088000001</v>
      </c>
      <c r="I86" s="61">
        <f>IFERROR(0.2*I85,0)</f>
        <v>65393.550768000001</v>
      </c>
      <c r="J86" s="59" t="s">
        <v>308</v>
      </c>
    </row>
    <row r="87" ht="7.5" customHeight="1"/>
    <row r="88" ht="15.75" customHeight="1">
      <c r="A88" s="62" t="s">
        <v>309</v>
      </c>
      <c r="B88" s="62"/>
      <c r="C88" s="62"/>
      <c r="D88" s="62"/>
      <c r="E88" s="63">
        <f>IFERROR(H73/$B$5,0)</f>
        <v>152.2612</v>
      </c>
      <c r="F88" s="64"/>
      <c r="G88" s="65">
        <f>IFERROR(I73/$B$5,0)</f>
        <v>189.89879999999999</v>
      </c>
      <c r="H88" s="64"/>
      <c r="I88" s="64"/>
      <c r="J88" s="64"/>
    </row>
    <row r="89" ht="7.5" customHeight="1"/>
    <row r="90" ht="27.75" customHeight="1">
      <c r="A90" s="66" t="s">
        <v>310</v>
      </c>
      <c r="B90" s="66"/>
      <c r="C90" s="66"/>
      <c r="D90" s="66"/>
      <c r="E90" s="66"/>
      <c r="F90" s="66"/>
      <c r="G90" s="66"/>
      <c r="H90" s="66"/>
      <c r="I90" s="66"/>
      <c r="J90" s="66"/>
    </row>
  </sheetData>
  <mergeCells count="17">
    <mergeCell ref="A1:I1"/>
    <mergeCell ref="A2:I2"/>
    <mergeCell ref="A8:J8"/>
    <mergeCell ref="A13:J13"/>
    <mergeCell ref="A18:J18"/>
    <mergeCell ref="A27:J27"/>
    <mergeCell ref="A31:J31"/>
    <mergeCell ref="A36:J36"/>
    <mergeCell ref="A54:J54"/>
    <mergeCell ref="A57:J57"/>
    <mergeCell ref="A63:J63"/>
    <mergeCell ref="A73:G73"/>
    <mergeCell ref="A75:J75"/>
    <mergeCell ref="A79:G79"/>
    <mergeCell ref="A85:G85"/>
    <mergeCell ref="A88:D88"/>
    <mergeCell ref="A90:J90"/>
  </mergeCells>
  <pageMargins left="0.75" right="0.75" top="1" bottom="1" header="0.5118055" footer="0.5118055"/>
  <pageSetup paperSize="9" orientation="portrait" horizontalDpi="300" verticalDpi="300"/>
</worksheet>
</file>

<file path=xl/worksheets/sheet11.xml><?xml version="1.0" encoding="utf-8"?>
<worksheet xmlns:r="http://schemas.openxmlformats.org/officeDocument/2006/relationships" xmlns="http://schemas.openxmlformats.org/spreadsheetml/2006/main">
  <sheetViews>
    <sheetView showGridLines="0" zoomScaleNormal="100" zoomScalePageLayoutView="100" workbookViewId="0">
      <selection activeCell="A1" sqref="A1:D1"/>
    </sheetView>
  </sheetViews>
  <sheetFormatPr defaultColWidth="8.710938" defaultRowHeight="15"/>
  <cols>
    <col min="1" max="1" width="35" style="1" customWidth="1"/>
    <col min="2" max="3" width="16" style="1" customWidth="1"/>
    <col min="4" max="4" width="55" style="1" customWidth="1"/>
  </cols>
  <sheetData>
    <row r="1" ht="21.75" customHeight="1">
      <c r="A1" s="29" t="s">
        <v>333</v>
      </c>
      <c r="B1" s="29"/>
      <c r="C1" s="29"/>
      <c r="D1" s="29"/>
    </row>
    <row r="2" ht="18" customHeight="1">
      <c r="A2" s="67" t="s">
        <v>334</v>
      </c>
      <c r="B2" s="67" t="s">
        <v>335</v>
      </c>
      <c r="C2" s="67" t="s">
        <v>336</v>
      </c>
      <c r="D2" s="67" t="s">
        <v>337</v>
      </c>
    </row>
    <row r="3" ht="15.75" customHeight="1">
      <c r="A3" s="68" t="s">
        <v>338</v>
      </c>
      <c r="B3" s="69">
        <v>1.2</v>
      </c>
      <c r="C3" s="69">
        <v>1.3</v>
      </c>
      <c r="D3" s="68" t="s">
        <v>339</v>
      </c>
    </row>
    <row r="4" ht="15.75" customHeight="1">
      <c r="A4" s="70" t="s">
        <v>340</v>
      </c>
      <c r="B4" s="71">
        <v>1.1000000000000001</v>
      </c>
      <c r="C4" s="71">
        <v>1.2</v>
      </c>
      <c r="D4" s="70" t="s">
        <v>341</v>
      </c>
    </row>
    <row r="5" ht="15.75" customHeight="1">
      <c r="A5" s="68" t="s">
        <v>342</v>
      </c>
      <c r="B5" s="69">
        <v>1.05</v>
      </c>
      <c r="C5" s="69">
        <v>1.1200000000000001</v>
      </c>
      <c r="D5" s="68" t="s">
        <v>343</v>
      </c>
    </row>
    <row r="6" ht="15.75" customHeight="1">
      <c r="A6" s="70" t="s">
        <v>344</v>
      </c>
      <c r="B6" s="71">
        <v>1</v>
      </c>
      <c r="C6" s="71">
        <v>1.05</v>
      </c>
      <c r="D6" s="70" t="s">
        <v>345</v>
      </c>
    </row>
    <row r="7" ht="15.75" customHeight="1">
      <c r="A7" s="72" t="s">
        <v>251</v>
      </c>
      <c r="B7" s="73">
        <v>0.92000000000000004</v>
      </c>
      <c r="C7" s="73">
        <v>0.96999999999999997</v>
      </c>
      <c r="D7" s="72" t="s">
        <v>346</v>
      </c>
    </row>
    <row r="8" ht="15.75" customHeight="1">
      <c r="A8" s="70" t="s">
        <v>347</v>
      </c>
      <c r="B8" s="71">
        <v>0.91000000000000003</v>
      </c>
      <c r="C8" s="71">
        <v>0.95999999999999996</v>
      </c>
      <c r="D8" s="70" t="s">
        <v>348</v>
      </c>
    </row>
    <row r="9" ht="15.75" customHeight="1">
      <c r="A9" s="68" t="s">
        <v>349</v>
      </c>
      <c r="B9" s="69">
        <v>0.88</v>
      </c>
      <c r="C9" s="69">
        <v>0.93000000000000005</v>
      </c>
      <c r="D9" s="68" t="s">
        <v>350</v>
      </c>
    </row>
    <row r="10" ht="15.75" customHeight="1">
      <c r="A10" s="70" t="s">
        <v>351</v>
      </c>
      <c r="B10" s="71">
        <v>0.90000000000000002</v>
      </c>
      <c r="C10" s="71">
        <v>0.94999999999999996</v>
      </c>
      <c r="D10" s="70" t="s">
        <v>352</v>
      </c>
    </row>
    <row r="11" ht="15.75" customHeight="1">
      <c r="A11" s="68" t="s">
        <v>353</v>
      </c>
      <c r="B11" s="69">
        <v>0.87</v>
      </c>
      <c r="C11" s="69">
        <v>0.92000000000000004</v>
      </c>
      <c r="D11" s="68" t="s">
        <v>354</v>
      </c>
    </row>
    <row r="12" ht="15.75" customHeight="1">
      <c r="A12" s="70" t="s">
        <v>355</v>
      </c>
      <c r="B12" s="71">
        <v>0.87</v>
      </c>
      <c r="C12" s="71">
        <v>0.93000000000000005</v>
      </c>
      <c r="D12" s="70" t="s">
        <v>356</v>
      </c>
    </row>
    <row r="13" ht="15.75" customHeight="1">
      <c r="A13" s="68" t="s">
        <v>357</v>
      </c>
      <c r="B13" s="69">
        <v>0.93000000000000005</v>
      </c>
      <c r="C13" s="69">
        <v>1</v>
      </c>
      <c r="D13" s="68" t="s">
        <v>358</v>
      </c>
    </row>
    <row r="14" ht="15.75" customHeight="1">
      <c r="A14" s="70" t="s">
        <v>359</v>
      </c>
      <c r="B14" s="71">
        <v>0.81999999999999995</v>
      </c>
      <c r="C14" s="71">
        <v>0.88</v>
      </c>
      <c r="D14" s="70" t="s">
        <v>360</v>
      </c>
    </row>
    <row r="16" ht="7.5" customHeight="1"/>
    <row r="17" ht="34.5" customHeight="1">
      <c r="A17" s="74" t="s">
        <v>361</v>
      </c>
      <c r="B17" s="74"/>
      <c r="C17" s="74"/>
      <c r="D17" s="74"/>
    </row>
  </sheetData>
  <mergeCells count="2">
    <mergeCell ref="A1:D1"/>
    <mergeCell ref="A17:D17"/>
  </mergeCells>
  <pageMargins left="0.75" right="0.75" top="1" bottom="1" header="0.5118055" footer="0.5118055"/>
  <pageSetup paperSize="9" orientation="portrait" horizontalDpi="300" verticalDpi="300"/>
</worksheet>
</file>

<file path=docProps/app.xml><?xml version="1.0" encoding="utf-8"?>
<Properties xmlns="http://schemas.openxmlformats.org/officeDocument/2006/extended-properties">
  <Application>DevExpress Office File API/25.2.6.0</Application>
  <AppVersion>25.2</AppVersion>
</Properties>
</file>

<file path=docProps/core.xml><?xml version="1.0" encoding="utf-8"?>
<cp:coreProperties xmlns:dc="http://purl.org/dc/elements/1.1/" xmlns:dcterms="http://purl.org/dc/terms/" xmlns:xsi="http://www.w3.org/2001/XMLSchema-instance" xmlns:cp="http://schemas.openxmlformats.org/package/2006/metadata/core-properties">
  <dc:creator>openpyxl</dc:creator>
  <cp:lastModifiedBy>Nabil Kayali</cp:lastModifiedBy>
  <cp:revision>0</cp:revision>
  <dcterms:created xsi:type="dcterms:W3CDTF">2026-05-12T20:23:39Z</dcterms:created>
  <dcterms:modified xsi:type="dcterms:W3CDTF">2026-05-13T20:35:37Z</dcterms:modified>
</cp:coreProperties>
</file>