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tes Reference Table" sheetId="2" state="visible" r:id="rId4"/>
    <sheet name="Rfb – Basic" sheetId="3" state="visible" r:id="rId5"/>
    <sheet name="Rfb – Standard" sheetId="4" state="visible" r:id="rId6"/>
    <sheet name="Rfb – High Spec" sheetId="5" state="visible" r:id="rId7"/>
    <sheet name="NB – Standard" sheetId="6" state="visible" r:id="rId8"/>
    <sheet name="NB – High Spec" sheetId="7" state="visible" r:id="rId9"/>
    <sheet name="Extension – Std" sheetId="8" state="visible" r:id="rId10"/>
    <sheet name="Extension – High" sheetId="9" state="visible" r:id="rId11"/>
    <sheet name="External Works" sheetId="10" state="visible" r:id="rId12"/>
    <sheet name="BCIS Factor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<sst xmlns="http://schemas.openxmlformats.org/spreadsheetml/2006/main" count="3447" uniqueCount="362">
  <si>
    <t xml:space="preserve">NRM1 ORDER OF COST ESTIMATE TOOL  |  Estates AI  |  Version 2.0  |  May 2026</t>
  </si>
  <si>
    <t xml:space="preserve">RIBA Stage 0–1 Indicative Estimates  |  Prepared by Nabil Kayali  |  Base date Q2 2026  |  West Midlands default</t>
  </si>
  <si>
    <t xml:space="preserve">WHAT'S NEW IN VERSION 2.0</t>
  </si>
  <si>
    <t xml:space="preserve">▸  Mid-point rate architecture — each element now has a single benchmark mid-point (£/m²) with ±spread applied automatically</t>
  </si>
  <si>
    <t xml:space="preserve">▸  Tighter 20-25% spread (Low–High range) replacing the previous wide ranges that were not useful for feasibility reporting</t>
  </si>
  <si>
    <t xml:space="preserve">▸  Three specification levels per project type — Basic, Standard, High Spec — each on a separate tab</t>
  </si>
  <si>
    <t xml:space="preserve">▸  Rates Reference Table tab — all benchmark mid-point rates in one place; update here and all tabs recalculate</t>
  </si>
  <si>
    <t xml:space="preserve">▸  BCIS-traceable structure — rate cells reference a named source column; when a BCIS subscription is obtained, update the Rates Table</t>
  </si>
  <si>
    <t xml:space="preserve">SPECIFICATION LEVELS — WHICH TAB TO USE</t>
  </si>
  <si>
    <t xml:space="preserve">  Level 1 — Basic / Maintenance:   Like-for-like replacement, redecoration, basic M&amp;E refresh. No layout change. Functional finish only.</t>
  </si>
  <si>
    <t xml:space="preserve">  Level 2 — Standard / Cat A–B:    Modified layout, new M&amp;E distribution, Cat A or Cat B office/teaching finish. Most university estates projects.</t>
  </si>
  <si>
    <t xml:space="preserve">  Level 3 — High Spec / Specialist: Flagship, lab, healthcare, or bespoke. Heavy M&amp;E, specialist fit-out, feature finishes. Premium.</t>
  </si>
  <si>
    <t xml:space="preserve">HOW TO USE THIS WORKBOOK</t>
  </si>
  <si>
    <t xml:space="preserve">1.  Select the tab for your project type and specification level.</t>
  </si>
  <si>
    <t xml:space="preserve">2.  Update the GIFA (m²) — yellow input cell at the top of the tab. All totals recalculate instantly.</t>
  </si>
  <si>
    <t xml:space="preserve">3.  Update the BCIS Location Factor — yellow input cell. See the BCIS Factors tab for your region.</t>
  </si>
  <si>
    <t xml:space="preserve">4.  Adjust the Spread % if needed (default 22% gives approx ±11% around the mid-point).</t>
  </si>
  <si>
    <t xml:space="preserve">5.  Review each element. Adjust mid-point rates in the Rates Reference Table if you have better local data.</t>
  </si>
  <si>
    <t xml:space="preserve">6.  Adjust the Additions section (Prelims, Fees, Risk) using the signal rules shown in the Notes column.</t>
  </si>
  <si>
    <t xml:space="preserve">7.  The Total Project Cost (excl. VAT) calculates automatically. VAT is shown separately for reference only.</t>
  </si>
  <si>
    <t xml:space="preserve">HOW TO UPDATE RATES WHEN BCIS DATA IS AVAILABLE</t>
  </si>
  <si>
    <t xml:space="preserve">All benchmark mid-point rates sit in the Rates Reference Table tab (columns E–L).</t>
  </si>
  <si>
    <t xml:space="preserve">Each cell in that table is the single source of truth for the estimate tabs — update the table, all tabs update.</t>
  </si>
  <si>
    <t xml:space="preserve">Recommended update frequency: quarterly (align with BCIS Quarterly Review of Building Prices).</t>
  </si>
  <si>
    <t xml:space="preserve">When BCIS subscription is obtained: replace mid-point rates with BCIS elemental benchmarks for your building type and region.</t>
  </si>
  <si>
    <t xml:space="preserve">Record the BCIS edition/date in the Source column of the Rates Table — this creates an audit trail.</t>
  </si>
  <si>
    <t xml:space="preserve">COLOUR CODING</t>
  </si>
  <si>
    <t xml:space="preserve">  Yellow cells = User input — GIFA, BCIS factor, Spread %, individual rate overrides</t>
  </si>
  <si>
    <t xml:space="preserve">  Blue cells = Calculated values from rates table (do not edit directly — update rates table instead)</t>
  </si>
  <si>
    <t xml:space="preserve">  Green rows = Subtotals and Total Project Cost</t>
  </si>
  <si>
    <t xml:space="preserve">  Amber rows = Risk Allowance — must be built from project risk register signals</t>
  </si>
  <si>
    <t xml:space="preserve">  Teal rows = Client Contingency — always fixed at 5%</t>
  </si>
  <si>
    <t xml:space="preserve">  Grey rows = Elements excluded for this project type</t>
  </si>
  <si>
    <t xml:space="preserve">  Orange/red rows = VAT (reference only) and Disclaimer</t>
  </si>
  <si>
    <t xml:space="preserve">⚠  MANDATORY DISCLAIMER</t>
  </si>
  <si>
    <t xml:space="preserve">This Order of Cost Estimate is INDICATIVE ONLY, produced at RIBA Stage 0–1 without measured quantities or detailed design.</t>
  </si>
  <si>
    <t xml:space="preserve">Rates are based on £/m² benchmarks cross-referenced against Q2 2026 market data (RICS/BCIS published ranges).</t>
  </si>
  <si>
    <t xml:space="preserve">This estimate MUST be reviewed and validated by a Chartered Quantity Surveyor before use in any business case or budget approval.</t>
  </si>
  <si>
    <t xml:space="preserve">All figures are LOW–HIGH ranges only. No single-point estimates are shown. Rates should be updated against BCIS data before formal use.</t>
  </si>
  <si>
    <t xml:space="preserve">RATES REFERENCE TABLE  —  Mid-point £/m² GIFA Benchmark Rates  |  Q2 2026  |  UK National Mean  |  Update this table to refresh all estimate tabs</t>
  </si>
  <si>
    <t xml:space="preserve">Source: Sense-checked against RICS/BCIS published ranges Q4 2025–Q2 2026, Cushman &amp; Wakefield UK Fit-Out Guide 2025, RateQS benchmarks Nov 2025. All rates are mid-point estimates at UK national mean. Apply BCIS regional factor in estimate tabs. Update quarterly when BCIS subscription is available.</t>
  </si>
  <si>
    <t xml:space="preserve">Grp</t>
  </si>
  <si>
    <t xml:space="preserve">Sub</t>
  </si>
  <si>
    <t xml:space="preserve">Element / Description</t>
  </si>
  <si>
    <t xml:space="preserve">Unit</t>
  </si>
  <si>
    <t xml:space="preserve">Rfb
Basic</t>
  </si>
  <si>
    <t xml:space="preserve">Rfb
Standard</t>
  </si>
  <si>
    <t xml:space="preserve">Rfb
High Spec</t>
  </si>
  <si>
    <t xml:space="preserve">New Build
Standard</t>
  </si>
  <si>
    <t xml:space="preserve">New Build
High Spec</t>
  </si>
  <si>
    <t xml:space="preserve">Extension
Standard</t>
  </si>
  <si>
    <t xml:space="preserve">Extension
High Spec</t>
  </si>
  <si>
    <t xml:space="preserve">External
Works Only</t>
  </si>
  <si>
    <t xml:space="preserve">Notes / Rate Driver</t>
  </si>
  <si>
    <t xml:space="preserve">GROUP 0  —  FACILITATING WORKS   —   Include if demolition, known asbestos, or brownfield site identified in questionnaire</t>
  </si>
  <si>
    <t xml:space="preserve">0</t>
  </si>
  <si>
    <t xml:space="preserve">0.1</t>
  </si>
  <si>
    <t xml:space="preserve">Toxic/hazardous material removal</t>
  </si>
  <si>
    <t xml:space="preserve">Item</t>
  </si>
  <si>
    <t xml:space="preserve">Asbestos; increase if confirmed present (refurb/demo only)</t>
  </si>
  <si>
    <t xml:space="preserve">0.2</t>
  </si>
  <si>
    <t xml:space="preserve">Demolition &amp; structural alterations</t>
  </si>
  <si>
    <t xml:space="preserve">Selective or full demolition; structural openings</t>
  </si>
  <si>
    <t xml:space="preserve">0.3</t>
  </si>
  <si>
    <t xml:space="preserve">Contaminated land remediation</t>
  </si>
  <si>
    <t xml:space="preserve">Brownfield/contaminated; specialist quote needed</t>
  </si>
  <si>
    <t xml:space="preserve">0.4</t>
  </si>
  <si>
    <t xml:space="preserve">Ground stabilisation</t>
  </si>
  <si>
    <t xml:space="preserve">Underpinning/piling if ground risk identified</t>
  </si>
  <si>
    <t xml:space="preserve">GROUP 1  —  SUBSTRUCTURE   —   New build and extension only; always exclude for pure refurb/fit-out</t>
  </si>
  <si>
    <t xml:space="preserve">1</t>
  </si>
  <si>
    <t xml:space="preserve">1.1</t>
  </si>
  <si>
    <t xml:space="preserve">Standard foundations (strip/pad)</t>
  </si>
  <si>
    <t xml:space="preserve">m²</t>
  </si>
  <si>
    <t xml:space="preserve">New build only; included in Group 7 rate for extensions</t>
  </si>
  <si>
    <t xml:space="preserve">1.2</t>
  </si>
  <si>
    <t xml:space="preserve">Specialist foundations (piled)</t>
  </si>
  <si>
    <t xml:space="preserve">Poor ground conditions; trigger from GI report</t>
  </si>
  <si>
    <t xml:space="preserve">1.3</t>
  </si>
  <si>
    <t xml:space="preserve">Lowest floor construction (slab)</t>
  </si>
  <si>
    <t xml:space="preserve">Ground bearing or suspended; inc DPM and insulation</t>
  </si>
  <si>
    <t xml:space="preserve">1.4</t>
  </si>
  <si>
    <t xml:space="preserve">Basement excavation &amp; structure</t>
  </si>
  <si>
    <t xml:space="preserve">High uncertainty; specialist estimate recommended</t>
  </si>
  <si>
    <t xml:space="preserve">GROUP 2  —  SUPERSTRUCTURE   —   Core element for new build; partial inclusion for extension/refurb with structural alterations</t>
  </si>
  <si>
    <t xml:space="preserve">2</t>
  </si>
  <si>
    <t xml:space="preserve">2.1</t>
  </si>
  <si>
    <t xml:space="preserve">Structural frame</t>
  </si>
  <si>
    <t xml:space="preserve">Steel/concrete/timber; new build or major extensions only</t>
  </si>
  <si>
    <t xml:space="preserve">2.2</t>
  </si>
  <si>
    <t xml:space="preserve">Upper floors</t>
  </si>
  <si>
    <t xml:space="preserve">New build or added floors; inc topping and insulation</t>
  </si>
  <si>
    <t xml:space="preserve">2.3</t>
  </si>
  <si>
    <t xml:space="preserve">Roof structure &amp; covering</t>
  </si>
  <si>
    <t xml:space="preserve">New or replacement; inc insulation, waterproofing, rainwater</t>
  </si>
  <si>
    <t xml:space="preserve">2.4</t>
  </si>
  <si>
    <t xml:space="preserve">Stairs &amp; ramps</t>
  </si>
  <si>
    <t xml:space="preserve">RC, steel or timber; accessibility ramps</t>
  </si>
  <si>
    <t xml:space="preserve">2.5</t>
  </si>
  <si>
    <t xml:space="preserve">External walls &amp; facade</t>
  </si>
  <si>
    <t xml:space="preserve">Masonry/cladding; refurb = overcladding or repair only</t>
  </si>
  <si>
    <t xml:space="preserve">2.6</t>
  </si>
  <si>
    <t xml:space="preserve">Windows &amp; external doors</t>
  </si>
  <si>
    <t xml:space="preserve">uPVC (low) to aluminium curtain wall (high)</t>
  </si>
  <si>
    <t xml:space="preserve">2.7</t>
  </si>
  <si>
    <t xml:space="preserve">Internal walls &amp; partitions</t>
  </si>
  <si>
    <t xml:space="preserve">Blockwork, drywall or glazed; do not double-count Grp 3</t>
  </si>
  <si>
    <t xml:space="preserve">2.8</t>
  </si>
  <si>
    <t xml:space="preserve">Internal doors &amp; ironmongery</t>
  </si>
  <si>
    <t xml:space="preserve">Nr</t>
  </si>
  <si>
    <t xml:space="preserve">Fire-rated at upper range; standard at lower</t>
  </si>
  <si>
    <t xml:space="preserve">GROUP 3  —  INTERNAL FINISHES  ★ ALWAYS INCLUDED   —   NEVER excluded — every project has internal finishes to some level</t>
  </si>
  <si>
    <t xml:space="preserve">3</t>
  </si>
  <si>
    <t xml:space="preserve">3.1</t>
  </si>
  <si>
    <t xml:space="preserve">Wall finishes</t>
  </si>
  <si>
    <t xml:space="preserve">Emulsion (low) → specialist tiling/feature panelling (high)</t>
  </si>
  <si>
    <t xml:space="preserve">3.2</t>
  </si>
  <si>
    <t xml:space="preserve">Floor finishes</t>
  </si>
  <si>
    <t xml:space="preserve">Vinyl/carpet (low) → stone/raised access floor (high)</t>
  </si>
  <si>
    <t xml:space="preserve">3.3</t>
  </si>
  <si>
    <t xml:space="preserve">Ceiling finishes</t>
  </si>
  <si>
    <t xml:space="preserve">Emulsion (low) → bespoke acoustic ceiling system (high)</t>
  </si>
  <si>
    <t xml:space="preserve">GROUP 4  —  FITTINGS, FURNISHINGS &amp; EQUIPMENT   —   Include if joinery, kitchens, toilets or specialist fit-out selected in Q2.2</t>
  </si>
  <si>
    <t xml:space="preserve">4</t>
  </si>
  <si>
    <t xml:space="preserve">4.1</t>
  </si>
  <si>
    <t xml:space="preserve">General fittings &amp; built-in joinery</t>
  </si>
  <si>
    <t xml:space="preserve">Reception desks, shelving, built-in furniture</t>
  </si>
  <si>
    <t xml:space="preserve">4.2</t>
  </si>
  <si>
    <t xml:space="preserve">Sanitary fittings &amp; toilet fit-out</t>
  </si>
  <si>
    <t xml:space="preserve">WC packs; uplift for accessible/changing facilities</t>
  </si>
  <si>
    <t xml:space="preserve">4.3</t>
  </si>
  <si>
    <t xml:space="preserve">Kitchen / break-out area</t>
  </si>
  <si>
    <t xml:space="preserve">Fitted units, worktops, appliances</t>
  </si>
  <si>
    <t xml:space="preserve">4.4</t>
  </si>
  <si>
    <t xml:space="preserve">Specialist equipment (lab/AV/med)</t>
  </si>
  <si>
    <t xml:space="preserve">Laboratory, medical, AV; confirm with specialist</t>
  </si>
  <si>
    <t xml:space="preserve">GROUP 5  —  MECHANICAL &amp; ELECTRICAL SERVICES  ★ KEY ELEMENT   —   Always price separately — never bundle into superstructure rate</t>
  </si>
  <si>
    <t xml:space="preserve">5</t>
  </si>
  <si>
    <t xml:space="preserve">5.1</t>
  </si>
  <si>
    <t xml:space="preserve">Sanitary plumbing (1st &amp; 2nd fix)</t>
  </si>
  <si>
    <t xml:space="preserve">HWS, cold water, drainage connections</t>
  </si>
  <si>
    <t xml:space="preserve">5.2</t>
  </si>
  <si>
    <t xml:space="preserve">Heating &amp; hot water (LTHW/heat pump)</t>
  </si>
  <si>
    <t xml:space="preserve">LTHW system or heat pump; include buffer vessel</t>
  </si>
  <si>
    <t xml:space="preserve">5.3</t>
  </si>
  <si>
    <t xml:space="preserve">Ventilation &amp; air handling</t>
  </si>
  <si>
    <t xml:space="preserve">MVHR/AHU; uplift for lab/healthcare extract (+50-100%)</t>
  </si>
  <si>
    <t xml:space="preserve">5.4</t>
  </si>
  <si>
    <t xml:space="preserve">Air conditioning &amp; cooling</t>
  </si>
  <si>
    <t xml:space="preserve">VRF/splits; omit if not in scope</t>
  </si>
  <si>
    <t xml:space="preserve">5.5</t>
  </si>
  <si>
    <t xml:space="preserve">Gas installation</t>
  </si>
  <si>
    <t xml:space="preserve">Omit if all-electric; confirm with utility</t>
  </si>
  <si>
    <t xml:space="preserve">5.6</t>
  </si>
  <si>
    <t xml:space="preserve">Sprinkler / fire suppression</t>
  </si>
  <si>
    <t xml:space="preserve">&gt;18m height or insurer requirement</t>
  </si>
  <si>
    <t xml:space="preserve">5.7</t>
  </si>
  <si>
    <t xml:space="preserve">Electrical distribution &amp; switchgear</t>
  </si>
  <si>
    <t xml:space="preserve">LV panels, distribution boards, earthing, containment</t>
  </si>
  <si>
    <t xml:space="preserve">5.8</t>
  </si>
  <si>
    <t xml:space="preserve">Electrical wiring (1st &amp; 2nd fix)</t>
  </si>
  <si>
    <t xml:space="preserve">All power and lighting circuits; inc containment</t>
  </si>
  <si>
    <t xml:space="preserve">5.9</t>
  </si>
  <si>
    <t xml:space="preserve">Emergency lighting &amp; fire alarm</t>
  </si>
  <si>
    <t xml:space="preserve">L2 minimum; upgrade for multi-zone/complex layouts</t>
  </si>
  <si>
    <t xml:space="preserve">5.10</t>
  </si>
  <si>
    <t xml:space="preserve">External lighting</t>
  </si>
  <si>
    <t xml:space="preserve">Column/wall-mounted perimeter lighting</t>
  </si>
  <si>
    <t xml:space="preserve">5.11</t>
  </si>
  <si>
    <t xml:space="preserve">Solar PV / renewables</t>
  </si>
  <si>
    <t xml:space="preserve">kWp</t>
  </si>
  <si>
    <t xml:space="preserve">£/kWp installed; coordinate structural loading + electrical</t>
  </si>
  <si>
    <t xml:space="preserve">5.12</t>
  </si>
  <si>
    <t xml:space="preserve">EV charging points</t>
  </si>
  <si>
    <t xml:space="preserve">Per charge point inc groundworks; 7kW fast charger</t>
  </si>
  <si>
    <t xml:space="preserve">5.13</t>
  </si>
  <si>
    <t xml:space="preserve">IT / data infrastructure (Cat6A)</t>
  </si>
  <si>
    <t xml:space="preserve">Cabling, containment, patch panels</t>
  </si>
  <si>
    <t xml:space="preserve">5.14</t>
  </si>
  <si>
    <t xml:space="preserve">AV systems</t>
  </si>
  <si>
    <t xml:space="preserve">Lecture rooms, boardrooms; specialist-designed</t>
  </si>
  <si>
    <t xml:space="preserve">5.15</t>
  </si>
  <si>
    <t xml:space="preserve">Access control &amp; CCTV / security</t>
  </si>
  <si>
    <t xml:space="preserve">Door access readers, CCTV; varies by security level</t>
  </si>
  <si>
    <t xml:space="preserve">5.16</t>
  </si>
  <si>
    <t xml:space="preserve">Lifts &amp; platform lifts</t>
  </si>
  <si>
    <t xml:space="preserve">Per installation × Nr; inc shaft if new build</t>
  </si>
  <si>
    <t xml:space="preserve">5.17</t>
  </si>
  <si>
    <t xml:space="preserve">Builder's work in connection (BWIC)</t>
  </si>
  <si>
    <t xml:space="preserve">Penetrations, plinths, ducts, concrete bases for plant</t>
  </si>
  <si>
    <t xml:space="preserve">GROUP 6  —  PREFABRICATED / MODULAR  (if applicable)   —   Exclude if not applicable; specialist contractor quote always required</t>
  </si>
  <si>
    <t xml:space="preserve">6</t>
  </si>
  <si>
    <t xml:space="preserve">6.1</t>
  </si>
  <si>
    <t xml:space="preserve">Prefabricated / modular units</t>
  </si>
  <si>
    <t xml:space="preserve">Factory-built modular; specialist quote required</t>
  </si>
  <si>
    <t xml:space="preserve">6.2</t>
  </si>
  <si>
    <t xml:space="preserve">Pre-engineered systems (mezzanine)</t>
  </si>
  <si>
    <t xml:space="preserve">Mezzanine floors, demountable partitions</t>
  </si>
  <si>
    <t xml:space="preserve">GROUP 7  —  WORK TO EXISTING BUILDINGS   —   Refurbishment and extension only; +15-25% rate uplift for pre-1900 or listed buildings</t>
  </si>
  <si>
    <t xml:space="preserve">7</t>
  </si>
  <si>
    <t xml:space="preserve">7.1</t>
  </si>
  <si>
    <t xml:space="preserve">Structural repairs</t>
  </si>
  <si>
    <t xml:space="preserve">Crack stitching, bearing repairs; increase for poor condition</t>
  </si>
  <si>
    <t xml:space="preserve">7.2</t>
  </si>
  <si>
    <t xml:space="preserve">Fabric / envelope repairs</t>
  </si>
  <si>
    <t xml:space="preserve">Repointing, waterproofing, weathertight works</t>
  </si>
  <si>
    <t xml:space="preserve">7.3</t>
  </si>
  <si>
    <t xml:space="preserve">Damp proof course treatment</t>
  </si>
  <si>
    <t xml:space="preserve">Chemical DPC; increase for severe rising damp</t>
  </si>
  <si>
    <t xml:space="preserve">7.4</t>
  </si>
  <si>
    <t xml:space="preserve">M&amp;E overhaul / life-expired services</t>
  </si>
  <si>
    <t xml:space="preserve">Replacement of end-of-life mechanical &amp; electrical plant</t>
  </si>
  <si>
    <t xml:space="preserve">7.5</t>
  </si>
  <si>
    <t xml:space="preserve">Making good after structural works</t>
  </si>
  <si>
    <t xml:space="preserve">Patch plaster, redecoration after structural alterations</t>
  </si>
  <si>
    <t xml:space="preserve">GROUP 8  —  EXTERNAL WORKS   —   Always include; External Works tab uses these as primary cost driver</t>
  </si>
  <si>
    <t xml:space="preserve">8</t>
  </si>
  <si>
    <t xml:space="preserve">8.1</t>
  </si>
  <si>
    <t xml:space="preserve">Site preparation &amp; clearance</t>
  </si>
  <si>
    <t xml:space="preserve">Strip topsoil, vegetation, temp fencing and hoarding</t>
  </si>
  <si>
    <t xml:space="preserve">8.2</t>
  </si>
  <si>
    <t xml:space="preserve">Roads, paths &amp; hard paving</t>
  </si>
  <si>
    <t xml:space="preserve">Macadam/block paving; inc edging and drainage channels</t>
  </si>
  <si>
    <t xml:space="preserve">8.3</t>
  </si>
  <si>
    <t xml:space="preserve">Car parking (line-marked bays)</t>
  </si>
  <si>
    <t xml:space="preserve">Surfacing, line markings, disabled bays</t>
  </si>
  <si>
    <t xml:space="preserve">8.4</t>
  </si>
  <si>
    <t xml:space="preserve">Surface water drainage</t>
  </si>
  <si>
    <t xml:space="preserve">Gullies, pipes, SuDS if required by planning</t>
  </si>
  <si>
    <t xml:space="preserve">8.5</t>
  </si>
  <si>
    <t xml:space="preserve">Foul drainage connections</t>
  </si>
  <si>
    <t xml:space="preserve">Connection to existing drain or new manhole</t>
  </si>
  <si>
    <t xml:space="preserve">8.6</t>
  </si>
  <si>
    <t xml:space="preserve">External utility services</t>
  </si>
  <si>
    <t xml:space="preserve">Gas/water/electric diversions; early check with DNO</t>
  </si>
  <si>
    <t xml:space="preserve">8.7</t>
  </si>
  <si>
    <t xml:space="preserve">Soft landscaping</t>
  </si>
  <si>
    <t xml:space="preserve">Planting, seeding, topsoil reinstatement</t>
  </si>
  <si>
    <t xml:space="preserve">8.8</t>
  </si>
  <si>
    <t xml:space="preserve">Boundary enclosures (fences/gates)</t>
  </si>
  <si>
    <t xml:space="preserve">Security fencing, gates, boundary walls, railings</t>
  </si>
  <si>
    <t xml:space="preserve">8.9</t>
  </si>
  <si>
    <t xml:space="preserve">Column or wall-mounted lighting (see also 5.10)</t>
  </si>
  <si>
    <t xml:space="preserve">UPDATE LOG:  Version 2.0 — May 2026 — Rates sense-checked against: BCIS Q4 2025 index (+5% from Q4 2024); RICS new build £1,800–£2,500/m² national (standard-good spec); Cushman &amp; Wakefield Cat B office £800–£1,300/m² national; RapidQS commercial fit-out £800–£2,500/m²; K2 Space/Fusion office fit-out £500–£1,300/m² national. Next review due: Q4 2026. When BCIS subscription obtained, replace rates above with BCIS elemental benchmarks.</t>
  </si>
  <si>
    <t xml:space="preserve">NRM1 ESTIMATE  —  REFURB / FIT-OUT  —  BASIC / MAINTENANCE</t>
  </si>
  <si>
    <t xml:space="preserve">Spec level: Like-for-like replacement, redecoration, basic M&amp;E refresh. No layout changes.  |  RIBA Stage 0–1 indicative only  |  Base date Q2 2026</t>
  </si>
  <si>
    <t xml:space="preserve">Project Type:</t>
  </si>
  <si>
    <t xml:space="preserve">Refurb / Fit-Out</t>
  </si>
  <si>
    <t xml:space="preserve">Spec Level:</t>
  </si>
  <si>
    <t xml:space="preserve">Basic / Maintenance</t>
  </si>
  <si>
    <t xml:space="preserve">Region:</t>
  </si>
  <si>
    <t xml:space="preserve">West Midlands</t>
  </si>
  <si>
    <t xml:space="preserve">GIFA (m²)  ▼ update:</t>
  </si>
  <si>
    <t xml:space="preserve">BCIS Location Factor  ▼:</t>
  </si>
  <si>
    <t xml:space="preserve">Spread ±%  ▼:</t>
  </si>
  <si>
    <t xml:space="preserve">Mid-Point
£/m²</t>
  </si>
  <si>
    <t xml:space="preserve">Low
£/m²</t>
  </si>
  <si>
    <t xml:space="preserve">High
£/m²</t>
  </si>
  <si>
    <t xml:space="preserve">Total  LOW (£)</t>
  </si>
  <si>
    <t xml:space="preserve">Total  HIGH (£)</t>
  </si>
  <si>
    <t xml:space="preserve">GROUP 0  —  FACILITATING WORKS</t>
  </si>
  <si>
    <t xml:space="preserve">GROUP 1  —  SUBSTRUCTURE</t>
  </si>
  <si>
    <t xml:space="preserve">EXCLUDED</t>
  </si>
  <si>
    <t xml:space="preserve">GROUP 2  —  SUPERSTRUCTURE</t>
  </si>
  <si>
    <t xml:space="preserve">GROUP 3  —  INTERNAL FINISHES  ★ ALWAYS INCLUDED</t>
  </si>
  <si>
    <t xml:space="preserve">GROUP 4  —  FITTINGS, FURNISHINGS &amp; EQUIPMENT</t>
  </si>
  <si>
    <t xml:space="preserve">GROUP 5  —  MECHANICAL &amp; ELECTRICAL SERVICES  ★ KEY ELEMENT</t>
  </si>
  <si>
    <t xml:space="preserve">GROUP 6  —  PREFABRICATED / MODULAR  (if applicable)</t>
  </si>
  <si>
    <t xml:space="preserve">GROUP 7  —  WORK TO EXISTING BUILDINGS</t>
  </si>
  <si>
    <t xml:space="preserve">GROUP 8  —  EXTERNAL WORKS</t>
  </si>
  <si>
    <t xml:space="preserve">WORKS COST SUBTOTAL  (Groups 0–8)</t>
  </si>
  <si>
    <t xml:space="preserve">ADDITIONS TO WORKS COST  —  Adjust % using signal rules in Notes column</t>
  </si>
  <si>
    <t xml:space="preserve">Code</t>
  </si>
  <si>
    <t xml:space="preserve">Description</t>
  </si>
  <si>
    <t xml:space="preserve">Applied To</t>
  </si>
  <si>
    <t xml:space="preserve">Low %</t>
  </si>
  <si>
    <t xml:space="preserve">High %</t>
  </si>
  <si>
    <t xml:space="preserve">Total LOW (£)</t>
  </si>
  <si>
    <t xml:space="preserve">Total HIGH (£)</t>
  </si>
  <si>
    <t xml:space="preserve">Signal Rules / Notes</t>
  </si>
  <si>
    <t xml:space="preserve">A</t>
  </si>
  <si>
    <t xml:space="preserve">Contractor's Preliminaries</t>
  </si>
  <si>
    <t xml:space="preserve">Works Cost</t>
  </si>
  <si>
    <t xml:space="preserve">8%=clean/vacant/short prog  |  +0.5% per: 6-18mo prog, partial occ, restricted access  |  cap 10%</t>
  </si>
  <si>
    <t xml:space="preserve">B</t>
  </si>
  <si>
    <t xml:space="preserve">Contractor's Overheads &amp; Profit</t>
  </si>
  <si>
    <t xml:space="preserve">&gt;£5M→8-9%  |  £1-5M→9-10%  |  &lt;£1M→10-12%  |  Lower end = cost priority; upper = D&amp;B/speed</t>
  </si>
  <si>
    <t xml:space="preserve">CONSTRUCTION COST SUBTOTAL  (Works + Prelims + OH&amp;P)</t>
  </si>
  <si>
    <t xml:space="preserve">C</t>
  </si>
  <si>
    <t xml:space="preserve">Professional Fees</t>
  </si>
  <si>
    <t xml:space="preserve">Construction Cost</t>
  </si>
  <si>
    <t xml:space="preserve">Stage 0-1→12-15%  |  Stage 2→10-13%  |  Stage 3→7-10%  |  Stage 4→5-7%  |  +1-2% M&amp;E/struct/BREEAM</t>
  </si>
  <si>
    <t xml:space="preserve">D</t>
  </si>
  <si>
    <t xml:space="preserve">Dev &amp; Project Costs</t>
  </si>
  <si>
    <t xml:space="preserve">Full planning→3-4%  |  LBC also→4%  |  Permitted dev→2%  |  +0.5% if no surveys yet</t>
  </si>
  <si>
    <t xml:space="preserve">E</t>
  </si>
  <si>
    <t xml:space="preserve">Risk Allowance</t>
  </si>
  <si>
    <t xml:space="preserve">Baseline 5%  |  +2% no surveys  |  +1.5% asbestos/contamination  |  +1% structural concern  |  +1% hard deadline  |  cap 10%</t>
  </si>
  <si>
    <t xml:space="preserve">H</t>
  </si>
  <si>
    <t xml:space="preserve">Client Contingency  [FIXED 5%]</t>
  </si>
  <si>
    <t xml:space="preserve">FIXED at 5% — held by client, not released to contractor. Do not adjust.</t>
  </si>
  <si>
    <t xml:space="preserve">F</t>
  </si>
  <si>
    <t xml:space="preserve">Inflation Allowance</t>
  </si>
  <si>
    <t xml:space="preserve">Component 1: tender delay (0-18mo=2-6%)  +  Component 2: construction mid-point (6-24mo=1-4%)  |  cap 12%</t>
  </si>
  <si>
    <t xml:space="preserve">TOTAL PROJECT COST  (excl. VAT)</t>
  </si>
  <si>
    <t xml:space="preserve">G</t>
  </si>
  <si>
    <t xml:space="preserve">VAT — reference only, NOT in total</t>
  </si>
  <si>
    <t xml:space="preserve">Project Total</t>
  </si>
  <si>
    <t xml:space="preserve">Recoverability must be confirmed with client Finance team. New build may attract zero-rating.</t>
  </si>
  <si>
    <t xml:space="preserve">Implied blended Works Cost rate — cross-check against BCIS benchmarks:</t>
  </si>
  <si>
    <t xml:space="preserve">⚠  DISCLAIMER: Indicative only — RIBA Stage 0–1 without measured quantities. Rates from Rates Reference Table, cross-referenced Q2 2026 market data. Must be reviewed by a Chartered QS before use in any business case or budget approval. LOW–HIGH range = mid-point ± 11% (default spread 22%). Update GIFA, BCIS factor and Spread as required.</t>
  </si>
  <si>
    <t xml:space="preserve">NRM1 ESTIMATE  —  REFURB / FIT-OUT  —  STANDARD / CAT A–B</t>
  </si>
  <si>
    <t xml:space="preserve">Spec level: Modified layout, new M&amp;E distribution, Cat A/B office or teaching space finish.  |  RIBA Stage 0–1 indicative only  |  Base date Q2 2026</t>
  </si>
  <si>
    <t xml:space="preserve">Standard / Cat A–B</t>
  </si>
  <si>
    <t xml:space="preserve">NRM1 ESTIMATE  —  REFURB / FIT-OUT  —  HIGH SPEC / SPECIALIST</t>
  </si>
  <si>
    <t xml:space="preserve">Spec level: Flagship, lab, healthcare or bespoke. Heavy M&amp;E, specialist fit-out, feature finishes.  |  RIBA Stage 0–1 indicative only  |  Base date Q2 2026</t>
  </si>
  <si>
    <t xml:space="preserve">High Spec / Specialist</t>
  </si>
  <si>
    <t xml:space="preserve">NRM1 ESTIMATE  —  NEW BUILD  —  STANDARD</t>
  </si>
  <si>
    <t xml:space="preserve">Spec level: Standard commercial/education new build. Conventional construction, standard M&amp;E.  |  RIBA Stage 0–1 indicative only  |  Base date Q2 2026</t>
  </si>
  <si>
    <t xml:space="preserve">New Build</t>
  </si>
  <si>
    <t xml:space="preserve">Standard</t>
  </si>
  <si>
    <t xml:space="preserve">NRM1 ESTIMATE  —  NEW BUILD  —  HIGH SPEC / SPECIALIST</t>
  </si>
  <si>
    <t xml:space="preserve">Spec level: High specification new build — lab, healthcare, flagship or technically complex.  |  RIBA Stage 0–1 indicative only  |  Base date Q2 2026</t>
  </si>
  <si>
    <t xml:space="preserve">NRM1 ESTIMATE  —  EXTENSION  —  STANDARD</t>
  </si>
  <si>
    <t xml:space="preserve">Spec level: Standard extension to existing building, matching existing spec and construction.  |  RIBA Stage 0–1 indicative only  |  Base date Q2 2026</t>
  </si>
  <si>
    <t xml:space="preserve">Extension</t>
  </si>
  <si>
    <t xml:space="preserve">NRM1 ESTIMATE  —  EXTENSION  —  HIGH SPEC</t>
  </si>
  <si>
    <t xml:space="preserve">Spec level: High-spec or technically complex extension (lab, glazed atrium, bespoke facade).  |  RIBA Stage 0–1 indicative only  |  Base date Q2 2026</t>
  </si>
  <si>
    <t xml:space="preserve">High Spec</t>
  </si>
  <si>
    <t xml:space="preserve">NRM1 ESTIMATE  —  EXTERNAL WORKS  —  SITE WORKS</t>
  </si>
  <si>
    <t xml:space="preserve">Spec level: Site-only works: roads, parking, drainage, landscaping, utilities, lighting.  |  RIBA Stage 0–1 indicative only  |  Base date Q2 2026</t>
  </si>
  <si>
    <t xml:space="preserve">External Works</t>
  </si>
  <si>
    <t xml:space="preserve">Site Works</t>
  </si>
  <si>
    <t xml:space="preserve">BCIS REGIONAL LOCATION FACTORS  —  Q2 2026 Indicative</t>
  </si>
  <si>
    <t xml:space="preserve">Region</t>
  </si>
  <si>
    <t xml:space="preserve">Low Factor</t>
  </si>
  <si>
    <t xml:space="preserve">High Factor</t>
  </si>
  <si>
    <t xml:space="preserve">Notes</t>
  </si>
  <si>
    <t xml:space="preserve">Inner London</t>
  </si>
  <si>
    <t xml:space="preserve">Central London boroughs; highest UK cost premium</t>
  </si>
  <si>
    <t xml:space="preserve">Outer London</t>
  </si>
  <si>
    <t xml:space="preserve">Greater London boroughs</t>
  </si>
  <si>
    <t xml:space="preserve">South East</t>
  </si>
  <si>
    <t xml:space="preserve">Kent, Surrey, Berkshire, Hampshire, Sussex, Oxfordshire</t>
  </si>
  <si>
    <t xml:space="preserve">East of England</t>
  </si>
  <si>
    <t xml:space="preserve">Essex, Hertfordshire, Cambridgeshire, Norfolk, Suffolk</t>
  </si>
  <si>
    <t xml:space="preserve">Birmingham, Coventry, Warwickshire  ★ DEFAULT for this tool</t>
  </si>
  <si>
    <t xml:space="preserve">East Midlands</t>
  </si>
  <si>
    <t xml:space="preserve">Leicestershire, Nottinghamshire, Derbyshire</t>
  </si>
  <si>
    <t xml:space="preserve">Yorkshire &amp; Humberside</t>
  </si>
  <si>
    <t xml:space="preserve">Leeds, Sheffield, Hull, York</t>
  </si>
  <si>
    <t xml:space="preserve">North West</t>
  </si>
  <si>
    <t xml:space="preserve">Manchester, Liverpool, Cheshire, Lancashire</t>
  </si>
  <si>
    <t xml:space="preserve">North East</t>
  </si>
  <si>
    <t xml:space="preserve">Newcastle, Sunderland, Teesside</t>
  </si>
  <si>
    <t xml:space="preserve">Wales</t>
  </si>
  <si>
    <t xml:space="preserve">All Welsh regions; Cardiff at upper end</t>
  </si>
  <si>
    <t xml:space="preserve">Scotland</t>
  </si>
  <si>
    <t xml:space="preserve">Edinburgh and central belt; Highlands higher</t>
  </si>
  <si>
    <t xml:space="preserve">Northern Ireland</t>
  </si>
  <si>
    <t xml:space="preserve">Belfast and Northern Ireland — lowest UK factor</t>
  </si>
  <si>
    <t xml:space="preserve">USE MID-POINT: For a single-factor estimate use the average of Low and High factors shown. Example: West Midlands = (0.92+0.97)/2 = 0.945 → enter 0.94 in the estimate tab. Source: BCIS Location Factors; broadly stable year-on-year. Update if BCIS publishes revised regional indices.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</si>
</sst>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"/>
    <numFmt numFmtId="166" formatCode="0%"/>
    <numFmt numFmtId="167" formatCode="0.0%"/>
    <numFmt numFmtId="168" formatCode="&quot;Low £&quot;#,##0&quot;/m²&quot;"/>
    <numFmt numFmtId="169" formatCode="&quot;High £&quot;#,##0&quot;/m²&quot;"/>
    <numFmt numFmtId="170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C00000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sz val="8"/>
      <color rgb="FF7F6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7F6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C"/>
        <bgColor rgb="FF3366FF"/>
      </patternFill>
    </fill>
    <fill>
      <patternFill patternType="solid">
        <fgColor rgb="FFBDD7EE"/>
        <bgColor rgb="FFD9D9D9"/>
      </patternFill>
    </fill>
    <fill>
      <patternFill patternType="solid">
        <fgColor rgb="FFDEEAF1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70AD47"/>
        <bgColor rgb="FF888888"/>
      </patternFill>
    </fill>
    <fill>
      <patternFill patternType="solid">
        <fgColor rgb="FFFFC000"/>
        <bgColor rgb="FFFF9900"/>
      </patternFill>
    </fill>
    <fill>
      <patternFill patternType="solid">
        <fgColor rgb="FFE2EFDA"/>
        <bgColor rgb="FFDEEAF1"/>
      </patternFill>
    </fill>
    <fill>
      <patternFill patternType="solid">
        <fgColor rgb="FFD9D9D9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FF2CC"/>
      </patternFill>
    </fill>
    <fill>
      <patternFill patternType="solid">
        <fgColor rgb="FF375623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88888"/>
      <rgbColor rgb="FF9999FF"/>
      <rgbColor rgb="FF993366"/>
      <rgbColor rgb="FFFFF2CC"/>
      <rgbColor rgb="FFDEEAF1"/>
      <rgbColor rgb="FF660066"/>
      <rgbColor rgb="FFFF8080"/>
      <rgbColor rgb="FF2E5FA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59595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5"/>
  </cols>
  <sheetData>
    <row r="1" customFormat="false" ht="19.5" hidden="false" customHeight="true" outlineLevel="0" collapsed="false">
      <c r="B1" s="2" t="s">
        <v>0</v>
      </c>
    </row>
    <row r="2" customFormat="false" ht="15.75" hidden="false" customHeight="true" outlineLevel="0" collapsed="false">
      <c r="B2" s="3" t="s">
        <v>1</v>
      </c>
    </row>
    <row r="3" customFormat="false" ht="6" hidden="false" customHeight="true" outlineLevel="0" collapsed="false"/>
    <row r="4" customFormat="false" ht="19.5" hidden="false" customHeight="true" outlineLevel="0" collapsed="false">
      <c r="B4" s="4" t="s">
        <v>2</v>
      </c>
    </row>
    <row r="5" customFormat="false" ht="15.75" hidden="false" customHeight="true" outlineLevel="0" collapsed="false">
      <c r="B5" s="5" t="s">
        <v>3</v>
      </c>
    </row>
    <row r="6" customFormat="false" ht="15.75" hidden="false" customHeight="true" outlineLevel="0" collapsed="false">
      <c r="B6" s="5" t="s">
        <v>4</v>
      </c>
    </row>
    <row r="7" customFormat="false" ht="15.75" hidden="false" customHeight="true" outlineLevel="0" collapsed="false">
      <c r="B7" s="5" t="s">
        <v>5</v>
      </c>
    </row>
    <row r="8" customFormat="false" ht="15.75" hidden="false" customHeight="true" outlineLevel="0" collapsed="false">
      <c r="B8" s="5" t="s">
        <v>6</v>
      </c>
    </row>
    <row r="9" customFormat="false" ht="15.75" hidden="false" customHeight="true" outlineLevel="0" collapsed="false">
      <c r="B9" s="5" t="s">
        <v>7</v>
      </c>
    </row>
    <row r="10" customFormat="false" ht="6" hidden="false" customHeight="true" outlineLevel="0" collapsed="false"/>
    <row r="11" customFormat="false" ht="19.5" hidden="false" customHeight="true" outlineLevel="0" collapsed="false">
      <c r="B11" s="4" t="s">
        <v>8</v>
      </c>
    </row>
    <row r="12" customFormat="false" ht="15.75" hidden="false" customHeight="true" outlineLevel="0" collapsed="false">
      <c r="B12" s="6" t="s">
        <v>9</v>
      </c>
    </row>
    <row r="13" customFormat="false" ht="15.75" hidden="false" customHeight="true" outlineLevel="0" collapsed="false">
      <c r="B13" s="7" t="s">
        <v>10</v>
      </c>
    </row>
    <row r="14" customFormat="false" ht="15.75" hidden="false" customHeight="true" outlineLevel="0" collapsed="false">
      <c r="B14" s="8" t="s">
        <v>11</v>
      </c>
    </row>
    <row r="15" customFormat="false" ht="6" hidden="false" customHeight="true" outlineLevel="0" collapsed="false"/>
    <row r="16" customFormat="false" ht="19.5" hidden="false" customHeight="true" outlineLevel="0" collapsed="false">
      <c r="B16" s="4" t="s">
        <v>12</v>
      </c>
    </row>
    <row r="17" customFormat="false" ht="15.75" hidden="false" customHeight="true" outlineLevel="0" collapsed="false">
      <c r="B17" s="5" t="s">
        <v>13</v>
      </c>
    </row>
    <row r="18" customFormat="false" ht="15.75" hidden="false" customHeight="true" outlineLevel="0" collapsed="false">
      <c r="B18" s="5" t="s">
        <v>14</v>
      </c>
    </row>
    <row r="19" customFormat="false" ht="15.75" hidden="false" customHeight="true" outlineLevel="0" collapsed="false">
      <c r="B19" s="5" t="s">
        <v>15</v>
      </c>
    </row>
    <row r="20" customFormat="false" ht="15.75" hidden="false" customHeight="true" outlineLevel="0" collapsed="false">
      <c r="B20" s="5" t="s">
        <v>16</v>
      </c>
    </row>
    <row r="21" customFormat="false" ht="15.75" hidden="false" customHeight="true" outlineLevel="0" collapsed="false">
      <c r="B21" s="5" t="s">
        <v>17</v>
      </c>
    </row>
    <row r="22" customFormat="false" ht="15.75" hidden="false" customHeight="true" outlineLevel="0" collapsed="false">
      <c r="B22" s="5" t="s">
        <v>18</v>
      </c>
    </row>
    <row r="23" customFormat="false" ht="15.75" hidden="false" customHeight="true" outlineLevel="0" collapsed="false">
      <c r="B23" s="5" t="s">
        <v>19</v>
      </c>
    </row>
    <row r="24" customFormat="false" ht="6" hidden="false" customHeight="true" outlineLevel="0" collapsed="false"/>
    <row r="25" customFormat="false" ht="19.5" hidden="false" customHeight="true" outlineLevel="0" collapsed="false">
      <c r="B25" s="4" t="s">
        <v>20</v>
      </c>
    </row>
    <row r="26" customFormat="false" ht="15.75" hidden="false" customHeight="true" outlineLevel="0" collapsed="false">
      <c r="B26" s="5" t="s">
        <v>21</v>
      </c>
    </row>
    <row r="27" customFormat="false" ht="15.75" hidden="false" customHeight="true" outlineLevel="0" collapsed="false">
      <c r="B27" s="5" t="s">
        <v>22</v>
      </c>
    </row>
    <row r="28" customFormat="false" ht="15.75" hidden="false" customHeight="true" outlineLevel="0" collapsed="false">
      <c r="B28" s="5" t="s">
        <v>23</v>
      </c>
    </row>
    <row r="29" customFormat="false" ht="15.75" hidden="false" customHeight="true" outlineLevel="0" collapsed="false">
      <c r="B29" s="5" t="s">
        <v>24</v>
      </c>
    </row>
    <row r="30" customFormat="false" ht="15.75" hidden="false" customHeight="true" outlineLevel="0" collapsed="false">
      <c r="B30" s="5" t="s">
        <v>25</v>
      </c>
    </row>
    <row r="31" customFormat="false" ht="6" hidden="false" customHeight="true" outlineLevel="0" collapsed="false"/>
    <row r="32" customFormat="false" ht="19.5" hidden="false" customHeight="true" outlineLevel="0" collapsed="false">
      <c r="B32" s="4" t="s">
        <v>26</v>
      </c>
    </row>
    <row r="33" customFormat="false" ht="15.75" hidden="false" customHeight="true" outlineLevel="0" collapsed="false">
      <c r="B33" s="9" t="s">
        <v>27</v>
      </c>
    </row>
    <row r="34" customFormat="false" ht="15.75" hidden="false" customHeight="true" outlineLevel="0" collapsed="false">
      <c r="B34" s="6" t="s">
        <v>28</v>
      </c>
    </row>
    <row r="35" customFormat="false" ht="15.75" hidden="false" customHeight="true" outlineLevel="0" collapsed="false">
      <c r="B35" s="10" t="s">
        <v>29</v>
      </c>
    </row>
    <row r="36" customFormat="false" ht="15.75" hidden="false" customHeight="true" outlineLevel="0" collapsed="false">
      <c r="B36" s="11" t="s">
        <v>30</v>
      </c>
    </row>
    <row r="37" customFormat="false" ht="15.75" hidden="false" customHeight="true" outlineLevel="0" collapsed="false">
      <c r="B37" s="12" t="s">
        <v>31</v>
      </c>
    </row>
    <row r="38" customFormat="false" ht="15.75" hidden="false" customHeight="true" outlineLevel="0" collapsed="false">
      <c r="B38" s="13" t="s">
        <v>32</v>
      </c>
    </row>
    <row r="39" customFormat="false" ht="15.75" hidden="false" customHeight="true" outlineLevel="0" collapsed="false">
      <c r="B39" s="14" t="s">
        <v>33</v>
      </c>
    </row>
    <row r="40" customFormat="false" ht="6" hidden="false" customHeight="true" outlineLevel="0" collapsed="false"/>
    <row r="41" customFormat="false" ht="19.5" hidden="false" customHeight="true" outlineLevel="0" collapsed="false">
      <c r="B41" s="15" t="s">
        <v>34</v>
      </c>
    </row>
    <row r="42" customFormat="false" ht="15.75" hidden="false" customHeight="true" outlineLevel="0" collapsed="false">
      <c r="B42" s="14" t="s">
        <v>35</v>
      </c>
    </row>
    <row r="43" customFormat="false" ht="15.75" hidden="false" customHeight="true" outlineLevel="0" collapsed="false">
      <c r="B43" s="14" t="s">
        <v>36</v>
      </c>
    </row>
    <row r="44" customFormat="false" ht="15.75" hidden="false" customHeight="true" outlineLevel="0" collapsed="false">
      <c r="B44" s="14" t="s">
        <v>37</v>
      </c>
    </row>
    <row r="45" customFormat="false" ht="15.75" hidden="false" customHeight="true" outlineLevel="0" collapsed="false">
      <c r="B45" s="1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50"/>
    <col collapsed="false" customWidth="true" hidden="false" outlineLevel="0" max="4" min="4" style="1" width="8"/>
    <col collapsed="false" customWidth="true" hidden="false" outlineLevel="0" max="12" min="5" style="1" width="14"/>
    <col collapsed="false" customWidth="true" hidden="false" outlineLevel="0" max="13" min="13" style="1" width="45"/>
  </cols>
  <sheetData>
    <row r="1" customFormat="false" ht="19.5" hidden="false" customHeight="true" outlineLevel="0" collapsed="false">
      <c r="A1" s="16" t="s">
        <v>39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customFormat="false" ht="27.75" hidden="false" customHeight="true" outlineLevel="0" collapsed="false">
      <c r="A2" s="17" t="s">
        <v>40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customFormat="false" ht="6" hidden="false" customHeight="true" outlineLevel="0" collapsed="false"/>
    <row r="4" customFormat="false" ht="31.5" hidden="false" customHeight="true" outlineLevel="0" collapsed="false">
      <c r="A4" s="18" t="s">
        <v>41</v>
      </c>
      <c r="B4" s="18" t="s">
        <v>42</v>
      </c>
      <c r="C4" s="18" t="s">
        <v>43</v>
      </c>
      <c r="D4" s="18" t="s">
        <v>44</v>
      </c>
      <c r="E4" s="18" t="s">
        <v>45</v>
      </c>
      <c r="F4" s="18" t="s">
        <v>46</v>
      </c>
      <c r="G4" s="18" t="s">
        <v>47</v>
      </c>
      <c r="H4" s="18" t="s">
        <v>48</v>
      </c>
      <c r="I4" s="18" t="s">
        <v>49</v>
      </c>
      <c r="J4" s="18" t="s">
        <v>50</v>
      </c>
      <c r="K4" s="18" t="s">
        <v>51</v>
      </c>
      <c r="L4" s="18" t="s">
        <v>52</v>
      </c>
      <c r="M4" s="18" t="s">
        <v>53</v>
      </c>
    </row>
    <row r="5" customFormat="false" ht="15" hidden="false" customHeight="true" outlineLevel="0" collapsed="false">
      <c r="A5" s="19" t="s">
        <v>54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customFormat="false" ht="13.5" hidden="false" customHeight="true" outlineLevel="0" collapsed="false">
      <c r="A6" s="20" t="s">
        <v>55</v>
      </c>
      <c r="B6" s="20" t="s">
        <v>56</v>
      </c>
      <c r="C6" s="21" t="s">
        <v>57</v>
      </c>
      <c r="D6" s="20" t="s">
        <v>58</v>
      </c>
      <c r="E6" s="22" t="n">
        <v>15</v>
      </c>
      <c r="F6" s="22" t="n">
        <v>25</v>
      </c>
      <c r="G6" s="22" t="n">
        <v>40</v>
      </c>
      <c r="H6" s="22" t="n">
        <v>10</v>
      </c>
      <c r="I6" s="22" t="n">
        <v>20</v>
      </c>
      <c r="J6" s="22" t="n">
        <v>10</v>
      </c>
      <c r="K6" s="22" t="n">
        <v>20</v>
      </c>
      <c r="L6" s="23" t="n">
        <v>0</v>
      </c>
      <c r="M6" s="21" t="s">
        <v>59</v>
      </c>
    </row>
    <row r="7" customFormat="false" ht="13.5" hidden="false" customHeight="true" outlineLevel="0" collapsed="false">
      <c r="A7" s="24" t="s">
        <v>55</v>
      </c>
      <c r="B7" s="24" t="s">
        <v>60</v>
      </c>
      <c r="C7" s="25" t="s">
        <v>61</v>
      </c>
      <c r="D7" s="24" t="s">
        <v>58</v>
      </c>
      <c r="E7" s="26" t="n">
        <v>20</v>
      </c>
      <c r="F7" s="26" t="n">
        <v>35</v>
      </c>
      <c r="G7" s="26" t="n">
        <v>55</v>
      </c>
      <c r="H7" s="26" t="n">
        <v>15</v>
      </c>
      <c r="I7" s="26" t="n">
        <v>25</v>
      </c>
      <c r="J7" s="26" t="n">
        <v>20</v>
      </c>
      <c r="K7" s="26" t="n">
        <v>35</v>
      </c>
      <c r="L7" s="26" t="n">
        <v>5</v>
      </c>
      <c r="M7" s="25" t="s">
        <v>62</v>
      </c>
    </row>
    <row r="8" customFormat="false" ht="13.5" hidden="false" customHeight="true" outlineLevel="0" collapsed="false">
      <c r="A8" s="20" t="s">
        <v>55</v>
      </c>
      <c r="B8" s="20" t="s">
        <v>63</v>
      </c>
      <c r="C8" s="21" t="s">
        <v>64</v>
      </c>
      <c r="D8" s="20" t="s">
        <v>58</v>
      </c>
      <c r="E8" s="22" t="n">
        <v>5</v>
      </c>
      <c r="F8" s="22" t="n">
        <v>10</v>
      </c>
      <c r="G8" s="22" t="n">
        <v>20</v>
      </c>
      <c r="H8" s="22" t="n">
        <v>10</v>
      </c>
      <c r="I8" s="22" t="n">
        <v>20</v>
      </c>
      <c r="J8" s="22" t="n">
        <v>5</v>
      </c>
      <c r="K8" s="22" t="n">
        <v>15</v>
      </c>
      <c r="L8" s="22" t="n">
        <v>10</v>
      </c>
      <c r="M8" s="21" t="s">
        <v>65</v>
      </c>
    </row>
    <row r="9" customFormat="false" ht="13.5" hidden="false" customHeight="true" outlineLevel="0" collapsed="false">
      <c r="A9" s="24" t="s">
        <v>55</v>
      </c>
      <c r="B9" s="24" t="s">
        <v>66</v>
      </c>
      <c r="C9" s="25" t="s">
        <v>67</v>
      </c>
      <c r="D9" s="24" t="s">
        <v>58</v>
      </c>
      <c r="E9" s="26" t="n">
        <v>5</v>
      </c>
      <c r="F9" s="26" t="n">
        <v>8</v>
      </c>
      <c r="G9" s="26" t="n">
        <v>15</v>
      </c>
      <c r="H9" s="26" t="n">
        <v>8</v>
      </c>
      <c r="I9" s="26" t="n">
        <v>15</v>
      </c>
      <c r="J9" s="26" t="n">
        <v>5</v>
      </c>
      <c r="K9" s="26" t="n">
        <v>12</v>
      </c>
      <c r="L9" s="26" t="n">
        <v>5</v>
      </c>
      <c r="M9" s="25" t="s">
        <v>68</v>
      </c>
    </row>
    <row r="10" customFormat="false" ht="15" hidden="false" customHeight="true" outlineLevel="0" collapsed="false">
      <c r="A10" s="19" t="s">
        <v>69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customFormat="false" ht="13.5" hidden="false" customHeight="true" outlineLevel="0" collapsed="false">
      <c r="A11" s="20" t="s">
        <v>70</v>
      </c>
      <c r="B11" s="20" t="s">
        <v>71</v>
      </c>
      <c r="C11" s="21" t="s">
        <v>72</v>
      </c>
      <c r="D11" s="20" t="s">
        <v>73</v>
      </c>
      <c r="E11" s="23" t="n">
        <v>0</v>
      </c>
      <c r="F11" s="23" t="n">
        <v>0</v>
      </c>
      <c r="G11" s="23" t="n">
        <v>0</v>
      </c>
      <c r="H11" s="22" t="n">
        <v>55</v>
      </c>
      <c r="I11" s="22" t="n">
        <v>80</v>
      </c>
      <c r="J11" s="22" t="n">
        <v>55</v>
      </c>
      <c r="K11" s="22" t="n">
        <v>80</v>
      </c>
      <c r="L11" s="23" t="n">
        <v>0</v>
      </c>
      <c r="M11" s="21" t="s">
        <v>74</v>
      </c>
    </row>
    <row r="12" customFormat="false" ht="13.5" hidden="false" customHeight="true" outlineLevel="0" collapsed="false">
      <c r="A12" s="24" t="s">
        <v>70</v>
      </c>
      <c r="B12" s="24" t="s">
        <v>75</v>
      </c>
      <c r="C12" s="25" t="s">
        <v>76</v>
      </c>
      <c r="D12" s="24" t="s">
        <v>73</v>
      </c>
      <c r="E12" s="27" t="n">
        <v>0</v>
      </c>
      <c r="F12" s="27" t="n">
        <v>0</v>
      </c>
      <c r="G12" s="27" t="n">
        <v>0</v>
      </c>
      <c r="H12" s="26" t="n">
        <v>40</v>
      </c>
      <c r="I12" s="26" t="n">
        <v>60</v>
      </c>
      <c r="J12" s="26" t="n">
        <v>40</v>
      </c>
      <c r="K12" s="26" t="n">
        <v>60</v>
      </c>
      <c r="L12" s="27" t="n">
        <v>0</v>
      </c>
      <c r="M12" s="25" t="s">
        <v>77</v>
      </c>
    </row>
    <row r="13" customFormat="false" ht="13.5" hidden="false" customHeight="true" outlineLevel="0" collapsed="false">
      <c r="A13" s="20" t="s">
        <v>70</v>
      </c>
      <c r="B13" s="20" t="s">
        <v>78</v>
      </c>
      <c r="C13" s="21" t="s">
        <v>79</v>
      </c>
      <c r="D13" s="20" t="s">
        <v>73</v>
      </c>
      <c r="E13" s="23" t="n">
        <v>0</v>
      </c>
      <c r="F13" s="23" t="n">
        <v>0</v>
      </c>
      <c r="G13" s="23" t="n">
        <v>0</v>
      </c>
      <c r="H13" s="22" t="n">
        <v>35</v>
      </c>
      <c r="I13" s="22" t="n">
        <v>55</v>
      </c>
      <c r="J13" s="22" t="n">
        <v>35</v>
      </c>
      <c r="K13" s="22" t="n">
        <v>55</v>
      </c>
      <c r="L13" s="23" t="n">
        <v>0</v>
      </c>
      <c r="M13" s="21" t="s">
        <v>80</v>
      </c>
    </row>
    <row r="14" customFormat="false" ht="13.5" hidden="false" customHeight="true" outlineLevel="0" collapsed="false">
      <c r="A14" s="24" t="s">
        <v>70</v>
      </c>
      <c r="B14" s="24" t="s">
        <v>81</v>
      </c>
      <c r="C14" s="25" t="s">
        <v>82</v>
      </c>
      <c r="D14" s="24" t="s">
        <v>58</v>
      </c>
      <c r="E14" s="27" t="n">
        <v>0</v>
      </c>
      <c r="F14" s="27" t="n">
        <v>0</v>
      </c>
      <c r="G14" s="27" t="n">
        <v>0</v>
      </c>
      <c r="H14" s="26" t="n">
        <v>80</v>
      </c>
      <c r="I14" s="26" t="n">
        <v>150</v>
      </c>
      <c r="J14" s="26" t="n">
        <v>80</v>
      </c>
      <c r="K14" s="26" t="n">
        <v>150</v>
      </c>
      <c r="L14" s="27" t="n">
        <v>0</v>
      </c>
      <c r="M14" s="25" t="s">
        <v>83</v>
      </c>
    </row>
    <row r="15" customFormat="false" ht="15" hidden="false" customHeight="true" outlineLevel="0" collapsed="false">
      <c r="A15" s="19" t="s">
        <v>84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customFormat="false" ht="13.5" hidden="false" customHeight="true" outlineLevel="0" collapsed="false">
      <c r="A16" s="20" t="s">
        <v>85</v>
      </c>
      <c r="B16" s="20" t="s">
        <v>86</v>
      </c>
      <c r="C16" s="21" t="s">
        <v>87</v>
      </c>
      <c r="D16" s="20" t="s">
        <v>73</v>
      </c>
      <c r="E16" s="23" t="n">
        <v>0</v>
      </c>
      <c r="F16" s="22" t="n">
        <v>20</v>
      </c>
      <c r="G16" s="22" t="n">
        <v>40</v>
      </c>
      <c r="H16" s="22" t="n">
        <v>150</v>
      </c>
      <c r="I16" s="22" t="n">
        <v>220</v>
      </c>
      <c r="J16" s="22" t="n">
        <v>130</v>
      </c>
      <c r="K16" s="22" t="n">
        <v>200</v>
      </c>
      <c r="L16" s="23" t="n">
        <v>0</v>
      </c>
      <c r="M16" s="21" t="s">
        <v>88</v>
      </c>
    </row>
    <row r="17" customFormat="false" ht="13.5" hidden="false" customHeight="true" outlineLevel="0" collapsed="false">
      <c r="A17" s="24" t="s">
        <v>85</v>
      </c>
      <c r="B17" s="24" t="s">
        <v>89</v>
      </c>
      <c r="C17" s="25" t="s">
        <v>90</v>
      </c>
      <c r="D17" s="24" t="s">
        <v>73</v>
      </c>
      <c r="E17" s="27" t="n">
        <v>0</v>
      </c>
      <c r="F17" s="26" t="n">
        <v>15</v>
      </c>
      <c r="G17" s="26" t="n">
        <v>30</v>
      </c>
      <c r="H17" s="26" t="n">
        <v>65</v>
      </c>
      <c r="I17" s="26" t="n">
        <v>95</v>
      </c>
      <c r="J17" s="26" t="n">
        <v>65</v>
      </c>
      <c r="K17" s="26" t="n">
        <v>95</v>
      </c>
      <c r="L17" s="27" t="n">
        <v>0</v>
      </c>
      <c r="M17" s="25" t="s">
        <v>91</v>
      </c>
    </row>
    <row r="18" customFormat="false" ht="13.5" hidden="false" customHeight="true" outlineLevel="0" collapsed="false">
      <c r="A18" s="20" t="s">
        <v>85</v>
      </c>
      <c r="B18" s="20" t="s">
        <v>92</v>
      </c>
      <c r="C18" s="21" t="s">
        <v>93</v>
      </c>
      <c r="D18" s="20" t="s">
        <v>73</v>
      </c>
      <c r="E18" s="22" t="n">
        <v>35</v>
      </c>
      <c r="F18" s="22" t="n">
        <v>55</v>
      </c>
      <c r="G18" s="22" t="n">
        <v>90</v>
      </c>
      <c r="H18" s="22" t="n">
        <v>75</v>
      </c>
      <c r="I18" s="22" t="n">
        <v>120</v>
      </c>
      <c r="J18" s="22" t="n">
        <v>75</v>
      </c>
      <c r="K18" s="22" t="n">
        <v>120</v>
      </c>
      <c r="L18" s="23" t="n">
        <v>0</v>
      </c>
      <c r="M18" s="21" t="s">
        <v>94</v>
      </c>
    </row>
    <row r="19" customFormat="false" ht="13.5" hidden="false" customHeight="true" outlineLevel="0" collapsed="false">
      <c r="A19" s="24" t="s">
        <v>85</v>
      </c>
      <c r="B19" s="24" t="s">
        <v>95</v>
      </c>
      <c r="C19" s="25" t="s">
        <v>96</v>
      </c>
      <c r="D19" s="24" t="s">
        <v>58</v>
      </c>
      <c r="E19" s="26" t="n">
        <v>10</v>
      </c>
      <c r="F19" s="26" t="n">
        <v>15</v>
      </c>
      <c r="G19" s="26" t="n">
        <v>25</v>
      </c>
      <c r="H19" s="26" t="n">
        <v>20</v>
      </c>
      <c r="I19" s="26" t="n">
        <v>35</v>
      </c>
      <c r="J19" s="26" t="n">
        <v>20</v>
      </c>
      <c r="K19" s="26" t="n">
        <v>35</v>
      </c>
      <c r="L19" s="27" t="n">
        <v>0</v>
      </c>
      <c r="M19" s="25" t="s">
        <v>97</v>
      </c>
    </row>
    <row r="20" customFormat="false" ht="13.5" hidden="false" customHeight="true" outlineLevel="0" collapsed="false">
      <c r="A20" s="20" t="s">
        <v>85</v>
      </c>
      <c r="B20" s="20" t="s">
        <v>98</v>
      </c>
      <c r="C20" s="21" t="s">
        <v>99</v>
      </c>
      <c r="D20" s="20" t="s">
        <v>73</v>
      </c>
      <c r="E20" s="22" t="n">
        <v>30</v>
      </c>
      <c r="F20" s="22" t="n">
        <v>60</v>
      </c>
      <c r="G20" s="22" t="n">
        <v>110</v>
      </c>
      <c r="H20" s="22" t="n">
        <v>200</v>
      </c>
      <c r="I20" s="22" t="n">
        <v>320</v>
      </c>
      <c r="J20" s="22" t="n">
        <v>180</v>
      </c>
      <c r="K20" s="22" t="n">
        <v>280</v>
      </c>
      <c r="L20" s="23" t="n">
        <v>0</v>
      </c>
      <c r="M20" s="21" t="s">
        <v>100</v>
      </c>
    </row>
    <row r="21" customFormat="false" ht="13.5" hidden="false" customHeight="true" outlineLevel="0" collapsed="false">
      <c r="A21" s="24" t="s">
        <v>85</v>
      </c>
      <c r="B21" s="24" t="s">
        <v>101</v>
      </c>
      <c r="C21" s="25" t="s">
        <v>102</v>
      </c>
      <c r="D21" s="24" t="s">
        <v>73</v>
      </c>
      <c r="E21" s="26" t="n">
        <v>80</v>
      </c>
      <c r="F21" s="26" t="n">
        <v>130</v>
      </c>
      <c r="G21" s="26" t="n">
        <v>200</v>
      </c>
      <c r="H21" s="26" t="n">
        <v>100</v>
      </c>
      <c r="I21" s="26" t="n">
        <v>160</v>
      </c>
      <c r="J21" s="26" t="n">
        <v>90</v>
      </c>
      <c r="K21" s="26" t="n">
        <v>150</v>
      </c>
      <c r="L21" s="27" t="n">
        <v>0</v>
      </c>
      <c r="M21" s="25" t="s">
        <v>103</v>
      </c>
    </row>
    <row r="22" customFormat="false" ht="13.5" hidden="false" customHeight="true" outlineLevel="0" collapsed="false">
      <c r="A22" s="20" t="s">
        <v>85</v>
      </c>
      <c r="B22" s="20" t="s">
        <v>104</v>
      </c>
      <c r="C22" s="21" t="s">
        <v>105</v>
      </c>
      <c r="D22" s="20" t="s">
        <v>73</v>
      </c>
      <c r="E22" s="22" t="n">
        <v>20</v>
      </c>
      <c r="F22" s="22" t="n">
        <v>35</v>
      </c>
      <c r="G22" s="22" t="n">
        <v>60</v>
      </c>
      <c r="H22" s="22" t="n">
        <v>30</v>
      </c>
      <c r="I22" s="22" t="n">
        <v>50</v>
      </c>
      <c r="J22" s="22" t="n">
        <v>25</v>
      </c>
      <c r="K22" s="22" t="n">
        <v>45</v>
      </c>
      <c r="L22" s="23" t="n">
        <v>0</v>
      </c>
      <c r="M22" s="21" t="s">
        <v>106</v>
      </c>
    </row>
    <row r="23" customFormat="false" ht="13.5" hidden="false" customHeight="true" outlineLevel="0" collapsed="false">
      <c r="A23" s="24" t="s">
        <v>85</v>
      </c>
      <c r="B23" s="24" t="s">
        <v>107</v>
      </c>
      <c r="C23" s="25" t="s">
        <v>108</v>
      </c>
      <c r="D23" s="24" t="s">
        <v>109</v>
      </c>
      <c r="E23" s="26" t="n">
        <v>15</v>
      </c>
      <c r="F23" s="26" t="n">
        <v>25</v>
      </c>
      <c r="G23" s="26" t="n">
        <v>40</v>
      </c>
      <c r="H23" s="26" t="n">
        <v>20</v>
      </c>
      <c r="I23" s="26" t="n">
        <v>35</v>
      </c>
      <c r="J23" s="26" t="n">
        <v>18</v>
      </c>
      <c r="K23" s="26" t="n">
        <v>30</v>
      </c>
      <c r="L23" s="27" t="n">
        <v>0</v>
      </c>
      <c r="M23" s="25" t="s">
        <v>110</v>
      </c>
    </row>
    <row r="24" customFormat="false" ht="15" hidden="false" customHeight="true" outlineLevel="0" collapsed="false">
      <c r="A24" s="19" t="s">
        <v>111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customFormat="false" ht="13.5" hidden="false" customHeight="true" outlineLevel="0" collapsed="false">
      <c r="A25" s="20" t="s">
        <v>112</v>
      </c>
      <c r="B25" s="20" t="s">
        <v>113</v>
      </c>
      <c r="C25" s="21" t="s">
        <v>114</v>
      </c>
      <c r="D25" s="20" t="s">
        <v>73</v>
      </c>
      <c r="E25" s="22" t="n">
        <v>15</v>
      </c>
      <c r="F25" s="22" t="n">
        <v>35</v>
      </c>
      <c r="G25" s="22" t="n">
        <v>75</v>
      </c>
      <c r="H25" s="22" t="n">
        <v>25</v>
      </c>
      <c r="I25" s="22" t="n">
        <v>55</v>
      </c>
      <c r="J25" s="22" t="n">
        <v>20</v>
      </c>
      <c r="K25" s="22" t="n">
        <v>50</v>
      </c>
      <c r="L25" s="23" t="n">
        <v>0</v>
      </c>
      <c r="M25" s="21" t="s">
        <v>115</v>
      </c>
    </row>
    <row r="26" customFormat="false" ht="13.5" hidden="false" customHeight="true" outlineLevel="0" collapsed="false">
      <c r="A26" s="24" t="s">
        <v>112</v>
      </c>
      <c r="B26" s="24" t="s">
        <v>116</v>
      </c>
      <c r="C26" s="25" t="s">
        <v>117</v>
      </c>
      <c r="D26" s="24" t="s">
        <v>73</v>
      </c>
      <c r="E26" s="26" t="n">
        <v>20</v>
      </c>
      <c r="F26" s="26" t="n">
        <v>55</v>
      </c>
      <c r="G26" s="26" t="n">
        <v>130</v>
      </c>
      <c r="H26" s="26" t="n">
        <v>30</v>
      </c>
      <c r="I26" s="26" t="n">
        <v>80</v>
      </c>
      <c r="J26" s="26" t="n">
        <v>25</v>
      </c>
      <c r="K26" s="26" t="n">
        <v>70</v>
      </c>
      <c r="L26" s="27" t="n">
        <v>0</v>
      </c>
      <c r="M26" s="25" t="s">
        <v>118</v>
      </c>
    </row>
    <row r="27" customFormat="false" ht="13.5" hidden="false" customHeight="true" outlineLevel="0" collapsed="false">
      <c r="A27" s="20" t="s">
        <v>112</v>
      </c>
      <c r="B27" s="20" t="s">
        <v>119</v>
      </c>
      <c r="C27" s="21" t="s">
        <v>120</v>
      </c>
      <c r="D27" s="20" t="s">
        <v>73</v>
      </c>
      <c r="E27" s="22" t="n">
        <v>10</v>
      </c>
      <c r="F27" s="22" t="n">
        <v>30</v>
      </c>
      <c r="G27" s="22" t="n">
        <v>65</v>
      </c>
      <c r="H27" s="22" t="n">
        <v>15</v>
      </c>
      <c r="I27" s="22" t="n">
        <v>45</v>
      </c>
      <c r="J27" s="22" t="n">
        <v>12</v>
      </c>
      <c r="K27" s="22" t="n">
        <v>40</v>
      </c>
      <c r="L27" s="23" t="n">
        <v>0</v>
      </c>
      <c r="M27" s="21" t="s">
        <v>121</v>
      </c>
    </row>
    <row r="28" customFormat="false" ht="15" hidden="false" customHeight="true" outlineLevel="0" collapsed="false">
      <c r="A28" s="19" t="s">
        <v>122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customFormat="false" ht="13.5" hidden="false" customHeight="true" outlineLevel="0" collapsed="false">
      <c r="A29" s="20" t="s">
        <v>123</v>
      </c>
      <c r="B29" s="20" t="s">
        <v>124</v>
      </c>
      <c r="C29" s="21" t="s">
        <v>125</v>
      </c>
      <c r="D29" s="20" t="s">
        <v>58</v>
      </c>
      <c r="E29" s="22" t="n">
        <v>10</v>
      </c>
      <c r="F29" s="22" t="n">
        <v>30</v>
      </c>
      <c r="G29" s="22" t="n">
        <v>80</v>
      </c>
      <c r="H29" s="22" t="n">
        <v>15</v>
      </c>
      <c r="I29" s="22" t="n">
        <v>50</v>
      </c>
      <c r="J29" s="22" t="n">
        <v>10</v>
      </c>
      <c r="K29" s="22" t="n">
        <v>40</v>
      </c>
      <c r="L29" s="23" t="n">
        <v>0</v>
      </c>
      <c r="M29" s="21" t="s">
        <v>126</v>
      </c>
    </row>
    <row r="30" customFormat="false" ht="13.5" hidden="false" customHeight="true" outlineLevel="0" collapsed="false">
      <c r="A30" s="24" t="s">
        <v>123</v>
      </c>
      <c r="B30" s="24" t="s">
        <v>127</v>
      </c>
      <c r="C30" s="25" t="s">
        <v>128</v>
      </c>
      <c r="D30" s="24" t="s">
        <v>109</v>
      </c>
      <c r="E30" s="26" t="n">
        <v>8</v>
      </c>
      <c r="F30" s="26" t="n">
        <v>18</v>
      </c>
      <c r="G30" s="26" t="n">
        <v>35</v>
      </c>
      <c r="H30" s="26" t="n">
        <v>10</v>
      </c>
      <c r="I30" s="26" t="n">
        <v>22</v>
      </c>
      <c r="J30" s="26" t="n">
        <v>8</v>
      </c>
      <c r="K30" s="26" t="n">
        <v>18</v>
      </c>
      <c r="L30" s="27" t="n">
        <v>0</v>
      </c>
      <c r="M30" s="25" t="s">
        <v>129</v>
      </c>
    </row>
    <row r="31" customFormat="false" ht="13.5" hidden="false" customHeight="true" outlineLevel="0" collapsed="false">
      <c r="A31" s="20" t="s">
        <v>123</v>
      </c>
      <c r="B31" s="20" t="s">
        <v>130</v>
      </c>
      <c r="C31" s="21" t="s">
        <v>131</v>
      </c>
      <c r="D31" s="20" t="s">
        <v>58</v>
      </c>
      <c r="E31" s="22" t="n">
        <v>5</v>
      </c>
      <c r="F31" s="22" t="n">
        <v>15</v>
      </c>
      <c r="G31" s="22" t="n">
        <v>35</v>
      </c>
      <c r="H31" s="22" t="n">
        <v>8</v>
      </c>
      <c r="I31" s="22" t="n">
        <v>20</v>
      </c>
      <c r="J31" s="22" t="n">
        <v>5</v>
      </c>
      <c r="K31" s="22" t="n">
        <v>15</v>
      </c>
      <c r="L31" s="23" t="n">
        <v>0</v>
      </c>
      <c r="M31" s="21" t="s">
        <v>132</v>
      </c>
    </row>
    <row r="32" customFormat="false" ht="13.5" hidden="false" customHeight="true" outlineLevel="0" collapsed="false">
      <c r="A32" s="24" t="s">
        <v>123</v>
      </c>
      <c r="B32" s="24" t="s">
        <v>133</v>
      </c>
      <c r="C32" s="25" t="s">
        <v>134</v>
      </c>
      <c r="D32" s="24" t="s">
        <v>58</v>
      </c>
      <c r="E32" s="27" t="n">
        <v>0</v>
      </c>
      <c r="F32" s="26" t="n">
        <v>10</v>
      </c>
      <c r="G32" s="26" t="n">
        <v>80</v>
      </c>
      <c r="H32" s="26" t="n">
        <v>5</v>
      </c>
      <c r="I32" s="26" t="n">
        <v>60</v>
      </c>
      <c r="J32" s="27" t="n">
        <v>0</v>
      </c>
      <c r="K32" s="26" t="n">
        <v>40</v>
      </c>
      <c r="L32" s="27" t="n">
        <v>0</v>
      </c>
      <c r="M32" s="25" t="s">
        <v>135</v>
      </c>
    </row>
    <row r="33" customFormat="false" ht="15" hidden="false" customHeight="true" outlineLevel="0" collapsed="false">
      <c r="A33" s="19" t="s">
        <v>136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customFormat="false" ht="13.5" hidden="false" customHeight="true" outlineLevel="0" collapsed="false">
      <c r="A34" s="20" t="s">
        <v>137</v>
      </c>
      <c r="B34" s="20" t="s">
        <v>138</v>
      </c>
      <c r="C34" s="21" t="s">
        <v>139</v>
      </c>
      <c r="D34" s="20" t="s">
        <v>73</v>
      </c>
      <c r="E34" s="22" t="n">
        <v>15</v>
      </c>
      <c r="F34" s="22" t="n">
        <v>35</v>
      </c>
      <c r="G34" s="22" t="n">
        <v>65</v>
      </c>
      <c r="H34" s="22" t="n">
        <v>25</v>
      </c>
      <c r="I34" s="22" t="n">
        <v>50</v>
      </c>
      <c r="J34" s="22" t="n">
        <v>20</v>
      </c>
      <c r="K34" s="22" t="n">
        <v>45</v>
      </c>
      <c r="L34" s="23" t="n">
        <v>0</v>
      </c>
      <c r="M34" s="21" t="s">
        <v>140</v>
      </c>
    </row>
    <row r="35" customFormat="false" ht="13.5" hidden="false" customHeight="true" outlineLevel="0" collapsed="false">
      <c r="A35" s="24" t="s">
        <v>137</v>
      </c>
      <c r="B35" s="24" t="s">
        <v>141</v>
      </c>
      <c r="C35" s="25" t="s">
        <v>142</v>
      </c>
      <c r="D35" s="24" t="s">
        <v>73</v>
      </c>
      <c r="E35" s="26" t="n">
        <v>25</v>
      </c>
      <c r="F35" s="26" t="n">
        <v>50</v>
      </c>
      <c r="G35" s="26" t="n">
        <v>90</v>
      </c>
      <c r="H35" s="26" t="n">
        <v>35</v>
      </c>
      <c r="I35" s="26" t="n">
        <v>70</v>
      </c>
      <c r="J35" s="26" t="n">
        <v>30</v>
      </c>
      <c r="K35" s="26" t="n">
        <v>65</v>
      </c>
      <c r="L35" s="27" t="n">
        <v>0</v>
      </c>
      <c r="M35" s="25" t="s">
        <v>143</v>
      </c>
    </row>
    <row r="36" customFormat="false" ht="13.5" hidden="false" customHeight="true" outlineLevel="0" collapsed="false">
      <c r="A36" s="20" t="s">
        <v>137</v>
      </c>
      <c r="B36" s="20" t="s">
        <v>144</v>
      </c>
      <c r="C36" s="21" t="s">
        <v>145</v>
      </c>
      <c r="D36" s="20" t="s">
        <v>73</v>
      </c>
      <c r="E36" s="22" t="n">
        <v>20</v>
      </c>
      <c r="F36" s="22" t="n">
        <v>45</v>
      </c>
      <c r="G36" s="22" t="n">
        <v>90</v>
      </c>
      <c r="H36" s="22" t="n">
        <v>30</v>
      </c>
      <c r="I36" s="22" t="n">
        <v>70</v>
      </c>
      <c r="J36" s="22" t="n">
        <v>25</v>
      </c>
      <c r="K36" s="22" t="n">
        <v>60</v>
      </c>
      <c r="L36" s="23" t="n">
        <v>0</v>
      </c>
      <c r="M36" s="21" t="s">
        <v>146</v>
      </c>
    </row>
    <row r="37" customFormat="false" ht="13.5" hidden="false" customHeight="true" outlineLevel="0" collapsed="false">
      <c r="A37" s="24" t="s">
        <v>137</v>
      </c>
      <c r="B37" s="24" t="s">
        <v>147</v>
      </c>
      <c r="C37" s="25" t="s">
        <v>148</v>
      </c>
      <c r="D37" s="24" t="s">
        <v>73</v>
      </c>
      <c r="E37" s="27" t="n">
        <v>0</v>
      </c>
      <c r="F37" s="26" t="n">
        <v>30</v>
      </c>
      <c r="G37" s="26" t="n">
        <v>70</v>
      </c>
      <c r="H37" s="26" t="n">
        <v>15</v>
      </c>
      <c r="I37" s="26" t="n">
        <v>55</v>
      </c>
      <c r="J37" s="26" t="n">
        <v>10</v>
      </c>
      <c r="K37" s="26" t="n">
        <v>45</v>
      </c>
      <c r="L37" s="27" t="n">
        <v>0</v>
      </c>
      <c r="M37" s="25" t="s">
        <v>149</v>
      </c>
    </row>
    <row r="38" customFormat="false" ht="13.5" hidden="false" customHeight="true" outlineLevel="0" collapsed="false">
      <c r="A38" s="20" t="s">
        <v>137</v>
      </c>
      <c r="B38" s="20" t="s">
        <v>150</v>
      </c>
      <c r="C38" s="21" t="s">
        <v>151</v>
      </c>
      <c r="D38" s="20" t="s">
        <v>58</v>
      </c>
      <c r="E38" s="22" t="n">
        <v>5</v>
      </c>
      <c r="F38" s="22" t="n">
        <v>10</v>
      </c>
      <c r="G38" s="22" t="n">
        <v>15</v>
      </c>
      <c r="H38" s="22" t="n">
        <v>8</v>
      </c>
      <c r="I38" s="22" t="n">
        <v>15</v>
      </c>
      <c r="J38" s="22" t="n">
        <v>5</v>
      </c>
      <c r="K38" s="22" t="n">
        <v>10</v>
      </c>
      <c r="L38" s="23" t="n">
        <v>0</v>
      </c>
      <c r="M38" s="21" t="s">
        <v>152</v>
      </c>
    </row>
    <row r="39" customFormat="false" ht="13.5" hidden="false" customHeight="true" outlineLevel="0" collapsed="false">
      <c r="A39" s="24" t="s">
        <v>137</v>
      </c>
      <c r="B39" s="24" t="s">
        <v>153</v>
      </c>
      <c r="C39" s="25" t="s">
        <v>154</v>
      </c>
      <c r="D39" s="24" t="s">
        <v>73</v>
      </c>
      <c r="E39" s="27" t="n">
        <v>0</v>
      </c>
      <c r="F39" s="26" t="n">
        <v>15</v>
      </c>
      <c r="G39" s="26" t="n">
        <v>30</v>
      </c>
      <c r="H39" s="26" t="n">
        <v>10</v>
      </c>
      <c r="I39" s="26" t="n">
        <v>25</v>
      </c>
      <c r="J39" s="26" t="n">
        <v>5</v>
      </c>
      <c r="K39" s="26" t="n">
        <v>20</v>
      </c>
      <c r="L39" s="27" t="n">
        <v>0</v>
      </c>
      <c r="M39" s="25" t="s">
        <v>155</v>
      </c>
    </row>
    <row r="40" customFormat="false" ht="13.5" hidden="false" customHeight="true" outlineLevel="0" collapsed="false">
      <c r="A40" s="20" t="s">
        <v>137</v>
      </c>
      <c r="B40" s="20" t="s">
        <v>156</v>
      </c>
      <c r="C40" s="21" t="s">
        <v>157</v>
      </c>
      <c r="D40" s="20" t="s">
        <v>73</v>
      </c>
      <c r="E40" s="22" t="n">
        <v>15</v>
      </c>
      <c r="F40" s="22" t="n">
        <v>30</v>
      </c>
      <c r="G40" s="22" t="n">
        <v>55</v>
      </c>
      <c r="H40" s="22" t="n">
        <v>20</v>
      </c>
      <c r="I40" s="22" t="n">
        <v>45</v>
      </c>
      <c r="J40" s="22" t="n">
        <v>15</v>
      </c>
      <c r="K40" s="22" t="n">
        <v>40</v>
      </c>
      <c r="L40" s="23" t="n">
        <v>0</v>
      </c>
      <c r="M40" s="21" t="s">
        <v>158</v>
      </c>
    </row>
    <row r="41" customFormat="false" ht="13.5" hidden="false" customHeight="true" outlineLevel="0" collapsed="false">
      <c r="A41" s="24" t="s">
        <v>137</v>
      </c>
      <c r="B41" s="24" t="s">
        <v>159</v>
      </c>
      <c r="C41" s="25" t="s">
        <v>160</v>
      </c>
      <c r="D41" s="24" t="s">
        <v>73</v>
      </c>
      <c r="E41" s="26" t="n">
        <v>20</v>
      </c>
      <c r="F41" s="26" t="n">
        <v>40</v>
      </c>
      <c r="G41" s="26" t="n">
        <v>75</v>
      </c>
      <c r="H41" s="26" t="n">
        <v>30</v>
      </c>
      <c r="I41" s="26" t="n">
        <v>60</v>
      </c>
      <c r="J41" s="26" t="n">
        <v>25</v>
      </c>
      <c r="K41" s="26" t="n">
        <v>55</v>
      </c>
      <c r="L41" s="27" t="n">
        <v>0</v>
      </c>
      <c r="M41" s="25" t="s">
        <v>161</v>
      </c>
    </row>
    <row r="42" customFormat="false" ht="13.5" hidden="false" customHeight="true" outlineLevel="0" collapsed="false">
      <c r="A42" s="20" t="s">
        <v>137</v>
      </c>
      <c r="B42" s="20" t="s">
        <v>162</v>
      </c>
      <c r="C42" s="21" t="s">
        <v>163</v>
      </c>
      <c r="D42" s="20" t="s">
        <v>73</v>
      </c>
      <c r="E42" s="22" t="n">
        <v>10</v>
      </c>
      <c r="F42" s="22" t="n">
        <v>20</v>
      </c>
      <c r="G42" s="22" t="n">
        <v>35</v>
      </c>
      <c r="H42" s="22" t="n">
        <v>12</v>
      </c>
      <c r="I42" s="22" t="n">
        <v>25</v>
      </c>
      <c r="J42" s="22" t="n">
        <v>10</v>
      </c>
      <c r="K42" s="22" t="n">
        <v>22</v>
      </c>
      <c r="L42" s="23" t="n">
        <v>0</v>
      </c>
      <c r="M42" s="21" t="s">
        <v>164</v>
      </c>
    </row>
    <row r="43" customFormat="false" ht="13.5" hidden="false" customHeight="true" outlineLevel="0" collapsed="false">
      <c r="A43" s="24" t="s">
        <v>137</v>
      </c>
      <c r="B43" s="24" t="s">
        <v>165</v>
      </c>
      <c r="C43" s="25" t="s">
        <v>166</v>
      </c>
      <c r="D43" s="24" t="s">
        <v>58</v>
      </c>
      <c r="E43" s="27" t="n">
        <v>0</v>
      </c>
      <c r="F43" s="26" t="n">
        <v>5</v>
      </c>
      <c r="G43" s="26" t="n">
        <v>10</v>
      </c>
      <c r="H43" s="26" t="n">
        <v>5</v>
      </c>
      <c r="I43" s="26" t="n">
        <v>12</v>
      </c>
      <c r="J43" s="26" t="n">
        <v>3</v>
      </c>
      <c r="K43" s="26" t="n">
        <v>8</v>
      </c>
      <c r="L43" s="26" t="n">
        <v>10</v>
      </c>
      <c r="M43" s="25" t="s">
        <v>167</v>
      </c>
    </row>
    <row r="44" customFormat="false" ht="13.5" hidden="false" customHeight="true" outlineLevel="0" collapsed="false">
      <c r="A44" s="20" t="s">
        <v>137</v>
      </c>
      <c r="B44" s="20" t="s">
        <v>168</v>
      </c>
      <c r="C44" s="21" t="s">
        <v>169</v>
      </c>
      <c r="D44" s="20" t="s">
        <v>170</v>
      </c>
      <c r="E44" s="23" t="n">
        <v>0</v>
      </c>
      <c r="F44" s="22" t="n">
        <v>800</v>
      </c>
      <c r="G44" s="22" t="n">
        <v>1200</v>
      </c>
      <c r="H44" s="22" t="n">
        <v>800</v>
      </c>
      <c r="I44" s="22" t="n">
        <v>1200</v>
      </c>
      <c r="J44" s="22" t="n">
        <v>800</v>
      </c>
      <c r="K44" s="22" t="n">
        <v>1200</v>
      </c>
      <c r="L44" s="23" t="n">
        <v>0</v>
      </c>
      <c r="M44" s="21" t="s">
        <v>171</v>
      </c>
    </row>
    <row r="45" customFormat="false" ht="13.5" hidden="false" customHeight="true" outlineLevel="0" collapsed="false">
      <c r="A45" s="24" t="s">
        <v>137</v>
      </c>
      <c r="B45" s="24" t="s">
        <v>172</v>
      </c>
      <c r="C45" s="25" t="s">
        <v>173</v>
      </c>
      <c r="D45" s="24" t="s">
        <v>109</v>
      </c>
      <c r="E45" s="27" t="n">
        <v>0</v>
      </c>
      <c r="F45" s="26" t="n">
        <v>1500</v>
      </c>
      <c r="G45" s="26" t="n">
        <v>2500</v>
      </c>
      <c r="H45" s="26" t="n">
        <v>1500</v>
      </c>
      <c r="I45" s="26" t="n">
        <v>2500</v>
      </c>
      <c r="J45" s="26" t="n">
        <v>1500</v>
      </c>
      <c r="K45" s="26" t="n">
        <v>2500</v>
      </c>
      <c r="L45" s="26" t="n">
        <v>2000</v>
      </c>
      <c r="M45" s="25" t="s">
        <v>174</v>
      </c>
    </row>
    <row r="46" customFormat="false" ht="13.5" hidden="false" customHeight="true" outlineLevel="0" collapsed="false">
      <c r="A46" s="20" t="s">
        <v>137</v>
      </c>
      <c r="B46" s="20" t="s">
        <v>175</v>
      </c>
      <c r="C46" s="21" t="s">
        <v>176</v>
      </c>
      <c r="D46" s="20" t="s">
        <v>73</v>
      </c>
      <c r="E46" s="22" t="n">
        <v>8</v>
      </c>
      <c r="F46" s="22" t="n">
        <v>18</v>
      </c>
      <c r="G46" s="22" t="n">
        <v>35</v>
      </c>
      <c r="H46" s="22" t="n">
        <v>10</v>
      </c>
      <c r="I46" s="22" t="n">
        <v>25</v>
      </c>
      <c r="J46" s="22" t="n">
        <v>8</v>
      </c>
      <c r="K46" s="22" t="n">
        <v>20</v>
      </c>
      <c r="L46" s="23" t="n">
        <v>0</v>
      </c>
      <c r="M46" s="21" t="s">
        <v>177</v>
      </c>
    </row>
    <row r="47" customFormat="false" ht="13.5" hidden="false" customHeight="true" outlineLevel="0" collapsed="false">
      <c r="A47" s="24" t="s">
        <v>137</v>
      </c>
      <c r="B47" s="24" t="s">
        <v>178</v>
      </c>
      <c r="C47" s="25" t="s">
        <v>179</v>
      </c>
      <c r="D47" s="24" t="s">
        <v>58</v>
      </c>
      <c r="E47" s="27" t="n">
        <v>0</v>
      </c>
      <c r="F47" s="26" t="n">
        <v>10</v>
      </c>
      <c r="G47" s="26" t="n">
        <v>50</v>
      </c>
      <c r="H47" s="26" t="n">
        <v>5</v>
      </c>
      <c r="I47" s="26" t="n">
        <v>40</v>
      </c>
      <c r="J47" s="26" t="n">
        <v>3</v>
      </c>
      <c r="K47" s="26" t="n">
        <v>30</v>
      </c>
      <c r="L47" s="27" t="n">
        <v>0</v>
      </c>
      <c r="M47" s="25" t="s">
        <v>180</v>
      </c>
    </row>
    <row r="48" customFormat="false" ht="13.5" hidden="false" customHeight="true" outlineLevel="0" collapsed="false">
      <c r="A48" s="20" t="s">
        <v>137</v>
      </c>
      <c r="B48" s="20" t="s">
        <v>181</v>
      </c>
      <c r="C48" s="21" t="s">
        <v>182</v>
      </c>
      <c r="D48" s="20" t="s">
        <v>73</v>
      </c>
      <c r="E48" s="22" t="n">
        <v>5</v>
      </c>
      <c r="F48" s="22" t="n">
        <v>15</v>
      </c>
      <c r="G48" s="22" t="n">
        <v>30</v>
      </c>
      <c r="H48" s="22" t="n">
        <v>8</v>
      </c>
      <c r="I48" s="22" t="n">
        <v>20</v>
      </c>
      <c r="J48" s="22" t="n">
        <v>5</v>
      </c>
      <c r="K48" s="22" t="n">
        <v>15</v>
      </c>
      <c r="L48" s="23" t="n">
        <v>0</v>
      </c>
      <c r="M48" s="21" t="s">
        <v>183</v>
      </c>
    </row>
    <row r="49" customFormat="false" ht="13.5" hidden="false" customHeight="true" outlineLevel="0" collapsed="false">
      <c r="A49" s="24" t="s">
        <v>137</v>
      </c>
      <c r="B49" s="24" t="s">
        <v>184</v>
      </c>
      <c r="C49" s="25" t="s">
        <v>185</v>
      </c>
      <c r="D49" s="24" t="s">
        <v>109</v>
      </c>
      <c r="E49" s="26" t="n">
        <v>50</v>
      </c>
      <c r="F49" s="26" t="n">
        <v>80</v>
      </c>
      <c r="G49" s="26" t="n">
        <v>120</v>
      </c>
      <c r="H49" s="26" t="n">
        <v>60</v>
      </c>
      <c r="I49" s="26" t="n">
        <v>100</v>
      </c>
      <c r="J49" s="26" t="n">
        <v>50</v>
      </c>
      <c r="K49" s="26" t="n">
        <v>90</v>
      </c>
      <c r="L49" s="27" t="n">
        <v>0</v>
      </c>
      <c r="M49" s="25" t="s">
        <v>186</v>
      </c>
    </row>
    <row r="50" customFormat="false" ht="13.5" hidden="false" customHeight="true" outlineLevel="0" collapsed="false">
      <c r="A50" s="20" t="s">
        <v>137</v>
      </c>
      <c r="B50" s="20" t="s">
        <v>187</v>
      </c>
      <c r="C50" s="21" t="s">
        <v>188</v>
      </c>
      <c r="D50" s="20" t="s">
        <v>73</v>
      </c>
      <c r="E50" s="22" t="n">
        <v>5</v>
      </c>
      <c r="F50" s="22" t="n">
        <v>12</v>
      </c>
      <c r="G50" s="22" t="n">
        <v>22</v>
      </c>
      <c r="H50" s="22" t="n">
        <v>8</v>
      </c>
      <c r="I50" s="22" t="n">
        <v>18</v>
      </c>
      <c r="J50" s="22" t="n">
        <v>6</v>
      </c>
      <c r="K50" s="22" t="n">
        <v>15</v>
      </c>
      <c r="L50" s="23" t="n">
        <v>0</v>
      </c>
      <c r="M50" s="21" t="s">
        <v>189</v>
      </c>
    </row>
    <row r="51" customFormat="false" ht="15" hidden="false" customHeight="true" outlineLevel="0" collapsed="false">
      <c r="A51" s="19" t="s">
        <v>190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customFormat="false" ht="13.5" hidden="false" customHeight="true" outlineLevel="0" collapsed="false">
      <c r="A52" s="20" t="s">
        <v>191</v>
      </c>
      <c r="B52" s="20" t="s">
        <v>192</v>
      </c>
      <c r="C52" s="21" t="s">
        <v>193</v>
      </c>
      <c r="D52" s="20" t="s">
        <v>58</v>
      </c>
      <c r="E52" s="23" t="n">
        <v>0</v>
      </c>
      <c r="F52" s="23" t="n">
        <v>0</v>
      </c>
      <c r="G52" s="22" t="n">
        <v>200</v>
      </c>
      <c r="H52" s="23" t="n">
        <v>0</v>
      </c>
      <c r="I52" s="22" t="n">
        <v>150</v>
      </c>
      <c r="J52" s="23" t="n">
        <v>0</v>
      </c>
      <c r="K52" s="22" t="n">
        <v>100</v>
      </c>
      <c r="L52" s="23" t="n">
        <v>0</v>
      </c>
      <c r="M52" s="21" t="s">
        <v>194</v>
      </c>
    </row>
    <row r="53" customFormat="false" ht="13.5" hidden="false" customHeight="true" outlineLevel="0" collapsed="false">
      <c r="A53" s="24" t="s">
        <v>191</v>
      </c>
      <c r="B53" s="24" t="s">
        <v>195</v>
      </c>
      <c r="C53" s="25" t="s">
        <v>196</v>
      </c>
      <c r="D53" s="24" t="s">
        <v>58</v>
      </c>
      <c r="E53" s="27" t="n">
        <v>0</v>
      </c>
      <c r="F53" s="26" t="n">
        <v>50</v>
      </c>
      <c r="G53" s="26" t="n">
        <v>100</v>
      </c>
      <c r="H53" s="27" t="n">
        <v>0</v>
      </c>
      <c r="I53" s="26" t="n">
        <v>80</v>
      </c>
      <c r="J53" s="27" t="n">
        <v>0</v>
      </c>
      <c r="K53" s="26" t="n">
        <v>60</v>
      </c>
      <c r="L53" s="27" t="n">
        <v>0</v>
      </c>
      <c r="M53" s="25" t="s">
        <v>197</v>
      </c>
    </row>
    <row r="54" customFormat="false" ht="15" hidden="false" customHeight="true" outlineLevel="0" collapsed="false">
      <c r="A54" s="19" t="s">
        <v>198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customFormat="false" ht="13.5" hidden="false" customHeight="true" outlineLevel="0" collapsed="false">
      <c r="A55" s="20" t="s">
        <v>199</v>
      </c>
      <c r="B55" s="20" t="s">
        <v>200</v>
      </c>
      <c r="C55" s="21" t="s">
        <v>201</v>
      </c>
      <c r="D55" s="20" t="s">
        <v>58</v>
      </c>
      <c r="E55" s="22" t="n">
        <v>10</v>
      </c>
      <c r="F55" s="22" t="n">
        <v>25</v>
      </c>
      <c r="G55" s="22" t="n">
        <v>55</v>
      </c>
      <c r="H55" s="23" t="n">
        <v>0</v>
      </c>
      <c r="I55" s="23" t="n">
        <v>0</v>
      </c>
      <c r="J55" s="22" t="n">
        <v>15</v>
      </c>
      <c r="K55" s="22" t="n">
        <v>35</v>
      </c>
      <c r="L55" s="23" t="n">
        <v>0</v>
      </c>
      <c r="M55" s="21" t="s">
        <v>202</v>
      </c>
    </row>
    <row r="56" customFormat="false" ht="13.5" hidden="false" customHeight="true" outlineLevel="0" collapsed="false">
      <c r="A56" s="24" t="s">
        <v>199</v>
      </c>
      <c r="B56" s="24" t="s">
        <v>203</v>
      </c>
      <c r="C56" s="25" t="s">
        <v>204</v>
      </c>
      <c r="D56" s="24" t="s">
        <v>58</v>
      </c>
      <c r="E56" s="26" t="n">
        <v>10</v>
      </c>
      <c r="F56" s="26" t="n">
        <v>20</v>
      </c>
      <c r="G56" s="26" t="n">
        <v>45</v>
      </c>
      <c r="H56" s="27" t="n">
        <v>0</v>
      </c>
      <c r="I56" s="27" t="n">
        <v>0</v>
      </c>
      <c r="J56" s="26" t="n">
        <v>12</v>
      </c>
      <c r="K56" s="26" t="n">
        <v>28</v>
      </c>
      <c r="L56" s="27" t="n">
        <v>0</v>
      </c>
      <c r="M56" s="25" t="s">
        <v>205</v>
      </c>
    </row>
    <row r="57" customFormat="false" ht="13.5" hidden="false" customHeight="true" outlineLevel="0" collapsed="false">
      <c r="A57" s="20" t="s">
        <v>199</v>
      </c>
      <c r="B57" s="20" t="s">
        <v>206</v>
      </c>
      <c r="C57" s="21" t="s">
        <v>207</v>
      </c>
      <c r="D57" s="20" t="s">
        <v>58</v>
      </c>
      <c r="E57" s="22" t="n">
        <v>5</v>
      </c>
      <c r="F57" s="22" t="n">
        <v>10</v>
      </c>
      <c r="G57" s="22" t="n">
        <v>20</v>
      </c>
      <c r="H57" s="23" t="n">
        <v>0</v>
      </c>
      <c r="I57" s="23" t="n">
        <v>0</v>
      </c>
      <c r="J57" s="22" t="n">
        <v>5</v>
      </c>
      <c r="K57" s="22" t="n">
        <v>15</v>
      </c>
      <c r="L57" s="23" t="n">
        <v>0</v>
      </c>
      <c r="M57" s="21" t="s">
        <v>208</v>
      </c>
    </row>
    <row r="58" customFormat="false" ht="13.5" hidden="false" customHeight="true" outlineLevel="0" collapsed="false">
      <c r="A58" s="24" t="s">
        <v>199</v>
      </c>
      <c r="B58" s="24" t="s">
        <v>209</v>
      </c>
      <c r="C58" s="25" t="s">
        <v>210</v>
      </c>
      <c r="D58" s="24" t="s">
        <v>58</v>
      </c>
      <c r="E58" s="27" t="n">
        <v>0</v>
      </c>
      <c r="F58" s="26" t="n">
        <v>30</v>
      </c>
      <c r="G58" s="26" t="n">
        <v>80</v>
      </c>
      <c r="H58" s="27" t="n">
        <v>0</v>
      </c>
      <c r="I58" s="27" t="n">
        <v>0</v>
      </c>
      <c r="J58" s="26" t="n">
        <v>20</v>
      </c>
      <c r="K58" s="26" t="n">
        <v>55</v>
      </c>
      <c r="L58" s="27" t="n">
        <v>0</v>
      </c>
      <c r="M58" s="25" t="s">
        <v>211</v>
      </c>
    </row>
    <row r="59" customFormat="false" ht="13.5" hidden="false" customHeight="true" outlineLevel="0" collapsed="false">
      <c r="A59" s="20" t="s">
        <v>199</v>
      </c>
      <c r="B59" s="20" t="s">
        <v>212</v>
      </c>
      <c r="C59" s="21" t="s">
        <v>213</v>
      </c>
      <c r="D59" s="20" t="s">
        <v>58</v>
      </c>
      <c r="E59" s="22" t="n">
        <v>5</v>
      </c>
      <c r="F59" s="22" t="n">
        <v>10</v>
      </c>
      <c r="G59" s="22" t="n">
        <v>20</v>
      </c>
      <c r="H59" s="23" t="n">
        <v>0</v>
      </c>
      <c r="I59" s="23" t="n">
        <v>0</v>
      </c>
      <c r="J59" s="22" t="n">
        <v>5</v>
      </c>
      <c r="K59" s="22" t="n">
        <v>12</v>
      </c>
      <c r="L59" s="23" t="n">
        <v>0</v>
      </c>
      <c r="M59" s="21" t="s">
        <v>214</v>
      </c>
    </row>
    <row r="60" customFormat="false" ht="15" hidden="false" customHeight="true" outlineLevel="0" collapsed="false">
      <c r="A60" s="19" t="s">
        <v>215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customFormat="false" ht="13.5" hidden="false" customHeight="true" outlineLevel="0" collapsed="false">
      <c r="A61" s="20" t="s">
        <v>216</v>
      </c>
      <c r="B61" s="20" t="s">
        <v>217</v>
      </c>
      <c r="C61" s="21" t="s">
        <v>218</v>
      </c>
      <c r="D61" s="20" t="s">
        <v>58</v>
      </c>
      <c r="E61" s="22" t="n">
        <v>3</v>
      </c>
      <c r="F61" s="22" t="n">
        <v>8</v>
      </c>
      <c r="G61" s="22" t="n">
        <v>15</v>
      </c>
      <c r="H61" s="22" t="n">
        <v>8</v>
      </c>
      <c r="I61" s="22" t="n">
        <v>18</v>
      </c>
      <c r="J61" s="22" t="n">
        <v>5</v>
      </c>
      <c r="K61" s="22" t="n">
        <v>12</v>
      </c>
      <c r="L61" s="22" t="n">
        <v>10</v>
      </c>
      <c r="M61" s="21" t="s">
        <v>219</v>
      </c>
    </row>
    <row r="62" customFormat="false" ht="13.5" hidden="false" customHeight="true" outlineLevel="0" collapsed="false">
      <c r="A62" s="24" t="s">
        <v>216</v>
      </c>
      <c r="B62" s="24" t="s">
        <v>220</v>
      </c>
      <c r="C62" s="25" t="s">
        <v>221</v>
      </c>
      <c r="D62" s="24" t="s">
        <v>73</v>
      </c>
      <c r="E62" s="27" t="n">
        <v>0</v>
      </c>
      <c r="F62" s="26" t="n">
        <v>10</v>
      </c>
      <c r="G62" s="26" t="n">
        <v>20</v>
      </c>
      <c r="H62" s="26" t="n">
        <v>15</v>
      </c>
      <c r="I62" s="26" t="n">
        <v>35</v>
      </c>
      <c r="J62" s="26" t="n">
        <v>10</v>
      </c>
      <c r="K62" s="26" t="n">
        <v>25</v>
      </c>
      <c r="L62" s="26" t="n">
        <v>35</v>
      </c>
      <c r="M62" s="25" t="s">
        <v>222</v>
      </c>
    </row>
    <row r="63" customFormat="false" ht="13.5" hidden="false" customHeight="true" outlineLevel="0" collapsed="false">
      <c r="A63" s="20" t="s">
        <v>216</v>
      </c>
      <c r="B63" s="20" t="s">
        <v>223</v>
      </c>
      <c r="C63" s="21" t="s">
        <v>224</v>
      </c>
      <c r="D63" s="20" t="s">
        <v>109</v>
      </c>
      <c r="E63" s="23" t="n">
        <v>0</v>
      </c>
      <c r="F63" s="22" t="n">
        <v>5</v>
      </c>
      <c r="G63" s="22" t="n">
        <v>10</v>
      </c>
      <c r="H63" s="22" t="n">
        <v>5</v>
      </c>
      <c r="I63" s="22" t="n">
        <v>12</v>
      </c>
      <c r="J63" s="22" t="n">
        <v>3</v>
      </c>
      <c r="K63" s="22" t="n">
        <v>8</v>
      </c>
      <c r="L63" s="22" t="n">
        <v>20</v>
      </c>
      <c r="M63" s="21" t="s">
        <v>225</v>
      </c>
    </row>
    <row r="64" customFormat="false" ht="13.5" hidden="false" customHeight="true" outlineLevel="0" collapsed="false">
      <c r="A64" s="24" t="s">
        <v>216</v>
      </c>
      <c r="B64" s="24" t="s">
        <v>226</v>
      </c>
      <c r="C64" s="25" t="s">
        <v>227</v>
      </c>
      <c r="D64" s="24" t="s">
        <v>58</v>
      </c>
      <c r="E64" s="26" t="n">
        <v>3</v>
      </c>
      <c r="F64" s="26" t="n">
        <v>8</v>
      </c>
      <c r="G64" s="26" t="n">
        <v>15</v>
      </c>
      <c r="H64" s="26" t="n">
        <v>10</v>
      </c>
      <c r="I64" s="26" t="n">
        <v>20</v>
      </c>
      <c r="J64" s="26" t="n">
        <v>5</v>
      </c>
      <c r="K64" s="26" t="n">
        <v>15</v>
      </c>
      <c r="L64" s="26" t="n">
        <v>25</v>
      </c>
      <c r="M64" s="25" t="s">
        <v>228</v>
      </c>
    </row>
    <row r="65" customFormat="false" ht="13.5" hidden="false" customHeight="true" outlineLevel="0" collapsed="false">
      <c r="A65" s="20" t="s">
        <v>216</v>
      </c>
      <c r="B65" s="20" t="s">
        <v>229</v>
      </c>
      <c r="C65" s="21" t="s">
        <v>230</v>
      </c>
      <c r="D65" s="20" t="s">
        <v>58</v>
      </c>
      <c r="E65" s="22" t="n">
        <v>3</v>
      </c>
      <c r="F65" s="22" t="n">
        <v>6</v>
      </c>
      <c r="G65" s="22" t="n">
        <v>12</v>
      </c>
      <c r="H65" s="22" t="n">
        <v>8</v>
      </c>
      <c r="I65" s="22" t="n">
        <v>15</v>
      </c>
      <c r="J65" s="22" t="n">
        <v>5</v>
      </c>
      <c r="K65" s="22" t="n">
        <v>10</v>
      </c>
      <c r="L65" s="22" t="n">
        <v>15</v>
      </c>
      <c r="M65" s="21" t="s">
        <v>231</v>
      </c>
    </row>
    <row r="66" customFormat="false" ht="13.5" hidden="false" customHeight="true" outlineLevel="0" collapsed="false">
      <c r="A66" s="24" t="s">
        <v>216</v>
      </c>
      <c r="B66" s="24" t="s">
        <v>232</v>
      </c>
      <c r="C66" s="25" t="s">
        <v>233</v>
      </c>
      <c r="D66" s="24" t="s">
        <v>58</v>
      </c>
      <c r="E66" s="26" t="n">
        <v>3</v>
      </c>
      <c r="F66" s="26" t="n">
        <v>8</v>
      </c>
      <c r="G66" s="26" t="n">
        <v>15</v>
      </c>
      <c r="H66" s="26" t="n">
        <v>10</v>
      </c>
      <c r="I66" s="26" t="n">
        <v>20</v>
      </c>
      <c r="J66" s="26" t="n">
        <v>5</v>
      </c>
      <c r="K66" s="26" t="n">
        <v>15</v>
      </c>
      <c r="L66" s="26" t="n">
        <v>20</v>
      </c>
      <c r="M66" s="25" t="s">
        <v>234</v>
      </c>
    </row>
    <row r="67" customFormat="false" ht="13.5" hidden="false" customHeight="true" outlineLevel="0" collapsed="false">
      <c r="A67" s="20" t="s">
        <v>216</v>
      </c>
      <c r="B67" s="20" t="s">
        <v>235</v>
      </c>
      <c r="C67" s="21" t="s">
        <v>236</v>
      </c>
      <c r="D67" s="20" t="s">
        <v>73</v>
      </c>
      <c r="E67" s="23" t="n">
        <v>0</v>
      </c>
      <c r="F67" s="22" t="n">
        <v>3</v>
      </c>
      <c r="G67" s="22" t="n">
        <v>8</v>
      </c>
      <c r="H67" s="22" t="n">
        <v>5</v>
      </c>
      <c r="I67" s="22" t="n">
        <v>12</v>
      </c>
      <c r="J67" s="22" t="n">
        <v>3</v>
      </c>
      <c r="K67" s="22" t="n">
        <v>10</v>
      </c>
      <c r="L67" s="22" t="n">
        <v>15</v>
      </c>
      <c r="M67" s="21" t="s">
        <v>237</v>
      </c>
    </row>
    <row r="68" customFormat="false" ht="13.5" hidden="false" customHeight="true" outlineLevel="0" collapsed="false">
      <c r="A68" s="24" t="s">
        <v>216</v>
      </c>
      <c r="B68" s="24" t="s">
        <v>238</v>
      </c>
      <c r="C68" s="25" t="s">
        <v>239</v>
      </c>
      <c r="D68" s="24" t="s">
        <v>58</v>
      </c>
      <c r="E68" s="27" t="n">
        <v>0</v>
      </c>
      <c r="F68" s="26" t="n">
        <v>3</v>
      </c>
      <c r="G68" s="26" t="n">
        <v>8</v>
      </c>
      <c r="H68" s="26" t="n">
        <v>3</v>
      </c>
      <c r="I68" s="26" t="n">
        <v>10</v>
      </c>
      <c r="J68" s="26" t="n">
        <v>2</v>
      </c>
      <c r="K68" s="26" t="n">
        <v>8</v>
      </c>
      <c r="L68" s="26" t="n">
        <v>12</v>
      </c>
      <c r="M68" s="25" t="s">
        <v>240</v>
      </c>
    </row>
    <row r="69" customFormat="false" ht="13.5" hidden="false" customHeight="true" outlineLevel="0" collapsed="false">
      <c r="A69" s="20" t="s">
        <v>216</v>
      </c>
      <c r="B69" s="20" t="s">
        <v>241</v>
      </c>
      <c r="C69" s="21" t="s">
        <v>166</v>
      </c>
      <c r="D69" s="20" t="s">
        <v>58</v>
      </c>
      <c r="E69" s="23" t="n">
        <v>0</v>
      </c>
      <c r="F69" s="22" t="n">
        <v>2</v>
      </c>
      <c r="G69" s="22" t="n">
        <v>5</v>
      </c>
      <c r="H69" s="22" t="n">
        <v>3</v>
      </c>
      <c r="I69" s="22" t="n">
        <v>8</v>
      </c>
      <c r="J69" s="22" t="n">
        <v>2</v>
      </c>
      <c r="K69" s="22" t="n">
        <v>6</v>
      </c>
      <c r="L69" s="22" t="n">
        <v>10</v>
      </c>
      <c r="M69" s="21" t="s">
        <v>242</v>
      </c>
    </row>
    <row r="70" customFormat="false" ht="7.5" hidden="false" customHeight="true" outlineLevel="0" collapsed="false"/>
    <row r="71" customFormat="false" ht="39.75" hidden="false" customHeight="true" outlineLevel="0" collapsed="false">
      <c r="A71" s="28" t="s">
        <v>243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</row>
  </sheetData>
  <mergeCells count="12">
    <mergeCell ref="A1:M1"/>
    <mergeCell ref="A2:M2"/>
    <mergeCell ref="A5:M5"/>
    <mergeCell ref="A10:M10"/>
    <mergeCell ref="A15:M15"/>
    <mergeCell ref="A24:M24"/>
    <mergeCell ref="A28:M28"/>
    <mergeCell ref="A33:M33"/>
    <mergeCell ref="A51:M51"/>
    <mergeCell ref="A54:M54"/>
    <mergeCell ref="A60:M60"/>
    <mergeCell ref="A71:M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50"/>
    <col collapsed="false" customWidth="true" hidden="false" outlineLevel="0" max="4" min="4" style="1" width="8"/>
    <col collapsed="false" customWidth="true" hidden="false" outlineLevel="0" max="7" min="5" style="1" width="14"/>
    <col collapsed="false" customWidth="true" hidden="false" outlineLevel="0" max="9" min="8" style="1" width="17"/>
    <col collapsed="false" customWidth="true" hidden="false" outlineLevel="0" max="10" min="10" style="1" width="40"/>
  </cols>
  <sheetData>
    <row r="1" customFormat="false" ht="21.75" hidden="false" customHeight="true" outlineLevel="0" collapsed="false">
      <c r="A1" s="29" t="s">
        <v>244</v>
      </c>
      <c r="B1" s="29"/>
      <c r="C1" s="29"/>
      <c r="D1" s="29"/>
      <c r="E1" s="29"/>
      <c r="F1" s="29"/>
      <c r="G1" s="29"/>
      <c r="H1" s="29"/>
      <c r="I1" s="29"/>
    </row>
    <row r="2" customFormat="false" ht="19.5" hidden="false" customHeight="true" outlineLevel="0" collapsed="false">
      <c r="A2" s="30" t="s">
        <v>245</v>
      </c>
      <c r="B2" s="30"/>
      <c r="C2" s="30"/>
      <c r="D2" s="30"/>
      <c r="E2" s="30"/>
      <c r="F2" s="30"/>
      <c r="G2" s="30"/>
      <c r="H2" s="30"/>
      <c r="I2" s="30"/>
    </row>
    <row r="3" customFormat="false" ht="6" hidden="false" customHeight="true" outlineLevel="0" collapsed="false"/>
    <row r="4" customFormat="false" ht="15" hidden="false" customHeight="true" outlineLevel="0" collapsed="false">
      <c r="A4" s="31" t="s">
        <v>246</v>
      </c>
      <c r="B4" s="32" t="s">
        <v>247</v>
      </c>
      <c r="D4" s="31" t="s">
        <v>248</v>
      </c>
      <c r="E4" s="32" t="s">
        <v>249</v>
      </c>
      <c r="G4" s="31" t="s">
        <v>250</v>
      </c>
      <c r="H4" s="33" t="s">
        <v>251</v>
      </c>
    </row>
    <row r="5" customFormat="false" ht="18" hidden="false" customHeight="true" outlineLevel="0" collapsed="false">
      <c r="A5" s="31" t="s">
        <v>252</v>
      </c>
      <c r="B5" s="34" t="n">
        <v>500</v>
      </c>
      <c r="D5" s="31" t="s">
        <v>253</v>
      </c>
      <c r="E5" s="35" t="n">
        <v>0.94</v>
      </c>
      <c r="G5" s="31" t="s">
        <v>254</v>
      </c>
      <c r="H5" s="35" t="n">
        <v>0.22</v>
      </c>
    </row>
    <row r="6" customFormat="false" ht="6" hidden="false" customHeight="true" outlineLevel="0" collapsed="false"/>
    <row r="7" customFormat="false" ht="27.75" hidden="false" customHeight="true" outlineLevel="0" collapsed="false">
      <c r="A7" s="18" t="s">
        <v>41</v>
      </c>
      <c r="B7" s="18" t="s">
        <v>42</v>
      </c>
      <c r="C7" s="18" t="s">
        <v>43</v>
      </c>
      <c r="D7" s="18" t="s">
        <v>44</v>
      </c>
      <c r="E7" s="18" t="s">
        <v>255</v>
      </c>
      <c r="F7" s="18" t="s">
        <v>256</v>
      </c>
      <c r="G7" s="18" t="s">
        <v>257</v>
      </c>
      <c r="H7" s="18" t="s">
        <v>258</v>
      </c>
      <c r="I7" s="18" t="s">
        <v>259</v>
      </c>
      <c r="J7" s="18" t="s">
        <v>53</v>
      </c>
    </row>
    <row r="8" customFormat="false" ht="15.75" hidden="false" customHeight="true" outlineLevel="0" collapsed="false">
      <c r="A8" s="36" t="s">
        <v>260</v>
      </c>
      <c r="B8" s="36"/>
      <c r="C8" s="36"/>
      <c r="D8" s="36"/>
      <c r="E8" s="36"/>
      <c r="F8" s="36"/>
      <c r="G8" s="36"/>
      <c r="H8" s="36"/>
      <c r="I8" s="36"/>
      <c r="J8" s="36"/>
    </row>
    <row r="9" customFormat="false" ht="13.5" hidden="false" customHeight="true" outlineLevel="0" collapsed="false">
      <c r="A9" s="20" t="s">
        <v>55</v>
      </c>
      <c r="B9" s="20" t="s">
        <v>56</v>
      </c>
      <c r="C9" s="21" t="s">
        <v>57</v>
      </c>
      <c r="D9" s="20" t="s">
        <v>58</v>
      </c>
      <c r="E9" s="22" t="n">
        <f aca="false">IFERROR('Rates Reference Table'!E6*$E$5,0)</f>
        <v>14.1</v>
      </c>
      <c r="F9" s="22" t="n">
        <f aca="false">IFERROR(E9*(1-$H$5/2),0)</f>
        <v>12.549</v>
      </c>
      <c r="G9" s="22" t="n">
        <f aca="false">IFERROR(E9*(1+$H$5/2),0)</f>
        <v>15.651</v>
      </c>
      <c r="H9" s="22" t="n">
        <f aca="false">IFERROR(F9*$B$5,0)</f>
        <v>6274.5</v>
      </c>
      <c r="I9" s="22" t="n">
        <f aca="false">IFERROR(G9*$B$5,0)</f>
        <v>7825.5</v>
      </c>
      <c r="J9" s="21" t="s">
        <v>59</v>
      </c>
    </row>
    <row r="10" customFormat="false" ht="13.5" hidden="false" customHeight="true" outlineLevel="0" collapsed="false">
      <c r="A10" s="24" t="s">
        <v>55</v>
      </c>
      <c r="B10" s="24" t="s">
        <v>60</v>
      </c>
      <c r="C10" s="25" t="s">
        <v>61</v>
      </c>
      <c r="D10" s="24" t="s">
        <v>58</v>
      </c>
      <c r="E10" s="26" t="n">
        <f aca="false">IFERROR('Rates Reference Table'!E7*$E$5,0)</f>
        <v>18.8</v>
      </c>
      <c r="F10" s="26" t="n">
        <f aca="false">IFERROR(E10*(1-$H$5/2),0)</f>
        <v>16.732</v>
      </c>
      <c r="G10" s="26" t="n">
        <f aca="false">IFERROR(E10*(1+$H$5/2),0)</f>
        <v>20.868</v>
      </c>
      <c r="H10" s="26" t="n">
        <f aca="false">IFERROR(F10*$B$5,0)</f>
        <v>8366</v>
      </c>
      <c r="I10" s="26" t="n">
        <f aca="false">IFERROR(G10*$B$5,0)</f>
        <v>10434</v>
      </c>
      <c r="J10" s="25" t="s">
        <v>62</v>
      </c>
    </row>
    <row r="11" customFormat="false" ht="13.5" hidden="false" customHeight="true" outlineLevel="0" collapsed="false">
      <c r="A11" s="20" t="s">
        <v>55</v>
      </c>
      <c r="B11" s="20" t="s">
        <v>63</v>
      </c>
      <c r="C11" s="21" t="s">
        <v>64</v>
      </c>
      <c r="D11" s="20" t="s">
        <v>58</v>
      </c>
      <c r="E11" s="22" t="n">
        <f aca="false">IFERROR('Rates Reference Table'!E8*$E$5,0)</f>
        <v>4.7</v>
      </c>
      <c r="F11" s="22" t="n">
        <f aca="false">IFERROR(E11*(1-$H$5/2),0)</f>
        <v>4.183</v>
      </c>
      <c r="G11" s="22" t="n">
        <f aca="false">IFERROR(E11*(1+$H$5/2),0)</f>
        <v>5.217</v>
      </c>
      <c r="H11" s="22" t="n">
        <f aca="false">IFERROR(F11*$B$5,0)</f>
        <v>2091.5</v>
      </c>
      <c r="I11" s="22" t="n">
        <f aca="false">IFERROR(G11*$B$5,0)</f>
        <v>2608.5</v>
      </c>
      <c r="J11" s="21" t="s">
        <v>65</v>
      </c>
    </row>
    <row r="12" customFormat="false" ht="13.5" hidden="false" customHeight="true" outlineLevel="0" collapsed="false">
      <c r="A12" s="24" t="s">
        <v>55</v>
      </c>
      <c r="B12" s="24" t="s">
        <v>66</v>
      </c>
      <c r="C12" s="25" t="s">
        <v>67</v>
      </c>
      <c r="D12" s="24" t="s">
        <v>58</v>
      </c>
      <c r="E12" s="26" t="n">
        <f aca="false">IFERROR('Rates Reference Table'!E9*$E$5,0)</f>
        <v>4.7</v>
      </c>
      <c r="F12" s="26" t="n">
        <f aca="false">IFERROR(E12*(1-$H$5/2),0)</f>
        <v>4.183</v>
      </c>
      <c r="G12" s="26" t="n">
        <f aca="false">IFERROR(E12*(1+$H$5/2),0)</f>
        <v>5.217</v>
      </c>
      <c r="H12" s="26" t="n">
        <f aca="false">IFERROR(F12*$B$5,0)</f>
        <v>2091.5</v>
      </c>
      <c r="I12" s="26" t="n">
        <f aca="false">IFERROR(G12*$B$5,0)</f>
        <v>2608.5</v>
      </c>
      <c r="J12" s="25" t="s">
        <v>68</v>
      </c>
    </row>
    <row r="13" customFormat="false" ht="15.75" hidden="false" customHeight="true" outlineLevel="0" collapsed="false">
      <c r="A13" s="37" t="s">
        <v>261</v>
      </c>
      <c r="B13" s="37"/>
      <c r="C13" s="37"/>
      <c r="D13" s="37"/>
      <c r="E13" s="37"/>
      <c r="F13" s="37"/>
      <c r="G13" s="37"/>
      <c r="H13" s="37"/>
      <c r="I13" s="37"/>
      <c r="J13" s="37"/>
    </row>
    <row r="14" customFormat="false" ht="13.5" hidden="false" customHeight="true" outlineLevel="0" collapsed="false">
      <c r="A14" s="38" t="s">
        <v>70</v>
      </c>
      <c r="B14" s="38" t="s">
        <v>71</v>
      </c>
      <c r="C14" s="39" t="s">
        <v>72</v>
      </c>
      <c r="D14" s="38" t="s">
        <v>73</v>
      </c>
      <c r="E14" s="40" t="s">
        <v>262</v>
      </c>
      <c r="F14" s="40" t="s">
        <v>262</v>
      </c>
      <c r="G14" s="40" t="s">
        <v>262</v>
      </c>
      <c r="H14" s="41" t="n">
        <v>0</v>
      </c>
      <c r="I14" s="41" t="n">
        <v>0</v>
      </c>
      <c r="J14" s="39" t="s">
        <v>74</v>
      </c>
    </row>
    <row r="15" customFormat="false" ht="13.5" hidden="false" customHeight="true" outlineLevel="0" collapsed="false">
      <c r="A15" s="38" t="s">
        <v>70</v>
      </c>
      <c r="B15" s="38" t="s">
        <v>75</v>
      </c>
      <c r="C15" s="39" t="s">
        <v>76</v>
      </c>
      <c r="D15" s="38" t="s">
        <v>73</v>
      </c>
      <c r="E15" s="40" t="s">
        <v>262</v>
      </c>
      <c r="F15" s="40" t="s">
        <v>262</v>
      </c>
      <c r="G15" s="40" t="s">
        <v>262</v>
      </c>
      <c r="H15" s="41" t="n">
        <v>0</v>
      </c>
      <c r="I15" s="41" t="n">
        <v>0</v>
      </c>
      <c r="J15" s="39" t="s">
        <v>77</v>
      </c>
    </row>
    <row r="16" customFormat="false" ht="13.5" hidden="false" customHeight="true" outlineLevel="0" collapsed="false">
      <c r="A16" s="38" t="s">
        <v>70</v>
      </c>
      <c r="B16" s="38" t="s">
        <v>78</v>
      </c>
      <c r="C16" s="39" t="s">
        <v>79</v>
      </c>
      <c r="D16" s="38" t="s">
        <v>73</v>
      </c>
      <c r="E16" s="40" t="s">
        <v>262</v>
      </c>
      <c r="F16" s="40" t="s">
        <v>262</v>
      </c>
      <c r="G16" s="40" t="s">
        <v>262</v>
      </c>
      <c r="H16" s="41" t="n">
        <v>0</v>
      </c>
      <c r="I16" s="41" t="n">
        <v>0</v>
      </c>
      <c r="J16" s="39" t="s">
        <v>80</v>
      </c>
    </row>
    <row r="17" customFormat="false" ht="13.5" hidden="false" customHeight="true" outlineLevel="0" collapsed="false">
      <c r="A17" s="38" t="s">
        <v>70</v>
      </c>
      <c r="B17" s="38" t="s">
        <v>81</v>
      </c>
      <c r="C17" s="39" t="s">
        <v>82</v>
      </c>
      <c r="D17" s="38" t="s">
        <v>58</v>
      </c>
      <c r="E17" s="40" t="s">
        <v>262</v>
      </c>
      <c r="F17" s="40" t="s">
        <v>262</v>
      </c>
      <c r="G17" s="40" t="s">
        <v>262</v>
      </c>
      <c r="H17" s="41" t="n">
        <v>0</v>
      </c>
      <c r="I17" s="41" t="n">
        <v>0</v>
      </c>
      <c r="J17" s="39" t="s">
        <v>83</v>
      </c>
    </row>
    <row r="18" customFormat="false" ht="15.75" hidden="false" customHeight="true" outlineLevel="0" collapsed="false">
      <c r="A18" s="36" t="s">
        <v>263</v>
      </c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13.5" hidden="false" customHeight="true" outlineLevel="0" collapsed="false">
      <c r="A19" s="20" t="s">
        <v>85</v>
      </c>
      <c r="B19" s="20" t="s">
        <v>86</v>
      </c>
      <c r="C19" s="21" t="s">
        <v>87</v>
      </c>
      <c r="D19" s="20" t="s">
        <v>73</v>
      </c>
      <c r="E19" s="22" t="n">
        <f aca="false">IFERROR('Rates Reference Table'!E16*$E$5,0)</f>
        <v>0</v>
      </c>
      <c r="F19" s="22" t="n">
        <f aca="false">IFERROR(E19*(1-$H$5/2),0)</f>
        <v>0</v>
      </c>
      <c r="G19" s="22" t="n">
        <f aca="false">IFERROR(E19*(1+$H$5/2),0)</f>
        <v>0</v>
      </c>
      <c r="H19" s="22" t="n">
        <f aca="false">IFERROR(F19*$B$5,0)</f>
        <v>0</v>
      </c>
      <c r="I19" s="22" t="n">
        <f aca="false">IFERROR(G19*$B$5,0)</f>
        <v>0</v>
      </c>
      <c r="J19" s="21" t="s">
        <v>88</v>
      </c>
    </row>
    <row r="20" customFormat="false" ht="13.5" hidden="false" customHeight="true" outlineLevel="0" collapsed="false">
      <c r="A20" s="24" t="s">
        <v>85</v>
      </c>
      <c r="B20" s="24" t="s">
        <v>89</v>
      </c>
      <c r="C20" s="25" t="s">
        <v>90</v>
      </c>
      <c r="D20" s="24" t="s">
        <v>73</v>
      </c>
      <c r="E20" s="26" t="n">
        <f aca="false">IFERROR('Rates Reference Table'!E17*$E$5,0)</f>
        <v>0</v>
      </c>
      <c r="F20" s="26" t="n">
        <f aca="false">IFERROR(E20*(1-$H$5/2),0)</f>
        <v>0</v>
      </c>
      <c r="G20" s="26" t="n">
        <f aca="false">IFERROR(E20*(1+$H$5/2),0)</f>
        <v>0</v>
      </c>
      <c r="H20" s="26" t="n">
        <f aca="false">IFERROR(F20*$B$5,0)</f>
        <v>0</v>
      </c>
      <c r="I20" s="26" t="n">
        <f aca="false">IFERROR(G20*$B$5,0)</f>
        <v>0</v>
      </c>
      <c r="J20" s="25" t="s">
        <v>91</v>
      </c>
    </row>
    <row r="21" customFormat="false" ht="13.5" hidden="false" customHeight="true" outlineLevel="0" collapsed="false">
      <c r="A21" s="20" t="s">
        <v>85</v>
      </c>
      <c r="B21" s="20" t="s">
        <v>92</v>
      </c>
      <c r="C21" s="21" t="s">
        <v>93</v>
      </c>
      <c r="D21" s="20" t="s">
        <v>73</v>
      </c>
      <c r="E21" s="22" t="n">
        <f aca="false">IFERROR('Rates Reference Table'!E18*$E$5,0)</f>
        <v>32.9</v>
      </c>
      <c r="F21" s="22" t="n">
        <f aca="false">IFERROR(E21*(1-$H$5/2),0)</f>
        <v>29.281</v>
      </c>
      <c r="G21" s="22" t="n">
        <f aca="false">IFERROR(E21*(1+$H$5/2),0)</f>
        <v>36.519</v>
      </c>
      <c r="H21" s="22" t="n">
        <f aca="false">IFERROR(F21*$B$5,0)</f>
        <v>14640.5</v>
      </c>
      <c r="I21" s="22" t="n">
        <f aca="false">IFERROR(G21*$B$5,0)</f>
        <v>18259.5</v>
      </c>
      <c r="J21" s="21" t="s">
        <v>94</v>
      </c>
    </row>
    <row r="22" customFormat="false" ht="13.5" hidden="false" customHeight="true" outlineLevel="0" collapsed="false">
      <c r="A22" s="24" t="s">
        <v>85</v>
      </c>
      <c r="B22" s="24" t="s">
        <v>95</v>
      </c>
      <c r="C22" s="25" t="s">
        <v>96</v>
      </c>
      <c r="D22" s="24" t="s">
        <v>58</v>
      </c>
      <c r="E22" s="26" t="n">
        <f aca="false">IFERROR('Rates Reference Table'!E19*$E$5,0)</f>
        <v>9.4</v>
      </c>
      <c r="F22" s="26" t="n">
        <f aca="false">IFERROR(E22*(1-$H$5/2),0)</f>
        <v>8.366</v>
      </c>
      <c r="G22" s="26" t="n">
        <f aca="false">IFERROR(E22*(1+$H$5/2),0)</f>
        <v>10.434</v>
      </c>
      <c r="H22" s="26" t="n">
        <f aca="false">IFERROR(F22*$B$5,0)</f>
        <v>4183</v>
      </c>
      <c r="I22" s="26" t="n">
        <f aca="false">IFERROR(G22*$B$5,0)</f>
        <v>5217</v>
      </c>
      <c r="J22" s="25" t="s">
        <v>97</v>
      </c>
    </row>
    <row r="23" customFormat="false" ht="13.5" hidden="false" customHeight="true" outlineLevel="0" collapsed="false">
      <c r="A23" s="20" t="s">
        <v>85</v>
      </c>
      <c r="B23" s="20" t="s">
        <v>98</v>
      </c>
      <c r="C23" s="21" t="s">
        <v>99</v>
      </c>
      <c r="D23" s="20" t="s">
        <v>73</v>
      </c>
      <c r="E23" s="22" t="n">
        <f aca="false">IFERROR('Rates Reference Table'!E20*$E$5,0)</f>
        <v>28.2</v>
      </c>
      <c r="F23" s="22" t="n">
        <f aca="false">IFERROR(E23*(1-$H$5/2),0)</f>
        <v>25.098</v>
      </c>
      <c r="G23" s="22" t="n">
        <f aca="false">IFERROR(E23*(1+$H$5/2),0)</f>
        <v>31.302</v>
      </c>
      <c r="H23" s="22" t="n">
        <f aca="false">IFERROR(F23*$B$5,0)</f>
        <v>12549</v>
      </c>
      <c r="I23" s="22" t="n">
        <f aca="false">IFERROR(G23*$B$5,0)</f>
        <v>15651</v>
      </c>
      <c r="J23" s="21" t="s">
        <v>100</v>
      </c>
    </row>
    <row r="24" customFormat="false" ht="13.5" hidden="false" customHeight="true" outlineLevel="0" collapsed="false">
      <c r="A24" s="24" t="s">
        <v>85</v>
      </c>
      <c r="B24" s="24" t="s">
        <v>101</v>
      </c>
      <c r="C24" s="25" t="s">
        <v>102</v>
      </c>
      <c r="D24" s="24" t="s">
        <v>73</v>
      </c>
      <c r="E24" s="26" t="n">
        <f aca="false">IFERROR('Rates Reference Table'!E21*$E$5,0)</f>
        <v>75.2</v>
      </c>
      <c r="F24" s="26" t="n">
        <f aca="false">IFERROR(E24*(1-$H$5/2),0)</f>
        <v>66.928</v>
      </c>
      <c r="G24" s="26" t="n">
        <f aca="false">IFERROR(E24*(1+$H$5/2),0)</f>
        <v>83.472</v>
      </c>
      <c r="H24" s="26" t="n">
        <f aca="false">IFERROR(F24*$B$5,0)</f>
        <v>33464</v>
      </c>
      <c r="I24" s="26" t="n">
        <f aca="false">IFERROR(G24*$B$5,0)</f>
        <v>41736</v>
      </c>
      <c r="J24" s="25" t="s">
        <v>103</v>
      </c>
    </row>
    <row r="25" customFormat="false" ht="13.5" hidden="false" customHeight="true" outlineLevel="0" collapsed="false">
      <c r="A25" s="20" t="s">
        <v>85</v>
      </c>
      <c r="B25" s="20" t="s">
        <v>104</v>
      </c>
      <c r="C25" s="21" t="s">
        <v>105</v>
      </c>
      <c r="D25" s="20" t="s">
        <v>73</v>
      </c>
      <c r="E25" s="22" t="n">
        <f aca="false">IFERROR('Rates Reference Table'!E22*$E$5,0)</f>
        <v>18.8</v>
      </c>
      <c r="F25" s="22" t="n">
        <f aca="false">IFERROR(E25*(1-$H$5/2),0)</f>
        <v>16.732</v>
      </c>
      <c r="G25" s="22" t="n">
        <f aca="false">IFERROR(E25*(1+$H$5/2),0)</f>
        <v>20.868</v>
      </c>
      <c r="H25" s="22" t="n">
        <f aca="false">IFERROR(F25*$B$5,0)</f>
        <v>8366</v>
      </c>
      <c r="I25" s="22" t="n">
        <f aca="false">IFERROR(G25*$B$5,0)</f>
        <v>10434</v>
      </c>
      <c r="J25" s="21" t="s">
        <v>106</v>
      </c>
    </row>
    <row r="26" customFormat="false" ht="13.5" hidden="false" customHeight="true" outlineLevel="0" collapsed="false">
      <c r="A26" s="24" t="s">
        <v>85</v>
      </c>
      <c r="B26" s="24" t="s">
        <v>107</v>
      </c>
      <c r="C26" s="25" t="s">
        <v>108</v>
      </c>
      <c r="D26" s="24" t="s">
        <v>109</v>
      </c>
      <c r="E26" s="26" t="n">
        <f aca="false">IFERROR('Rates Reference Table'!E23*$E$5,0)</f>
        <v>14.1</v>
      </c>
      <c r="F26" s="26" t="n">
        <f aca="false">IFERROR(E26*(1-$H$5/2),0)</f>
        <v>12.549</v>
      </c>
      <c r="G26" s="26" t="n">
        <f aca="false">IFERROR(E26*(1+$H$5/2),0)</f>
        <v>15.651</v>
      </c>
      <c r="H26" s="26" t="n">
        <f aca="false">IFERROR(F26*$B$5,0)</f>
        <v>6274.5</v>
      </c>
      <c r="I26" s="26" t="n">
        <f aca="false">IFERROR(G26*$B$5,0)</f>
        <v>7825.5</v>
      </c>
      <c r="J26" s="25" t="s">
        <v>110</v>
      </c>
    </row>
    <row r="27" customFormat="false" ht="15.75" hidden="false" customHeight="true" outlineLevel="0" collapsed="false">
      <c r="A27" s="36" t="s">
        <v>264</v>
      </c>
      <c r="B27" s="36"/>
      <c r="C27" s="36"/>
      <c r="D27" s="36"/>
      <c r="E27" s="36"/>
      <c r="F27" s="36"/>
      <c r="G27" s="36"/>
      <c r="H27" s="36"/>
      <c r="I27" s="36"/>
      <c r="J27" s="36"/>
    </row>
    <row r="28" customFormat="false" ht="13.5" hidden="false" customHeight="true" outlineLevel="0" collapsed="false">
      <c r="A28" s="20" t="s">
        <v>112</v>
      </c>
      <c r="B28" s="20" t="s">
        <v>113</v>
      </c>
      <c r="C28" s="21" t="s">
        <v>114</v>
      </c>
      <c r="D28" s="20" t="s">
        <v>73</v>
      </c>
      <c r="E28" s="22" t="n">
        <f aca="false">IFERROR('Rates Reference Table'!E25*$E$5,0)</f>
        <v>14.1</v>
      </c>
      <c r="F28" s="22" t="n">
        <f aca="false">IFERROR(E28*(1-$H$5/2),0)</f>
        <v>12.549</v>
      </c>
      <c r="G28" s="22" t="n">
        <f aca="false">IFERROR(E28*(1+$H$5/2),0)</f>
        <v>15.651</v>
      </c>
      <c r="H28" s="22" t="n">
        <f aca="false">IFERROR(F28*$B$5,0)</f>
        <v>6274.5</v>
      </c>
      <c r="I28" s="22" t="n">
        <f aca="false">IFERROR(G28*$B$5,0)</f>
        <v>7825.5</v>
      </c>
      <c r="J28" s="21" t="s">
        <v>115</v>
      </c>
    </row>
    <row r="29" customFormat="false" ht="13.5" hidden="false" customHeight="true" outlineLevel="0" collapsed="false">
      <c r="A29" s="24" t="s">
        <v>112</v>
      </c>
      <c r="B29" s="24" t="s">
        <v>116</v>
      </c>
      <c r="C29" s="25" t="s">
        <v>117</v>
      </c>
      <c r="D29" s="24" t="s">
        <v>73</v>
      </c>
      <c r="E29" s="26" t="n">
        <f aca="false">IFERROR('Rates Reference Table'!E26*$E$5,0)</f>
        <v>18.8</v>
      </c>
      <c r="F29" s="26" t="n">
        <f aca="false">IFERROR(E29*(1-$H$5/2),0)</f>
        <v>16.732</v>
      </c>
      <c r="G29" s="26" t="n">
        <f aca="false">IFERROR(E29*(1+$H$5/2),0)</f>
        <v>20.868</v>
      </c>
      <c r="H29" s="26" t="n">
        <f aca="false">IFERROR(F29*$B$5,0)</f>
        <v>8366</v>
      </c>
      <c r="I29" s="26" t="n">
        <f aca="false">IFERROR(G29*$B$5,0)</f>
        <v>10434</v>
      </c>
      <c r="J29" s="25" t="s">
        <v>118</v>
      </c>
    </row>
    <row r="30" customFormat="false" ht="13.5" hidden="false" customHeight="true" outlineLevel="0" collapsed="false">
      <c r="A30" s="20" t="s">
        <v>112</v>
      </c>
      <c r="B30" s="20" t="s">
        <v>119</v>
      </c>
      <c r="C30" s="21" t="s">
        <v>120</v>
      </c>
      <c r="D30" s="20" t="s">
        <v>73</v>
      </c>
      <c r="E30" s="22" t="n">
        <f aca="false">IFERROR('Rates Reference Table'!E27*$E$5,0)</f>
        <v>9.4</v>
      </c>
      <c r="F30" s="22" t="n">
        <f aca="false">IFERROR(E30*(1-$H$5/2),0)</f>
        <v>8.366</v>
      </c>
      <c r="G30" s="22" t="n">
        <f aca="false">IFERROR(E30*(1+$H$5/2),0)</f>
        <v>10.434</v>
      </c>
      <c r="H30" s="22" t="n">
        <f aca="false">IFERROR(F30*$B$5,0)</f>
        <v>4183</v>
      </c>
      <c r="I30" s="22" t="n">
        <f aca="false">IFERROR(G30*$B$5,0)</f>
        <v>5217</v>
      </c>
      <c r="J30" s="21" t="s">
        <v>121</v>
      </c>
    </row>
    <row r="31" customFormat="false" ht="15.75" hidden="false" customHeight="true" outlineLevel="0" collapsed="false">
      <c r="A31" s="36" t="s">
        <v>265</v>
      </c>
      <c r="B31" s="36"/>
      <c r="C31" s="36"/>
      <c r="D31" s="36"/>
      <c r="E31" s="36"/>
      <c r="F31" s="36"/>
      <c r="G31" s="36"/>
      <c r="H31" s="36"/>
      <c r="I31" s="36"/>
      <c r="J31" s="36"/>
    </row>
    <row r="32" customFormat="false" ht="13.5" hidden="false" customHeight="true" outlineLevel="0" collapsed="false">
      <c r="A32" s="20" t="s">
        <v>123</v>
      </c>
      <c r="B32" s="20" t="s">
        <v>124</v>
      </c>
      <c r="C32" s="21" t="s">
        <v>125</v>
      </c>
      <c r="D32" s="20" t="s">
        <v>58</v>
      </c>
      <c r="E32" s="22" t="n">
        <f aca="false">IFERROR('Rates Reference Table'!E29*$E$5,0)</f>
        <v>9.4</v>
      </c>
      <c r="F32" s="22" t="n">
        <f aca="false">IFERROR(E32*(1-$H$5/2),0)</f>
        <v>8.366</v>
      </c>
      <c r="G32" s="22" t="n">
        <f aca="false">IFERROR(E32*(1+$H$5/2),0)</f>
        <v>10.434</v>
      </c>
      <c r="H32" s="22" t="n">
        <f aca="false">IFERROR(F32*$B$5,0)</f>
        <v>4183</v>
      </c>
      <c r="I32" s="22" t="n">
        <f aca="false">IFERROR(G32*$B$5,0)</f>
        <v>5217</v>
      </c>
      <c r="J32" s="21" t="s">
        <v>126</v>
      </c>
    </row>
    <row r="33" customFormat="false" ht="13.5" hidden="false" customHeight="true" outlineLevel="0" collapsed="false">
      <c r="A33" s="24" t="s">
        <v>123</v>
      </c>
      <c r="B33" s="24" t="s">
        <v>127</v>
      </c>
      <c r="C33" s="25" t="s">
        <v>128</v>
      </c>
      <c r="D33" s="24" t="s">
        <v>109</v>
      </c>
      <c r="E33" s="26" t="n">
        <f aca="false">IFERROR('Rates Reference Table'!E30*$E$5,0)</f>
        <v>7.52</v>
      </c>
      <c r="F33" s="26" t="n">
        <f aca="false">IFERROR(E33*(1-$H$5/2),0)</f>
        <v>6.6928</v>
      </c>
      <c r="G33" s="26" t="n">
        <f aca="false">IFERROR(E33*(1+$H$5/2),0)</f>
        <v>8.3472</v>
      </c>
      <c r="H33" s="26" t="n">
        <f aca="false">IFERROR(F33*$B$5,0)</f>
        <v>3346.4</v>
      </c>
      <c r="I33" s="26" t="n">
        <f aca="false">IFERROR(G33*$B$5,0)</f>
        <v>4173.6</v>
      </c>
      <c r="J33" s="25" t="s">
        <v>129</v>
      </c>
    </row>
    <row r="34" customFormat="false" ht="13.5" hidden="false" customHeight="true" outlineLevel="0" collapsed="false">
      <c r="A34" s="20" t="s">
        <v>123</v>
      </c>
      <c r="B34" s="20" t="s">
        <v>130</v>
      </c>
      <c r="C34" s="21" t="s">
        <v>131</v>
      </c>
      <c r="D34" s="20" t="s">
        <v>58</v>
      </c>
      <c r="E34" s="22" t="n">
        <f aca="false">IFERROR('Rates Reference Table'!E31*$E$5,0)</f>
        <v>4.7</v>
      </c>
      <c r="F34" s="22" t="n">
        <f aca="false">IFERROR(E34*(1-$H$5/2),0)</f>
        <v>4.183</v>
      </c>
      <c r="G34" s="22" t="n">
        <f aca="false">IFERROR(E34*(1+$H$5/2),0)</f>
        <v>5.217</v>
      </c>
      <c r="H34" s="22" t="n">
        <f aca="false">IFERROR(F34*$B$5,0)</f>
        <v>2091.5</v>
      </c>
      <c r="I34" s="22" t="n">
        <f aca="false">IFERROR(G34*$B$5,0)</f>
        <v>2608.5</v>
      </c>
      <c r="J34" s="21" t="s">
        <v>132</v>
      </c>
    </row>
    <row r="35" customFormat="false" ht="13.5" hidden="false" customHeight="true" outlineLevel="0" collapsed="false">
      <c r="A35" s="24" t="s">
        <v>123</v>
      </c>
      <c r="B35" s="24" t="s">
        <v>133</v>
      </c>
      <c r="C35" s="25" t="s">
        <v>134</v>
      </c>
      <c r="D35" s="24" t="s">
        <v>58</v>
      </c>
      <c r="E35" s="26" t="n">
        <f aca="false">IFERROR('Rates Reference Table'!E32*$E$5,0)</f>
        <v>0</v>
      </c>
      <c r="F35" s="26" t="n">
        <f aca="false">IFERROR(E35*(1-$H$5/2),0)</f>
        <v>0</v>
      </c>
      <c r="G35" s="26" t="n">
        <f aca="false">IFERROR(E35*(1+$H$5/2),0)</f>
        <v>0</v>
      </c>
      <c r="H35" s="26" t="n">
        <f aca="false">IFERROR(F35*$B$5,0)</f>
        <v>0</v>
      </c>
      <c r="I35" s="26" t="n">
        <f aca="false">IFERROR(G35*$B$5,0)</f>
        <v>0</v>
      </c>
      <c r="J35" s="25" t="s">
        <v>135</v>
      </c>
    </row>
    <row r="36" customFormat="false" ht="15.75" hidden="false" customHeight="true" outlineLevel="0" collapsed="false">
      <c r="A36" s="36" t="s">
        <v>266</v>
      </c>
      <c r="B36" s="36"/>
      <c r="C36" s="36"/>
      <c r="D36" s="36"/>
      <c r="E36" s="36"/>
      <c r="F36" s="36"/>
      <c r="G36" s="36"/>
      <c r="H36" s="36"/>
      <c r="I36" s="36"/>
      <c r="J36" s="36"/>
    </row>
    <row r="37" customFormat="false" ht="13.5" hidden="false" customHeight="true" outlineLevel="0" collapsed="false">
      <c r="A37" s="20" t="s">
        <v>137</v>
      </c>
      <c r="B37" s="20" t="s">
        <v>138</v>
      </c>
      <c r="C37" s="21" t="s">
        <v>139</v>
      </c>
      <c r="D37" s="20" t="s">
        <v>73</v>
      </c>
      <c r="E37" s="22" t="n">
        <f aca="false">IFERROR('Rates Reference Table'!E34*$E$5,0)</f>
        <v>14.1</v>
      </c>
      <c r="F37" s="22" t="n">
        <f aca="false">IFERROR(E37*(1-$H$5/2),0)</f>
        <v>12.549</v>
      </c>
      <c r="G37" s="22" t="n">
        <f aca="false">IFERROR(E37*(1+$H$5/2),0)</f>
        <v>15.651</v>
      </c>
      <c r="H37" s="22" t="n">
        <f aca="false">IFERROR(F37*$B$5,0)</f>
        <v>6274.5</v>
      </c>
      <c r="I37" s="22" t="n">
        <f aca="false">IFERROR(G37*$B$5,0)</f>
        <v>7825.5</v>
      </c>
      <c r="J37" s="21" t="s">
        <v>140</v>
      </c>
    </row>
    <row r="38" customFormat="false" ht="13.5" hidden="false" customHeight="true" outlineLevel="0" collapsed="false">
      <c r="A38" s="24" t="s">
        <v>137</v>
      </c>
      <c r="B38" s="24" t="s">
        <v>141</v>
      </c>
      <c r="C38" s="25" t="s">
        <v>142</v>
      </c>
      <c r="D38" s="24" t="s">
        <v>73</v>
      </c>
      <c r="E38" s="26" t="n">
        <f aca="false">IFERROR('Rates Reference Table'!E35*$E$5,0)</f>
        <v>23.5</v>
      </c>
      <c r="F38" s="26" t="n">
        <f aca="false">IFERROR(E38*(1-$H$5/2),0)</f>
        <v>20.915</v>
      </c>
      <c r="G38" s="26" t="n">
        <f aca="false">IFERROR(E38*(1+$H$5/2),0)</f>
        <v>26.085</v>
      </c>
      <c r="H38" s="26" t="n">
        <f aca="false">IFERROR(F38*$B$5,0)</f>
        <v>10457.5</v>
      </c>
      <c r="I38" s="26" t="n">
        <f aca="false">IFERROR(G38*$B$5,0)</f>
        <v>13042.5</v>
      </c>
      <c r="J38" s="25" t="s">
        <v>143</v>
      </c>
    </row>
    <row r="39" customFormat="false" ht="13.5" hidden="false" customHeight="true" outlineLevel="0" collapsed="false">
      <c r="A39" s="20" t="s">
        <v>137</v>
      </c>
      <c r="B39" s="20" t="s">
        <v>144</v>
      </c>
      <c r="C39" s="21" t="s">
        <v>145</v>
      </c>
      <c r="D39" s="20" t="s">
        <v>73</v>
      </c>
      <c r="E39" s="22" t="n">
        <f aca="false">IFERROR('Rates Reference Table'!E36*$E$5,0)</f>
        <v>18.8</v>
      </c>
      <c r="F39" s="22" t="n">
        <f aca="false">IFERROR(E39*(1-$H$5/2),0)</f>
        <v>16.732</v>
      </c>
      <c r="G39" s="22" t="n">
        <f aca="false">IFERROR(E39*(1+$H$5/2),0)</f>
        <v>20.868</v>
      </c>
      <c r="H39" s="22" t="n">
        <f aca="false">IFERROR(F39*$B$5,0)</f>
        <v>8366</v>
      </c>
      <c r="I39" s="22" t="n">
        <f aca="false">IFERROR(G39*$B$5,0)</f>
        <v>10434</v>
      </c>
      <c r="J39" s="21" t="s">
        <v>146</v>
      </c>
    </row>
    <row r="40" customFormat="false" ht="13.5" hidden="false" customHeight="true" outlineLevel="0" collapsed="false">
      <c r="A40" s="24" t="s">
        <v>137</v>
      </c>
      <c r="B40" s="24" t="s">
        <v>147</v>
      </c>
      <c r="C40" s="25" t="s">
        <v>148</v>
      </c>
      <c r="D40" s="24" t="s">
        <v>73</v>
      </c>
      <c r="E40" s="26" t="n">
        <f aca="false">IFERROR('Rates Reference Table'!E37*$E$5,0)</f>
        <v>0</v>
      </c>
      <c r="F40" s="26" t="n">
        <f aca="false">IFERROR(E40*(1-$H$5/2),0)</f>
        <v>0</v>
      </c>
      <c r="G40" s="26" t="n">
        <f aca="false">IFERROR(E40*(1+$H$5/2),0)</f>
        <v>0</v>
      </c>
      <c r="H40" s="26" t="n">
        <f aca="false">IFERROR(F40*$B$5,0)</f>
        <v>0</v>
      </c>
      <c r="I40" s="26" t="n">
        <f aca="false">IFERROR(G40*$B$5,0)</f>
        <v>0</v>
      </c>
      <c r="J40" s="25" t="s">
        <v>149</v>
      </c>
    </row>
    <row r="41" customFormat="false" ht="13.5" hidden="false" customHeight="true" outlineLevel="0" collapsed="false">
      <c r="A41" s="20" t="s">
        <v>137</v>
      </c>
      <c r="B41" s="20" t="s">
        <v>150</v>
      </c>
      <c r="C41" s="21" t="s">
        <v>151</v>
      </c>
      <c r="D41" s="20" t="s">
        <v>58</v>
      </c>
      <c r="E41" s="22" t="n">
        <f aca="false">IFERROR('Rates Reference Table'!E38*$E$5,0)</f>
        <v>4.7</v>
      </c>
      <c r="F41" s="22" t="n">
        <f aca="false">IFERROR(E41*(1-$H$5/2),0)</f>
        <v>4.183</v>
      </c>
      <c r="G41" s="22" t="n">
        <f aca="false">IFERROR(E41*(1+$H$5/2),0)</f>
        <v>5.217</v>
      </c>
      <c r="H41" s="22" t="n">
        <f aca="false">IFERROR(F41*$B$5,0)</f>
        <v>2091.5</v>
      </c>
      <c r="I41" s="22" t="n">
        <f aca="false">IFERROR(G41*$B$5,0)</f>
        <v>2608.5</v>
      </c>
      <c r="J41" s="21" t="s">
        <v>152</v>
      </c>
    </row>
    <row r="42" customFormat="false" ht="13.5" hidden="false" customHeight="true" outlineLevel="0" collapsed="false">
      <c r="A42" s="24" t="s">
        <v>137</v>
      </c>
      <c r="B42" s="24" t="s">
        <v>153</v>
      </c>
      <c r="C42" s="25" t="s">
        <v>154</v>
      </c>
      <c r="D42" s="24" t="s">
        <v>73</v>
      </c>
      <c r="E42" s="26" t="n">
        <f aca="false">IFERROR('Rates Reference Table'!E39*$E$5,0)</f>
        <v>0</v>
      </c>
      <c r="F42" s="26" t="n">
        <f aca="false">IFERROR(E42*(1-$H$5/2),0)</f>
        <v>0</v>
      </c>
      <c r="G42" s="26" t="n">
        <f aca="false">IFERROR(E42*(1+$H$5/2),0)</f>
        <v>0</v>
      </c>
      <c r="H42" s="26" t="n">
        <f aca="false">IFERROR(F42*$B$5,0)</f>
        <v>0</v>
      </c>
      <c r="I42" s="26" t="n">
        <f aca="false">IFERROR(G42*$B$5,0)</f>
        <v>0</v>
      </c>
      <c r="J42" s="25" t="s">
        <v>155</v>
      </c>
    </row>
    <row r="43" customFormat="false" ht="13.5" hidden="false" customHeight="true" outlineLevel="0" collapsed="false">
      <c r="A43" s="20" t="s">
        <v>137</v>
      </c>
      <c r="B43" s="20" t="s">
        <v>156</v>
      </c>
      <c r="C43" s="21" t="s">
        <v>157</v>
      </c>
      <c r="D43" s="20" t="s">
        <v>73</v>
      </c>
      <c r="E43" s="22" t="n">
        <f aca="false">IFERROR('Rates Reference Table'!E40*$E$5,0)</f>
        <v>14.1</v>
      </c>
      <c r="F43" s="22" t="n">
        <f aca="false">IFERROR(E43*(1-$H$5/2),0)</f>
        <v>12.549</v>
      </c>
      <c r="G43" s="22" t="n">
        <f aca="false">IFERROR(E43*(1+$H$5/2),0)</f>
        <v>15.651</v>
      </c>
      <c r="H43" s="22" t="n">
        <f aca="false">IFERROR(F43*$B$5,0)</f>
        <v>6274.5</v>
      </c>
      <c r="I43" s="22" t="n">
        <f aca="false">IFERROR(G43*$B$5,0)</f>
        <v>7825.5</v>
      </c>
      <c r="J43" s="21" t="s">
        <v>158</v>
      </c>
    </row>
    <row r="44" customFormat="false" ht="13.5" hidden="false" customHeight="true" outlineLevel="0" collapsed="false">
      <c r="A44" s="24" t="s">
        <v>137</v>
      </c>
      <c r="B44" s="24" t="s">
        <v>159</v>
      </c>
      <c r="C44" s="25" t="s">
        <v>160</v>
      </c>
      <c r="D44" s="24" t="s">
        <v>73</v>
      </c>
      <c r="E44" s="26" t="n">
        <f aca="false">IFERROR('Rates Reference Table'!E41*$E$5,0)</f>
        <v>18.8</v>
      </c>
      <c r="F44" s="26" t="n">
        <f aca="false">IFERROR(E44*(1-$H$5/2),0)</f>
        <v>16.732</v>
      </c>
      <c r="G44" s="26" t="n">
        <f aca="false">IFERROR(E44*(1+$H$5/2),0)</f>
        <v>20.868</v>
      </c>
      <c r="H44" s="26" t="n">
        <f aca="false">IFERROR(F44*$B$5,0)</f>
        <v>8366</v>
      </c>
      <c r="I44" s="26" t="n">
        <f aca="false">IFERROR(G44*$B$5,0)</f>
        <v>10434</v>
      </c>
      <c r="J44" s="25" t="s">
        <v>161</v>
      </c>
    </row>
    <row r="45" customFormat="false" ht="13.5" hidden="false" customHeight="true" outlineLevel="0" collapsed="false">
      <c r="A45" s="20" t="s">
        <v>137</v>
      </c>
      <c r="B45" s="20" t="s">
        <v>162</v>
      </c>
      <c r="C45" s="21" t="s">
        <v>163</v>
      </c>
      <c r="D45" s="20" t="s">
        <v>73</v>
      </c>
      <c r="E45" s="22" t="n">
        <f aca="false">IFERROR('Rates Reference Table'!E42*$E$5,0)</f>
        <v>9.4</v>
      </c>
      <c r="F45" s="22" t="n">
        <f aca="false">IFERROR(E45*(1-$H$5/2),0)</f>
        <v>8.366</v>
      </c>
      <c r="G45" s="22" t="n">
        <f aca="false">IFERROR(E45*(1+$H$5/2),0)</f>
        <v>10.434</v>
      </c>
      <c r="H45" s="22" t="n">
        <f aca="false">IFERROR(F45*$B$5,0)</f>
        <v>4183</v>
      </c>
      <c r="I45" s="22" t="n">
        <f aca="false">IFERROR(G45*$B$5,0)</f>
        <v>5217</v>
      </c>
      <c r="J45" s="21" t="s">
        <v>164</v>
      </c>
    </row>
    <row r="46" customFormat="false" ht="13.5" hidden="false" customHeight="true" outlineLevel="0" collapsed="false">
      <c r="A46" s="24" t="s">
        <v>137</v>
      </c>
      <c r="B46" s="24" t="s">
        <v>165</v>
      </c>
      <c r="C46" s="25" t="s">
        <v>166</v>
      </c>
      <c r="D46" s="24" t="s">
        <v>58</v>
      </c>
      <c r="E46" s="26" t="n">
        <f aca="false">IFERROR('Rates Reference Table'!E43*$E$5,0)</f>
        <v>0</v>
      </c>
      <c r="F46" s="26" t="n">
        <f aca="false">IFERROR(E46*(1-$H$5/2),0)</f>
        <v>0</v>
      </c>
      <c r="G46" s="26" t="n">
        <f aca="false">IFERROR(E46*(1+$H$5/2),0)</f>
        <v>0</v>
      </c>
      <c r="H46" s="26" t="n">
        <f aca="false">IFERROR(F46*$B$5,0)</f>
        <v>0</v>
      </c>
      <c r="I46" s="26" t="n">
        <f aca="false">IFERROR(G46*$B$5,0)</f>
        <v>0</v>
      </c>
      <c r="J46" s="25" t="s">
        <v>167</v>
      </c>
    </row>
    <row r="47" customFormat="false" ht="13.5" hidden="false" customHeight="true" outlineLevel="0" collapsed="false">
      <c r="A47" s="20" t="s">
        <v>137</v>
      </c>
      <c r="B47" s="20" t="s">
        <v>168</v>
      </c>
      <c r="C47" s="21" t="s">
        <v>169</v>
      </c>
      <c r="D47" s="20" t="s">
        <v>170</v>
      </c>
      <c r="E47" s="22" t="n">
        <f aca="false">IFERROR('Rates Reference Table'!E44*$E$5,0)</f>
        <v>0</v>
      </c>
      <c r="F47" s="22" t="n">
        <f aca="false">IFERROR(E47*(1-$H$5/2),0)</f>
        <v>0</v>
      </c>
      <c r="G47" s="22" t="n">
        <f aca="false">IFERROR(E47*(1+$H$5/2),0)</f>
        <v>0</v>
      </c>
      <c r="H47" s="22" t="n">
        <f aca="false">IFERROR(F47*$B$5,0)</f>
        <v>0</v>
      </c>
      <c r="I47" s="22" t="n">
        <f aca="false">IFERROR(G47*$B$5,0)</f>
        <v>0</v>
      </c>
      <c r="J47" s="21" t="s">
        <v>171</v>
      </c>
    </row>
    <row r="48" customFormat="false" ht="13.5" hidden="false" customHeight="true" outlineLevel="0" collapsed="false">
      <c r="A48" s="24" t="s">
        <v>137</v>
      </c>
      <c r="B48" s="24" t="s">
        <v>172</v>
      </c>
      <c r="C48" s="25" t="s">
        <v>173</v>
      </c>
      <c r="D48" s="24" t="s">
        <v>109</v>
      </c>
      <c r="E48" s="26" t="n">
        <f aca="false">IFERROR('Rates Reference Table'!E45*$E$5,0)</f>
        <v>0</v>
      </c>
      <c r="F48" s="26" t="n">
        <f aca="false">IFERROR(E48*(1-$H$5/2),0)</f>
        <v>0</v>
      </c>
      <c r="G48" s="26" t="n">
        <f aca="false">IFERROR(E48*(1+$H$5/2),0)</f>
        <v>0</v>
      </c>
      <c r="H48" s="26" t="n">
        <f aca="false">IFERROR(F48*$B$5,0)</f>
        <v>0</v>
      </c>
      <c r="I48" s="26" t="n">
        <f aca="false">IFERROR(G48*$B$5,0)</f>
        <v>0</v>
      </c>
      <c r="J48" s="25" t="s">
        <v>174</v>
      </c>
    </row>
    <row r="49" customFormat="false" ht="13.5" hidden="false" customHeight="true" outlineLevel="0" collapsed="false">
      <c r="A49" s="20" t="s">
        <v>137</v>
      </c>
      <c r="B49" s="20" t="s">
        <v>175</v>
      </c>
      <c r="C49" s="21" t="s">
        <v>176</v>
      </c>
      <c r="D49" s="20" t="s">
        <v>73</v>
      </c>
      <c r="E49" s="22" t="n">
        <f aca="false">IFERROR('Rates Reference Table'!E46*$E$5,0)</f>
        <v>7.52</v>
      </c>
      <c r="F49" s="22" t="n">
        <f aca="false">IFERROR(E49*(1-$H$5/2),0)</f>
        <v>6.6928</v>
      </c>
      <c r="G49" s="22" t="n">
        <f aca="false">IFERROR(E49*(1+$H$5/2),0)</f>
        <v>8.3472</v>
      </c>
      <c r="H49" s="22" t="n">
        <f aca="false">IFERROR(F49*$B$5,0)</f>
        <v>3346.4</v>
      </c>
      <c r="I49" s="22" t="n">
        <f aca="false">IFERROR(G49*$B$5,0)</f>
        <v>4173.6</v>
      </c>
      <c r="J49" s="21" t="s">
        <v>177</v>
      </c>
    </row>
    <row r="50" customFormat="false" ht="13.5" hidden="false" customHeight="true" outlineLevel="0" collapsed="false">
      <c r="A50" s="24" t="s">
        <v>137</v>
      </c>
      <c r="B50" s="24" t="s">
        <v>178</v>
      </c>
      <c r="C50" s="25" t="s">
        <v>179</v>
      </c>
      <c r="D50" s="24" t="s">
        <v>58</v>
      </c>
      <c r="E50" s="26" t="n">
        <f aca="false">IFERROR('Rates Reference Table'!E47*$E$5,0)</f>
        <v>0</v>
      </c>
      <c r="F50" s="26" t="n">
        <f aca="false">IFERROR(E50*(1-$H$5/2),0)</f>
        <v>0</v>
      </c>
      <c r="G50" s="26" t="n">
        <f aca="false">IFERROR(E50*(1+$H$5/2),0)</f>
        <v>0</v>
      </c>
      <c r="H50" s="26" t="n">
        <f aca="false">IFERROR(F50*$B$5,0)</f>
        <v>0</v>
      </c>
      <c r="I50" s="26" t="n">
        <f aca="false">IFERROR(G50*$B$5,0)</f>
        <v>0</v>
      </c>
      <c r="J50" s="25" t="s">
        <v>180</v>
      </c>
    </row>
    <row r="51" customFormat="false" ht="13.5" hidden="false" customHeight="true" outlineLevel="0" collapsed="false">
      <c r="A51" s="20" t="s">
        <v>137</v>
      </c>
      <c r="B51" s="20" t="s">
        <v>181</v>
      </c>
      <c r="C51" s="21" t="s">
        <v>182</v>
      </c>
      <c r="D51" s="20" t="s">
        <v>73</v>
      </c>
      <c r="E51" s="22" t="n">
        <f aca="false">IFERROR('Rates Reference Table'!E48*$E$5,0)</f>
        <v>4.7</v>
      </c>
      <c r="F51" s="22" t="n">
        <f aca="false">IFERROR(E51*(1-$H$5/2),0)</f>
        <v>4.183</v>
      </c>
      <c r="G51" s="22" t="n">
        <f aca="false">IFERROR(E51*(1+$H$5/2),0)</f>
        <v>5.217</v>
      </c>
      <c r="H51" s="22" t="n">
        <f aca="false">IFERROR(F51*$B$5,0)</f>
        <v>2091.5</v>
      </c>
      <c r="I51" s="22" t="n">
        <f aca="false">IFERROR(G51*$B$5,0)</f>
        <v>2608.5</v>
      </c>
      <c r="J51" s="21" t="s">
        <v>183</v>
      </c>
    </row>
    <row r="52" customFormat="false" ht="13.5" hidden="false" customHeight="true" outlineLevel="0" collapsed="false">
      <c r="A52" s="24" t="s">
        <v>137</v>
      </c>
      <c r="B52" s="24" t="s">
        <v>184</v>
      </c>
      <c r="C52" s="25" t="s">
        <v>185</v>
      </c>
      <c r="D52" s="24" t="s">
        <v>109</v>
      </c>
      <c r="E52" s="26" t="n">
        <f aca="false">IFERROR('Rates Reference Table'!E49*$E$5,0)</f>
        <v>47</v>
      </c>
      <c r="F52" s="26" t="n">
        <f aca="false">IFERROR(E52*(1-$H$5/2),0)</f>
        <v>41.83</v>
      </c>
      <c r="G52" s="26" t="n">
        <f aca="false">IFERROR(E52*(1+$H$5/2),0)</f>
        <v>52.17</v>
      </c>
      <c r="H52" s="26" t="n">
        <f aca="false">IFERROR(F52*$B$5,0)</f>
        <v>20915</v>
      </c>
      <c r="I52" s="26" t="n">
        <f aca="false">IFERROR(G52*$B$5,0)</f>
        <v>26085</v>
      </c>
      <c r="J52" s="25" t="s">
        <v>186</v>
      </c>
    </row>
    <row r="53" customFormat="false" ht="13.5" hidden="false" customHeight="true" outlineLevel="0" collapsed="false">
      <c r="A53" s="20" t="s">
        <v>137</v>
      </c>
      <c r="B53" s="20" t="s">
        <v>187</v>
      </c>
      <c r="C53" s="21" t="s">
        <v>188</v>
      </c>
      <c r="D53" s="20" t="s">
        <v>73</v>
      </c>
      <c r="E53" s="22" t="n">
        <f aca="false">IFERROR('Rates Reference Table'!E50*$E$5,0)</f>
        <v>4.7</v>
      </c>
      <c r="F53" s="22" t="n">
        <f aca="false">IFERROR(E53*(1-$H$5/2),0)</f>
        <v>4.183</v>
      </c>
      <c r="G53" s="22" t="n">
        <f aca="false">IFERROR(E53*(1+$H$5/2),0)</f>
        <v>5.217</v>
      </c>
      <c r="H53" s="22" t="n">
        <f aca="false">IFERROR(F53*$B$5,0)</f>
        <v>2091.5</v>
      </c>
      <c r="I53" s="22" t="n">
        <f aca="false">IFERROR(G53*$B$5,0)</f>
        <v>2608.5</v>
      </c>
      <c r="J53" s="21" t="s">
        <v>189</v>
      </c>
    </row>
    <row r="54" customFormat="false" ht="15.75" hidden="false" customHeight="true" outlineLevel="0" collapsed="false">
      <c r="A54" s="37" t="s">
        <v>267</v>
      </c>
      <c r="B54" s="37"/>
      <c r="C54" s="37"/>
      <c r="D54" s="37"/>
      <c r="E54" s="37"/>
      <c r="F54" s="37"/>
      <c r="G54" s="37"/>
      <c r="H54" s="37"/>
      <c r="I54" s="37"/>
      <c r="J54" s="37"/>
    </row>
    <row r="55" customFormat="false" ht="13.5" hidden="false" customHeight="true" outlineLevel="0" collapsed="false">
      <c r="A55" s="38" t="s">
        <v>191</v>
      </c>
      <c r="B55" s="38" t="s">
        <v>192</v>
      </c>
      <c r="C55" s="39" t="s">
        <v>193</v>
      </c>
      <c r="D55" s="38" t="s">
        <v>58</v>
      </c>
      <c r="E55" s="40" t="s">
        <v>262</v>
      </c>
      <c r="F55" s="40" t="s">
        <v>262</v>
      </c>
      <c r="G55" s="40" t="s">
        <v>262</v>
      </c>
      <c r="H55" s="41" t="n">
        <v>0</v>
      </c>
      <c r="I55" s="41" t="n">
        <v>0</v>
      </c>
      <c r="J55" s="39" t="s">
        <v>194</v>
      </c>
    </row>
    <row r="56" customFormat="false" ht="13.5" hidden="false" customHeight="true" outlineLevel="0" collapsed="false">
      <c r="A56" s="38" t="s">
        <v>191</v>
      </c>
      <c r="B56" s="38" t="s">
        <v>195</v>
      </c>
      <c r="C56" s="39" t="s">
        <v>196</v>
      </c>
      <c r="D56" s="38" t="s">
        <v>58</v>
      </c>
      <c r="E56" s="40" t="s">
        <v>262</v>
      </c>
      <c r="F56" s="40" t="s">
        <v>262</v>
      </c>
      <c r="G56" s="40" t="s">
        <v>262</v>
      </c>
      <c r="H56" s="41" t="n">
        <v>0</v>
      </c>
      <c r="I56" s="41" t="n">
        <v>0</v>
      </c>
      <c r="J56" s="39" t="s">
        <v>197</v>
      </c>
    </row>
    <row r="57" customFormat="false" ht="15.75" hidden="false" customHeight="true" outlineLevel="0" collapsed="false">
      <c r="A57" s="36" t="s">
        <v>268</v>
      </c>
      <c r="B57" s="36"/>
      <c r="C57" s="36"/>
      <c r="D57" s="36"/>
      <c r="E57" s="36"/>
      <c r="F57" s="36"/>
      <c r="G57" s="36"/>
      <c r="H57" s="36"/>
      <c r="I57" s="36"/>
      <c r="J57" s="36"/>
    </row>
    <row r="58" customFormat="false" ht="13.5" hidden="false" customHeight="true" outlineLevel="0" collapsed="false">
      <c r="A58" s="20" t="s">
        <v>199</v>
      </c>
      <c r="B58" s="20" t="s">
        <v>200</v>
      </c>
      <c r="C58" s="21" t="s">
        <v>201</v>
      </c>
      <c r="D58" s="20" t="s">
        <v>58</v>
      </c>
      <c r="E58" s="22" t="n">
        <f aca="false">IFERROR('Rates Reference Table'!E55*$E$5,0)</f>
        <v>9.4</v>
      </c>
      <c r="F58" s="22" t="n">
        <f aca="false">IFERROR(E58*(1-$H$5/2),0)</f>
        <v>8.366</v>
      </c>
      <c r="G58" s="22" t="n">
        <f aca="false">IFERROR(E58*(1+$H$5/2),0)</f>
        <v>10.434</v>
      </c>
      <c r="H58" s="22" t="n">
        <f aca="false">IFERROR(F58*$B$5,0)</f>
        <v>4183</v>
      </c>
      <c r="I58" s="22" t="n">
        <f aca="false">IFERROR(G58*$B$5,0)</f>
        <v>5217</v>
      </c>
      <c r="J58" s="21" t="s">
        <v>202</v>
      </c>
    </row>
    <row r="59" customFormat="false" ht="13.5" hidden="false" customHeight="true" outlineLevel="0" collapsed="false">
      <c r="A59" s="24" t="s">
        <v>199</v>
      </c>
      <c r="B59" s="24" t="s">
        <v>203</v>
      </c>
      <c r="C59" s="25" t="s">
        <v>204</v>
      </c>
      <c r="D59" s="24" t="s">
        <v>58</v>
      </c>
      <c r="E59" s="26" t="n">
        <f aca="false">IFERROR('Rates Reference Table'!E56*$E$5,0)</f>
        <v>9.4</v>
      </c>
      <c r="F59" s="26" t="n">
        <f aca="false">IFERROR(E59*(1-$H$5/2),0)</f>
        <v>8.366</v>
      </c>
      <c r="G59" s="26" t="n">
        <f aca="false">IFERROR(E59*(1+$H$5/2),0)</f>
        <v>10.434</v>
      </c>
      <c r="H59" s="26" t="n">
        <f aca="false">IFERROR(F59*$B$5,0)</f>
        <v>4183</v>
      </c>
      <c r="I59" s="26" t="n">
        <f aca="false">IFERROR(G59*$B$5,0)</f>
        <v>5217</v>
      </c>
      <c r="J59" s="25" t="s">
        <v>205</v>
      </c>
    </row>
    <row r="60" customFormat="false" ht="13.5" hidden="false" customHeight="true" outlineLevel="0" collapsed="false">
      <c r="A60" s="20" t="s">
        <v>199</v>
      </c>
      <c r="B60" s="20" t="s">
        <v>206</v>
      </c>
      <c r="C60" s="21" t="s">
        <v>207</v>
      </c>
      <c r="D60" s="20" t="s">
        <v>58</v>
      </c>
      <c r="E60" s="22" t="n">
        <f aca="false">IFERROR('Rates Reference Table'!E57*$E$5,0)</f>
        <v>4.7</v>
      </c>
      <c r="F60" s="22" t="n">
        <f aca="false">IFERROR(E60*(1-$H$5/2),0)</f>
        <v>4.183</v>
      </c>
      <c r="G60" s="22" t="n">
        <f aca="false">IFERROR(E60*(1+$H$5/2),0)</f>
        <v>5.217</v>
      </c>
      <c r="H60" s="22" t="n">
        <f aca="false">IFERROR(F60*$B$5,0)</f>
        <v>2091.5</v>
      </c>
      <c r="I60" s="22" t="n">
        <f aca="false">IFERROR(G60*$B$5,0)</f>
        <v>2608.5</v>
      </c>
      <c r="J60" s="21" t="s">
        <v>208</v>
      </c>
    </row>
    <row r="61" customFormat="false" ht="13.5" hidden="false" customHeight="true" outlineLevel="0" collapsed="false">
      <c r="A61" s="24" t="s">
        <v>199</v>
      </c>
      <c r="B61" s="24" t="s">
        <v>209</v>
      </c>
      <c r="C61" s="25" t="s">
        <v>210</v>
      </c>
      <c r="D61" s="24" t="s">
        <v>58</v>
      </c>
      <c r="E61" s="26" t="n">
        <f aca="false">IFERROR('Rates Reference Table'!E58*$E$5,0)</f>
        <v>0</v>
      </c>
      <c r="F61" s="26" t="n">
        <f aca="false">IFERROR(E61*(1-$H$5/2),0)</f>
        <v>0</v>
      </c>
      <c r="G61" s="26" t="n">
        <f aca="false">IFERROR(E61*(1+$H$5/2),0)</f>
        <v>0</v>
      </c>
      <c r="H61" s="26" t="n">
        <f aca="false">IFERROR(F61*$B$5,0)</f>
        <v>0</v>
      </c>
      <c r="I61" s="26" t="n">
        <f aca="false">IFERROR(G61*$B$5,0)</f>
        <v>0</v>
      </c>
      <c r="J61" s="25" t="s">
        <v>211</v>
      </c>
    </row>
    <row r="62" customFormat="false" ht="13.5" hidden="false" customHeight="true" outlineLevel="0" collapsed="false">
      <c r="A62" s="20" t="s">
        <v>199</v>
      </c>
      <c r="B62" s="20" t="s">
        <v>212</v>
      </c>
      <c r="C62" s="21" t="s">
        <v>213</v>
      </c>
      <c r="D62" s="20" t="s">
        <v>58</v>
      </c>
      <c r="E62" s="22" t="n">
        <f aca="false">IFERROR('Rates Reference Table'!E59*$E$5,0)</f>
        <v>4.7</v>
      </c>
      <c r="F62" s="22" t="n">
        <f aca="false">IFERROR(E62*(1-$H$5/2),0)</f>
        <v>4.183</v>
      </c>
      <c r="G62" s="22" t="n">
        <f aca="false">IFERROR(E62*(1+$H$5/2),0)</f>
        <v>5.217</v>
      </c>
      <c r="H62" s="22" t="n">
        <f aca="false">IFERROR(F62*$B$5,0)</f>
        <v>2091.5</v>
      </c>
      <c r="I62" s="22" t="n">
        <f aca="false">IFERROR(G62*$B$5,0)</f>
        <v>2608.5</v>
      </c>
      <c r="J62" s="21" t="s">
        <v>214</v>
      </c>
    </row>
    <row r="63" customFormat="false" ht="15.75" hidden="false" customHeight="true" outlineLevel="0" collapsed="false">
      <c r="A63" s="36" t="s">
        <v>269</v>
      </c>
      <c r="B63" s="36"/>
      <c r="C63" s="36"/>
      <c r="D63" s="36"/>
      <c r="E63" s="36"/>
      <c r="F63" s="36"/>
      <c r="G63" s="36"/>
      <c r="H63" s="36"/>
      <c r="I63" s="36"/>
      <c r="J63" s="36"/>
    </row>
    <row r="64" customFormat="false" ht="13.5" hidden="false" customHeight="true" outlineLevel="0" collapsed="false">
      <c r="A64" s="20" t="s">
        <v>216</v>
      </c>
      <c r="B64" s="20" t="s">
        <v>217</v>
      </c>
      <c r="C64" s="21" t="s">
        <v>218</v>
      </c>
      <c r="D64" s="20" t="s">
        <v>58</v>
      </c>
      <c r="E64" s="22" t="n">
        <f aca="false">IFERROR('Rates Reference Table'!E61*$E$5,0)</f>
        <v>2.82</v>
      </c>
      <c r="F64" s="22" t="n">
        <f aca="false">IFERROR(E64*(1-$H$5/2),0)</f>
        <v>2.5098</v>
      </c>
      <c r="G64" s="22" t="n">
        <f aca="false">IFERROR(E64*(1+$H$5/2),0)</f>
        <v>3.1302</v>
      </c>
      <c r="H64" s="22" t="n">
        <f aca="false">IFERROR(F64*$B$5,0)</f>
        <v>1254.9</v>
      </c>
      <c r="I64" s="22" t="n">
        <f aca="false">IFERROR(G64*$B$5,0)</f>
        <v>1565.1</v>
      </c>
      <c r="J64" s="21" t="s">
        <v>219</v>
      </c>
    </row>
    <row r="65" customFormat="false" ht="13.5" hidden="false" customHeight="true" outlineLevel="0" collapsed="false">
      <c r="A65" s="24" t="s">
        <v>216</v>
      </c>
      <c r="B65" s="24" t="s">
        <v>220</v>
      </c>
      <c r="C65" s="25" t="s">
        <v>221</v>
      </c>
      <c r="D65" s="24" t="s">
        <v>73</v>
      </c>
      <c r="E65" s="26" t="n">
        <f aca="false">IFERROR('Rates Reference Table'!E62*$E$5,0)</f>
        <v>0</v>
      </c>
      <c r="F65" s="26" t="n">
        <f aca="false">IFERROR(E65*(1-$H$5/2),0)</f>
        <v>0</v>
      </c>
      <c r="G65" s="26" t="n">
        <f aca="false">IFERROR(E65*(1+$H$5/2),0)</f>
        <v>0</v>
      </c>
      <c r="H65" s="26" t="n">
        <f aca="false">IFERROR(F65*$B$5,0)</f>
        <v>0</v>
      </c>
      <c r="I65" s="26" t="n">
        <f aca="false">IFERROR(G65*$B$5,0)</f>
        <v>0</v>
      </c>
      <c r="J65" s="25" t="s">
        <v>222</v>
      </c>
    </row>
    <row r="66" customFormat="false" ht="13.5" hidden="false" customHeight="true" outlineLevel="0" collapsed="false">
      <c r="A66" s="20" t="s">
        <v>216</v>
      </c>
      <c r="B66" s="20" t="s">
        <v>223</v>
      </c>
      <c r="C66" s="21" t="s">
        <v>224</v>
      </c>
      <c r="D66" s="20" t="s">
        <v>109</v>
      </c>
      <c r="E66" s="22" t="n">
        <f aca="false">IFERROR('Rates Reference Table'!E63*$E$5,0)</f>
        <v>0</v>
      </c>
      <c r="F66" s="22" t="n">
        <f aca="false">IFERROR(E66*(1-$H$5/2),0)</f>
        <v>0</v>
      </c>
      <c r="G66" s="22" t="n">
        <f aca="false">IFERROR(E66*(1+$H$5/2),0)</f>
        <v>0</v>
      </c>
      <c r="H66" s="22" t="n">
        <f aca="false">IFERROR(F66*$B$5,0)</f>
        <v>0</v>
      </c>
      <c r="I66" s="22" t="n">
        <f aca="false">IFERROR(G66*$B$5,0)</f>
        <v>0</v>
      </c>
      <c r="J66" s="21" t="s">
        <v>225</v>
      </c>
    </row>
    <row r="67" customFormat="false" ht="13.5" hidden="false" customHeight="true" outlineLevel="0" collapsed="false">
      <c r="A67" s="24" t="s">
        <v>216</v>
      </c>
      <c r="B67" s="24" t="s">
        <v>226</v>
      </c>
      <c r="C67" s="25" t="s">
        <v>227</v>
      </c>
      <c r="D67" s="24" t="s">
        <v>58</v>
      </c>
      <c r="E67" s="26" t="n">
        <f aca="false">IFERROR('Rates Reference Table'!E64*$E$5,0)</f>
        <v>2.82</v>
      </c>
      <c r="F67" s="26" t="n">
        <f aca="false">IFERROR(E67*(1-$H$5/2),0)</f>
        <v>2.5098</v>
      </c>
      <c r="G67" s="26" t="n">
        <f aca="false">IFERROR(E67*(1+$H$5/2),0)</f>
        <v>3.1302</v>
      </c>
      <c r="H67" s="26" t="n">
        <f aca="false">IFERROR(F67*$B$5,0)</f>
        <v>1254.9</v>
      </c>
      <c r="I67" s="26" t="n">
        <f aca="false">IFERROR(G67*$B$5,0)</f>
        <v>1565.1</v>
      </c>
      <c r="J67" s="25" t="s">
        <v>228</v>
      </c>
    </row>
    <row r="68" customFormat="false" ht="13.5" hidden="false" customHeight="true" outlineLevel="0" collapsed="false">
      <c r="A68" s="20" t="s">
        <v>216</v>
      </c>
      <c r="B68" s="20" t="s">
        <v>229</v>
      </c>
      <c r="C68" s="21" t="s">
        <v>230</v>
      </c>
      <c r="D68" s="20" t="s">
        <v>58</v>
      </c>
      <c r="E68" s="22" t="n">
        <f aca="false">IFERROR('Rates Reference Table'!E65*$E$5,0)</f>
        <v>2.82</v>
      </c>
      <c r="F68" s="22" t="n">
        <f aca="false">IFERROR(E68*(1-$H$5/2),0)</f>
        <v>2.5098</v>
      </c>
      <c r="G68" s="22" t="n">
        <f aca="false">IFERROR(E68*(1+$H$5/2),0)</f>
        <v>3.1302</v>
      </c>
      <c r="H68" s="22" t="n">
        <f aca="false">IFERROR(F68*$B$5,0)</f>
        <v>1254.9</v>
      </c>
      <c r="I68" s="22" t="n">
        <f aca="false">IFERROR(G68*$B$5,0)</f>
        <v>1565.1</v>
      </c>
      <c r="J68" s="21" t="s">
        <v>231</v>
      </c>
    </row>
    <row r="69" customFormat="false" ht="13.5" hidden="false" customHeight="true" outlineLevel="0" collapsed="false">
      <c r="A69" s="24" t="s">
        <v>216</v>
      </c>
      <c r="B69" s="24" t="s">
        <v>232</v>
      </c>
      <c r="C69" s="25" t="s">
        <v>233</v>
      </c>
      <c r="D69" s="24" t="s">
        <v>58</v>
      </c>
      <c r="E69" s="26" t="n">
        <f aca="false">IFERROR('Rates Reference Table'!E66*$E$5,0)</f>
        <v>2.82</v>
      </c>
      <c r="F69" s="26" t="n">
        <f aca="false">IFERROR(E69*(1-$H$5/2),0)</f>
        <v>2.5098</v>
      </c>
      <c r="G69" s="26" t="n">
        <f aca="false">IFERROR(E69*(1+$H$5/2),0)</f>
        <v>3.1302</v>
      </c>
      <c r="H69" s="26" t="n">
        <f aca="false">IFERROR(F69*$B$5,0)</f>
        <v>1254.9</v>
      </c>
      <c r="I69" s="26" t="n">
        <f aca="false">IFERROR(G69*$B$5,0)</f>
        <v>1565.1</v>
      </c>
      <c r="J69" s="25" t="s">
        <v>234</v>
      </c>
    </row>
    <row r="70" customFormat="false" ht="13.5" hidden="false" customHeight="true" outlineLevel="0" collapsed="false">
      <c r="A70" s="20" t="s">
        <v>216</v>
      </c>
      <c r="B70" s="20" t="s">
        <v>235</v>
      </c>
      <c r="C70" s="21" t="s">
        <v>236</v>
      </c>
      <c r="D70" s="20" t="s">
        <v>73</v>
      </c>
      <c r="E70" s="22" t="n">
        <f aca="false">IFERROR('Rates Reference Table'!E67*$E$5,0)</f>
        <v>0</v>
      </c>
      <c r="F70" s="22" t="n">
        <f aca="false">IFERROR(E70*(1-$H$5/2),0)</f>
        <v>0</v>
      </c>
      <c r="G70" s="22" t="n">
        <f aca="false">IFERROR(E70*(1+$H$5/2),0)</f>
        <v>0</v>
      </c>
      <c r="H70" s="22" t="n">
        <f aca="false">IFERROR(F70*$B$5,0)</f>
        <v>0</v>
      </c>
      <c r="I70" s="22" t="n">
        <f aca="false">IFERROR(G70*$B$5,0)</f>
        <v>0</v>
      </c>
      <c r="J70" s="21" t="s">
        <v>237</v>
      </c>
    </row>
    <row r="71" customFormat="false" ht="13.5" hidden="false" customHeight="true" outlineLevel="0" collapsed="false">
      <c r="A71" s="24" t="s">
        <v>216</v>
      </c>
      <c r="B71" s="24" t="s">
        <v>238</v>
      </c>
      <c r="C71" s="25" t="s">
        <v>239</v>
      </c>
      <c r="D71" s="24" t="s">
        <v>58</v>
      </c>
      <c r="E71" s="26" t="n">
        <f aca="false">IFERROR('Rates Reference Table'!E68*$E$5,0)</f>
        <v>0</v>
      </c>
      <c r="F71" s="26" t="n">
        <f aca="false">IFERROR(E71*(1-$H$5/2),0)</f>
        <v>0</v>
      </c>
      <c r="G71" s="26" t="n">
        <f aca="false">IFERROR(E71*(1+$H$5/2),0)</f>
        <v>0</v>
      </c>
      <c r="H71" s="26" t="n">
        <f aca="false">IFERROR(F71*$B$5,0)</f>
        <v>0</v>
      </c>
      <c r="I71" s="26" t="n">
        <f aca="false">IFERROR(G71*$B$5,0)</f>
        <v>0</v>
      </c>
      <c r="J71" s="25" t="s">
        <v>240</v>
      </c>
    </row>
    <row r="72" customFormat="false" ht="13.5" hidden="false" customHeight="true" outlineLevel="0" collapsed="false">
      <c r="A72" s="20" t="s">
        <v>216</v>
      </c>
      <c r="B72" s="20" t="s">
        <v>241</v>
      </c>
      <c r="C72" s="21" t="s">
        <v>166</v>
      </c>
      <c r="D72" s="20" t="s">
        <v>58</v>
      </c>
      <c r="E72" s="22" t="n">
        <f aca="false">IFERROR('Rates Reference Table'!E69*$E$5,0)</f>
        <v>0</v>
      </c>
      <c r="F72" s="22" t="n">
        <f aca="false">IFERROR(E72*(1-$H$5/2),0)</f>
        <v>0</v>
      </c>
      <c r="G72" s="22" t="n">
        <f aca="false">IFERROR(E72*(1+$H$5/2),0)</f>
        <v>0</v>
      </c>
      <c r="H72" s="22" t="n">
        <f aca="false">IFERROR(F72*$B$5,0)</f>
        <v>0</v>
      </c>
      <c r="I72" s="22" t="n">
        <f aca="false">IFERROR(G72*$B$5,0)</f>
        <v>0</v>
      </c>
      <c r="J72" s="21" t="s">
        <v>242</v>
      </c>
    </row>
    <row r="73" customFormat="false" ht="18" hidden="false" customHeight="true" outlineLevel="0" collapsed="false">
      <c r="A73" s="42" t="s">
        <v>270</v>
      </c>
      <c r="B73" s="42"/>
      <c r="C73" s="42"/>
      <c r="D73" s="42"/>
      <c r="E73" s="42"/>
      <c r="F73" s="42"/>
      <c r="G73" s="42"/>
      <c r="H73" s="43" t="n">
        <f aca="false">SUMPRODUCT((H8:H72&gt;0)*H8:H72)</f>
        <v>218770.9</v>
      </c>
      <c r="I73" s="43" t="n">
        <f aca="false">SUMPRODUCT((I8:I72&gt;0)*I8:I72)</f>
        <v>272849.1</v>
      </c>
    </row>
    <row r="74" customFormat="false" ht="7.5" hidden="false" customHeight="true" outlineLevel="0" collapsed="false"/>
    <row r="75" customFormat="false" ht="15" hidden="false" customHeight="true" outlineLevel="0" collapsed="false">
      <c r="A75" s="44" t="s">
        <v>271</v>
      </c>
      <c r="B75" s="44"/>
      <c r="C75" s="44"/>
      <c r="D75" s="44"/>
      <c r="E75" s="44"/>
      <c r="F75" s="44"/>
      <c r="G75" s="44"/>
      <c r="H75" s="44"/>
      <c r="I75" s="44"/>
      <c r="J75" s="44"/>
    </row>
    <row r="76" customFormat="false" ht="15" hidden="false" customHeight="true" outlineLevel="0" collapsed="false">
      <c r="A76" s="45" t="s">
        <v>272</v>
      </c>
      <c r="B76" s="45"/>
      <c r="C76" s="45"/>
      <c r="D76" s="45" t="s">
        <v>273</v>
      </c>
      <c r="E76" s="45" t="s">
        <v>274</v>
      </c>
      <c r="F76" s="45" t="s">
        <v>275</v>
      </c>
      <c r="G76" s="45" t="s">
        <v>276</v>
      </c>
      <c r="H76" s="45" t="s">
        <v>277</v>
      </c>
      <c r="I76" s="45" t="s">
        <v>278</v>
      </c>
      <c r="J76" s="45" t="s">
        <v>279</v>
      </c>
    </row>
    <row r="77" customFormat="false" ht="15.75" hidden="false" customHeight="true" outlineLevel="0" collapsed="false">
      <c r="A77" s="20" t="s">
        <v>280</v>
      </c>
      <c r="B77" s="21"/>
      <c r="C77" s="21"/>
      <c r="D77" s="21" t="s">
        <v>281</v>
      </c>
      <c r="E77" s="20" t="s">
        <v>282</v>
      </c>
      <c r="F77" s="46" t="n">
        <v>0.08</v>
      </c>
      <c r="G77" s="46" t="n">
        <v>0.1</v>
      </c>
      <c r="H77" s="22" t="n">
        <f aca="false">IFERROR(F77*H73,0)</f>
        <v>17501.672</v>
      </c>
      <c r="I77" s="22" t="n">
        <f aca="false">IFERROR(G77*I73,0)</f>
        <v>27284.91</v>
      </c>
      <c r="J77" s="21" t="s">
        <v>283</v>
      </c>
    </row>
    <row r="78" customFormat="false" ht="15.75" hidden="false" customHeight="true" outlineLevel="0" collapsed="false">
      <c r="A78" s="24" t="s">
        <v>284</v>
      </c>
      <c r="B78" s="25"/>
      <c r="C78" s="25"/>
      <c r="D78" s="25" t="s">
        <v>285</v>
      </c>
      <c r="E78" s="24" t="s">
        <v>282</v>
      </c>
      <c r="F78" s="47" t="n">
        <v>0.08</v>
      </c>
      <c r="G78" s="47" t="n">
        <v>0.12</v>
      </c>
      <c r="H78" s="26" t="n">
        <f aca="false">IFERROR(F78*H73,0)</f>
        <v>17501.672</v>
      </c>
      <c r="I78" s="26" t="n">
        <f aca="false">IFERROR(G78*I73,0)</f>
        <v>32741.892</v>
      </c>
      <c r="J78" s="25" t="s">
        <v>286</v>
      </c>
    </row>
    <row r="79" customFormat="false" ht="18" hidden="false" customHeight="true" outlineLevel="0" collapsed="false">
      <c r="A79" s="42" t="s">
        <v>287</v>
      </c>
      <c r="B79" s="42"/>
      <c r="C79" s="42"/>
      <c r="D79" s="42"/>
      <c r="E79" s="42"/>
      <c r="F79" s="42"/>
      <c r="G79" s="42"/>
      <c r="H79" s="43" t="n">
        <f aca="false">H73+H77+H78</f>
        <v>253774.244</v>
      </c>
      <c r="I79" s="43" t="n">
        <f aca="false">I73+I77+I78</f>
        <v>332875.902</v>
      </c>
    </row>
    <row r="80" customFormat="false" ht="15.75" hidden="false" customHeight="true" outlineLevel="0" collapsed="false">
      <c r="A80" s="24" t="s">
        <v>288</v>
      </c>
      <c r="B80" s="25"/>
      <c r="C80" s="25"/>
      <c r="D80" s="25" t="s">
        <v>289</v>
      </c>
      <c r="E80" s="24" t="s">
        <v>290</v>
      </c>
      <c r="F80" s="47" t="n">
        <v>0.05</v>
      </c>
      <c r="G80" s="47" t="n">
        <v>0.15</v>
      </c>
      <c r="H80" s="26" t="n">
        <f aca="false">IFERROR(F80*H79,0)</f>
        <v>12688.7122</v>
      </c>
      <c r="I80" s="26" t="n">
        <f aca="false">IFERROR(G80*I79,0)</f>
        <v>49931.3853</v>
      </c>
      <c r="J80" s="25" t="s">
        <v>291</v>
      </c>
    </row>
    <row r="81" customFormat="false" ht="15.75" hidden="false" customHeight="true" outlineLevel="0" collapsed="false">
      <c r="A81" s="20" t="s">
        <v>292</v>
      </c>
      <c r="B81" s="21"/>
      <c r="C81" s="21"/>
      <c r="D81" s="21" t="s">
        <v>293</v>
      </c>
      <c r="E81" s="20" t="s">
        <v>290</v>
      </c>
      <c r="F81" s="46" t="n">
        <v>0.02</v>
      </c>
      <c r="G81" s="46" t="n">
        <v>0.04</v>
      </c>
      <c r="H81" s="22" t="n">
        <f aca="false">IFERROR(F81*H79,0)</f>
        <v>5075.48488</v>
      </c>
      <c r="I81" s="22" t="n">
        <f aca="false">IFERROR(G81*I79,0)</f>
        <v>13315.03608</v>
      </c>
      <c r="J81" s="21" t="s">
        <v>294</v>
      </c>
    </row>
    <row r="82" customFormat="false" ht="15.75" hidden="false" customHeight="true" outlineLevel="0" collapsed="false">
      <c r="A82" s="48" t="s">
        <v>295</v>
      </c>
      <c r="B82" s="49"/>
      <c r="C82" s="49"/>
      <c r="D82" s="49" t="s">
        <v>296</v>
      </c>
      <c r="E82" s="48" t="s">
        <v>282</v>
      </c>
      <c r="F82" s="50" t="n">
        <v>0.05</v>
      </c>
      <c r="G82" s="50" t="n">
        <v>0.1</v>
      </c>
      <c r="H82" s="51" t="n">
        <f aca="false">IFERROR(F82*H73,0)</f>
        <v>10938.545</v>
      </c>
      <c r="I82" s="51" t="n">
        <f aca="false">IFERROR(G82*I73,0)</f>
        <v>27284.91</v>
      </c>
      <c r="J82" s="49" t="s">
        <v>297</v>
      </c>
    </row>
    <row r="83" customFormat="false" ht="15.75" hidden="false" customHeight="true" outlineLevel="0" collapsed="false">
      <c r="A83" s="52" t="s">
        <v>298</v>
      </c>
      <c r="B83" s="53"/>
      <c r="C83" s="53"/>
      <c r="D83" s="53" t="s">
        <v>299</v>
      </c>
      <c r="E83" s="52" t="s">
        <v>282</v>
      </c>
      <c r="F83" s="54" t="n">
        <v>0.05</v>
      </c>
      <c r="G83" s="54" t="n">
        <v>0.05</v>
      </c>
      <c r="H83" s="55" t="n">
        <f aca="false">IFERROR(0.05*H73,0)</f>
        <v>10938.545</v>
      </c>
      <c r="I83" s="55" t="n">
        <f aca="false">IFERROR(0.05*I73,0)</f>
        <v>13642.455</v>
      </c>
      <c r="J83" s="53" t="s">
        <v>300</v>
      </c>
    </row>
    <row r="84" customFormat="false" ht="15.75" hidden="false" customHeight="true" outlineLevel="0" collapsed="false">
      <c r="A84" s="24" t="s">
        <v>301</v>
      </c>
      <c r="B84" s="25"/>
      <c r="C84" s="25"/>
      <c r="D84" s="25" t="s">
        <v>302</v>
      </c>
      <c r="E84" s="24" t="s">
        <v>282</v>
      </c>
      <c r="F84" s="47" t="n">
        <v>0.02</v>
      </c>
      <c r="G84" s="47" t="n">
        <v>0.12</v>
      </c>
      <c r="H84" s="26" t="n">
        <f aca="false">IFERROR(F84*H73,0)</f>
        <v>4375.418</v>
      </c>
      <c r="I84" s="26" t="n">
        <f aca="false">IFERROR(G84*I73,0)</f>
        <v>32741.892</v>
      </c>
      <c r="J84" s="25" t="s">
        <v>303</v>
      </c>
    </row>
    <row r="85" customFormat="false" ht="21.75" hidden="false" customHeight="true" outlineLevel="0" collapsed="false">
      <c r="A85" s="56" t="s">
        <v>304</v>
      </c>
      <c r="B85" s="56"/>
      <c r="C85" s="56"/>
      <c r="D85" s="56"/>
      <c r="E85" s="56"/>
      <c r="F85" s="56"/>
      <c r="G85" s="56"/>
      <c r="H85" s="57" t="n">
        <f aca="false">H79+H80+H81+H82+H83+H84</f>
        <v>297790.94908</v>
      </c>
      <c r="I85" s="57" t="n">
        <f aca="false">I79+I80+I81+I82+I83+I84</f>
        <v>469791.58038</v>
      </c>
    </row>
    <row r="86" customFormat="false" ht="15.75" hidden="false" customHeight="true" outlineLevel="0" collapsed="false">
      <c r="A86" s="58" t="s">
        <v>305</v>
      </c>
      <c r="B86" s="59"/>
      <c r="C86" s="59"/>
      <c r="D86" s="59" t="s">
        <v>306</v>
      </c>
      <c r="E86" s="58" t="s">
        <v>307</v>
      </c>
      <c r="F86" s="60" t="n">
        <v>0.2</v>
      </c>
      <c r="G86" s="60" t="n">
        <v>0.2</v>
      </c>
      <c r="H86" s="61" t="n">
        <f aca="false">IFERROR(0.2*H85,0)</f>
        <v>59558.189816</v>
      </c>
      <c r="I86" s="61" t="n">
        <f aca="false">IFERROR(0.2*I85,0)</f>
        <v>93958.316076</v>
      </c>
      <c r="J86" s="59" t="s">
        <v>308</v>
      </c>
    </row>
    <row r="87" customFormat="false" ht="7.5" hidden="false" customHeight="true" outlineLevel="0" collapsed="false"/>
    <row r="88" customFormat="false" ht="15.75" hidden="false" customHeight="true" outlineLevel="0" collapsed="false">
      <c r="A88" s="62" t="s">
        <v>309</v>
      </c>
      <c r="B88" s="62"/>
      <c r="C88" s="62"/>
      <c r="D88" s="62"/>
      <c r="E88" s="63" t="n">
        <f aca="false">IFERROR(H73/$B$5,0)</f>
        <v>437.5418</v>
      </c>
      <c r="F88" s="64"/>
      <c r="G88" s="65" t="n">
        <f aca="false">IFERROR(I73/$B$5,0)</f>
        <v>545.6982</v>
      </c>
      <c r="H88" s="64"/>
      <c r="I88" s="64"/>
      <c r="J88" s="64"/>
    </row>
    <row r="89" customFormat="false" ht="7.5" hidden="false" customHeight="true" outlineLevel="0" collapsed="false"/>
    <row r="90" customFormat="false" ht="27.75" hidden="false" customHeight="true" outlineLevel="0" collapsed="false">
      <c r="A90" s="66" t="s">
        <v>310</v>
      </c>
      <c r="B90" s="66"/>
      <c r="C90" s="66"/>
      <c r="D90" s="66"/>
      <c r="E90" s="66"/>
      <c r="F90" s="66"/>
      <c r="G90" s="66"/>
      <c r="H90" s="66"/>
      <c r="I90" s="66"/>
      <c r="J90" s="66"/>
    </row>
  </sheetData>
  <mergeCells count="17">
    <mergeCell ref="A1:I1"/>
    <mergeCell ref="A2:I2"/>
    <mergeCell ref="A8:J8"/>
    <mergeCell ref="A13:J13"/>
    <mergeCell ref="A18:J18"/>
    <mergeCell ref="A27:J27"/>
    <mergeCell ref="A31:J31"/>
    <mergeCell ref="A36:J36"/>
    <mergeCell ref="A54:J54"/>
    <mergeCell ref="A57:J57"/>
    <mergeCell ref="A63:J63"/>
    <mergeCell ref="A73:G73"/>
    <mergeCell ref="A75:J75"/>
    <mergeCell ref="A79:G79"/>
    <mergeCell ref="A85:G85"/>
    <mergeCell ref="A88:D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50"/>
    <col collapsed="false" customWidth="true" hidden="false" outlineLevel="0" max="4" min="4" style="1" width="8"/>
    <col collapsed="false" customWidth="true" hidden="false" outlineLevel="0" max="7" min="5" style="1" width="14"/>
    <col collapsed="false" customWidth="true" hidden="false" outlineLevel="0" max="9" min="8" style="1" width="17"/>
    <col collapsed="false" customWidth="true" hidden="false" outlineLevel="0" max="10" min="10" style="1" width="40"/>
  </cols>
  <sheetData>
    <row r="1" customFormat="false" ht="21.75" hidden="false" customHeight="true" outlineLevel="0" collapsed="false">
      <c r="A1" s="29" t="s">
        <v>311</v>
      </c>
      <c r="B1" s="29"/>
      <c r="C1" s="29"/>
      <c r="D1" s="29"/>
      <c r="E1" s="29"/>
      <c r="F1" s="29"/>
      <c r="G1" s="29"/>
      <c r="H1" s="29"/>
      <c r="I1" s="29"/>
    </row>
    <row r="2" customFormat="false" ht="19.5" hidden="false" customHeight="true" outlineLevel="0" collapsed="false">
      <c r="A2" s="30" t="s">
        <v>312</v>
      </c>
      <c r="B2" s="30"/>
      <c r="C2" s="30"/>
      <c r="D2" s="30"/>
      <c r="E2" s="30"/>
      <c r="F2" s="30"/>
      <c r="G2" s="30"/>
      <c r="H2" s="30"/>
      <c r="I2" s="30"/>
    </row>
    <row r="3" customFormat="false" ht="6" hidden="false" customHeight="true" outlineLevel="0" collapsed="false"/>
    <row r="4" customFormat="false" ht="15" hidden="false" customHeight="true" outlineLevel="0" collapsed="false">
      <c r="A4" s="31" t="s">
        <v>246</v>
      </c>
      <c r="B4" s="32" t="s">
        <v>247</v>
      </c>
      <c r="D4" s="31" t="s">
        <v>248</v>
      </c>
      <c r="E4" s="32" t="s">
        <v>313</v>
      </c>
      <c r="G4" s="31" t="s">
        <v>250</v>
      </c>
      <c r="H4" s="33" t="s">
        <v>251</v>
      </c>
    </row>
    <row r="5" customFormat="false" ht="18" hidden="false" customHeight="true" outlineLevel="0" collapsed="false">
      <c r="A5" s="31" t="s">
        <v>252</v>
      </c>
      <c r="B5" s="34" t="n">
        <v>500</v>
      </c>
      <c r="D5" s="31" t="s">
        <v>253</v>
      </c>
      <c r="E5" s="35" t="n">
        <v>0.94</v>
      </c>
      <c r="G5" s="31" t="s">
        <v>254</v>
      </c>
      <c r="H5" s="35" t="n">
        <v>0.22</v>
      </c>
    </row>
    <row r="6" customFormat="false" ht="6" hidden="false" customHeight="true" outlineLevel="0" collapsed="false"/>
    <row r="7" customFormat="false" ht="27.75" hidden="false" customHeight="true" outlineLevel="0" collapsed="false">
      <c r="A7" s="18" t="s">
        <v>41</v>
      </c>
      <c r="B7" s="18" t="s">
        <v>42</v>
      </c>
      <c r="C7" s="18" t="s">
        <v>43</v>
      </c>
      <c r="D7" s="18" t="s">
        <v>44</v>
      </c>
      <c r="E7" s="18" t="s">
        <v>255</v>
      </c>
      <c r="F7" s="18" t="s">
        <v>256</v>
      </c>
      <c r="G7" s="18" t="s">
        <v>257</v>
      </c>
      <c r="H7" s="18" t="s">
        <v>258</v>
      </c>
      <c r="I7" s="18" t="s">
        <v>259</v>
      </c>
      <c r="J7" s="18" t="s">
        <v>53</v>
      </c>
    </row>
    <row r="8" customFormat="false" ht="15.75" hidden="false" customHeight="true" outlineLevel="0" collapsed="false">
      <c r="A8" s="36" t="s">
        <v>260</v>
      </c>
      <c r="B8" s="36"/>
      <c r="C8" s="36"/>
      <c r="D8" s="36"/>
      <c r="E8" s="36"/>
      <c r="F8" s="36"/>
      <c r="G8" s="36"/>
      <c r="H8" s="36"/>
      <c r="I8" s="36"/>
      <c r="J8" s="36"/>
    </row>
    <row r="9" customFormat="false" ht="13.5" hidden="false" customHeight="true" outlineLevel="0" collapsed="false">
      <c r="A9" s="20" t="s">
        <v>55</v>
      </c>
      <c r="B9" s="20" t="s">
        <v>56</v>
      </c>
      <c r="C9" s="21" t="s">
        <v>57</v>
      </c>
      <c r="D9" s="20" t="s">
        <v>58</v>
      </c>
      <c r="E9" s="22" t="n">
        <f aca="false">IFERROR('Rates Reference Table'!F6*$E$5,0)</f>
        <v>23.5</v>
      </c>
      <c r="F9" s="22" t="n">
        <f aca="false">IFERROR(E9*(1-$H$5/2),0)</f>
        <v>20.915</v>
      </c>
      <c r="G9" s="22" t="n">
        <f aca="false">IFERROR(E9*(1+$H$5/2),0)</f>
        <v>26.085</v>
      </c>
      <c r="H9" s="22" t="n">
        <f aca="false">IFERROR(F9*$B$5,0)</f>
        <v>10457.5</v>
      </c>
      <c r="I9" s="22" t="n">
        <f aca="false">IFERROR(G9*$B$5,0)</f>
        <v>13042.5</v>
      </c>
      <c r="J9" s="21" t="s">
        <v>59</v>
      </c>
    </row>
    <row r="10" customFormat="false" ht="13.5" hidden="false" customHeight="true" outlineLevel="0" collapsed="false">
      <c r="A10" s="24" t="s">
        <v>55</v>
      </c>
      <c r="B10" s="24" t="s">
        <v>60</v>
      </c>
      <c r="C10" s="25" t="s">
        <v>61</v>
      </c>
      <c r="D10" s="24" t="s">
        <v>58</v>
      </c>
      <c r="E10" s="26" t="n">
        <f aca="false">IFERROR('Rates Reference Table'!F7*$E$5,0)</f>
        <v>32.9</v>
      </c>
      <c r="F10" s="26" t="n">
        <f aca="false">IFERROR(E10*(1-$H$5/2),0)</f>
        <v>29.281</v>
      </c>
      <c r="G10" s="26" t="n">
        <f aca="false">IFERROR(E10*(1+$H$5/2),0)</f>
        <v>36.519</v>
      </c>
      <c r="H10" s="26" t="n">
        <f aca="false">IFERROR(F10*$B$5,0)</f>
        <v>14640.5</v>
      </c>
      <c r="I10" s="26" t="n">
        <f aca="false">IFERROR(G10*$B$5,0)</f>
        <v>18259.5</v>
      </c>
      <c r="J10" s="25" t="s">
        <v>62</v>
      </c>
    </row>
    <row r="11" customFormat="false" ht="13.5" hidden="false" customHeight="true" outlineLevel="0" collapsed="false">
      <c r="A11" s="20" t="s">
        <v>55</v>
      </c>
      <c r="B11" s="20" t="s">
        <v>63</v>
      </c>
      <c r="C11" s="21" t="s">
        <v>64</v>
      </c>
      <c r="D11" s="20" t="s">
        <v>58</v>
      </c>
      <c r="E11" s="22" t="n">
        <f aca="false">IFERROR('Rates Reference Table'!F8*$E$5,0)</f>
        <v>9.4</v>
      </c>
      <c r="F11" s="22" t="n">
        <f aca="false">IFERROR(E11*(1-$H$5/2),0)</f>
        <v>8.366</v>
      </c>
      <c r="G11" s="22" t="n">
        <f aca="false">IFERROR(E11*(1+$H$5/2),0)</f>
        <v>10.434</v>
      </c>
      <c r="H11" s="22" t="n">
        <f aca="false">IFERROR(F11*$B$5,0)</f>
        <v>4183</v>
      </c>
      <c r="I11" s="22" t="n">
        <f aca="false">IFERROR(G11*$B$5,0)</f>
        <v>5217</v>
      </c>
      <c r="J11" s="21" t="s">
        <v>65</v>
      </c>
    </row>
    <row r="12" customFormat="false" ht="13.5" hidden="false" customHeight="true" outlineLevel="0" collapsed="false">
      <c r="A12" s="24" t="s">
        <v>55</v>
      </c>
      <c r="B12" s="24" t="s">
        <v>66</v>
      </c>
      <c r="C12" s="25" t="s">
        <v>67</v>
      </c>
      <c r="D12" s="24" t="s">
        <v>58</v>
      </c>
      <c r="E12" s="26" t="n">
        <f aca="false">IFERROR('Rates Reference Table'!F9*$E$5,0)</f>
        <v>7.52</v>
      </c>
      <c r="F12" s="26" t="n">
        <f aca="false">IFERROR(E12*(1-$H$5/2),0)</f>
        <v>6.6928</v>
      </c>
      <c r="G12" s="26" t="n">
        <f aca="false">IFERROR(E12*(1+$H$5/2),0)</f>
        <v>8.3472</v>
      </c>
      <c r="H12" s="26" t="n">
        <f aca="false">IFERROR(F12*$B$5,0)</f>
        <v>3346.4</v>
      </c>
      <c r="I12" s="26" t="n">
        <f aca="false">IFERROR(G12*$B$5,0)</f>
        <v>4173.6</v>
      </c>
      <c r="J12" s="25" t="s">
        <v>68</v>
      </c>
    </row>
    <row r="13" customFormat="false" ht="15.75" hidden="false" customHeight="true" outlineLevel="0" collapsed="false">
      <c r="A13" s="37" t="s">
        <v>261</v>
      </c>
      <c r="B13" s="37"/>
      <c r="C13" s="37"/>
      <c r="D13" s="37"/>
      <c r="E13" s="37"/>
      <c r="F13" s="37"/>
      <c r="G13" s="37"/>
      <c r="H13" s="37"/>
      <c r="I13" s="37"/>
      <c r="J13" s="37"/>
    </row>
    <row r="14" customFormat="false" ht="13.5" hidden="false" customHeight="true" outlineLevel="0" collapsed="false">
      <c r="A14" s="38" t="s">
        <v>70</v>
      </c>
      <c r="B14" s="38" t="s">
        <v>71</v>
      </c>
      <c r="C14" s="39" t="s">
        <v>72</v>
      </c>
      <c r="D14" s="38" t="s">
        <v>73</v>
      </c>
      <c r="E14" s="40" t="s">
        <v>262</v>
      </c>
      <c r="F14" s="40" t="s">
        <v>262</v>
      </c>
      <c r="G14" s="40" t="s">
        <v>262</v>
      </c>
      <c r="H14" s="41" t="n">
        <v>0</v>
      </c>
      <c r="I14" s="41" t="n">
        <v>0</v>
      </c>
      <c r="J14" s="39" t="s">
        <v>74</v>
      </c>
    </row>
    <row r="15" customFormat="false" ht="13.5" hidden="false" customHeight="true" outlineLevel="0" collapsed="false">
      <c r="A15" s="38" t="s">
        <v>70</v>
      </c>
      <c r="B15" s="38" t="s">
        <v>75</v>
      </c>
      <c r="C15" s="39" t="s">
        <v>76</v>
      </c>
      <c r="D15" s="38" t="s">
        <v>73</v>
      </c>
      <c r="E15" s="40" t="s">
        <v>262</v>
      </c>
      <c r="F15" s="40" t="s">
        <v>262</v>
      </c>
      <c r="G15" s="40" t="s">
        <v>262</v>
      </c>
      <c r="H15" s="41" t="n">
        <v>0</v>
      </c>
      <c r="I15" s="41" t="n">
        <v>0</v>
      </c>
      <c r="J15" s="39" t="s">
        <v>77</v>
      </c>
    </row>
    <row r="16" customFormat="false" ht="13.5" hidden="false" customHeight="true" outlineLevel="0" collapsed="false">
      <c r="A16" s="38" t="s">
        <v>70</v>
      </c>
      <c r="B16" s="38" t="s">
        <v>78</v>
      </c>
      <c r="C16" s="39" t="s">
        <v>79</v>
      </c>
      <c r="D16" s="38" t="s">
        <v>73</v>
      </c>
      <c r="E16" s="40" t="s">
        <v>262</v>
      </c>
      <c r="F16" s="40" t="s">
        <v>262</v>
      </c>
      <c r="G16" s="40" t="s">
        <v>262</v>
      </c>
      <c r="H16" s="41" t="n">
        <v>0</v>
      </c>
      <c r="I16" s="41" t="n">
        <v>0</v>
      </c>
      <c r="J16" s="39" t="s">
        <v>80</v>
      </c>
    </row>
    <row r="17" customFormat="false" ht="13.5" hidden="false" customHeight="true" outlineLevel="0" collapsed="false">
      <c r="A17" s="38" t="s">
        <v>70</v>
      </c>
      <c r="B17" s="38" t="s">
        <v>81</v>
      </c>
      <c r="C17" s="39" t="s">
        <v>82</v>
      </c>
      <c r="D17" s="38" t="s">
        <v>58</v>
      </c>
      <c r="E17" s="40" t="s">
        <v>262</v>
      </c>
      <c r="F17" s="40" t="s">
        <v>262</v>
      </c>
      <c r="G17" s="40" t="s">
        <v>262</v>
      </c>
      <c r="H17" s="41" t="n">
        <v>0</v>
      </c>
      <c r="I17" s="41" t="n">
        <v>0</v>
      </c>
      <c r="J17" s="39" t="s">
        <v>83</v>
      </c>
    </row>
    <row r="18" customFormat="false" ht="15.75" hidden="false" customHeight="true" outlineLevel="0" collapsed="false">
      <c r="A18" s="36" t="s">
        <v>263</v>
      </c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13.5" hidden="false" customHeight="true" outlineLevel="0" collapsed="false">
      <c r="A19" s="20" t="s">
        <v>85</v>
      </c>
      <c r="B19" s="20" t="s">
        <v>86</v>
      </c>
      <c r="C19" s="21" t="s">
        <v>87</v>
      </c>
      <c r="D19" s="20" t="s">
        <v>73</v>
      </c>
      <c r="E19" s="22" t="n">
        <f aca="false">IFERROR('Rates Reference Table'!F16*$E$5,0)</f>
        <v>18.8</v>
      </c>
      <c r="F19" s="22" t="n">
        <f aca="false">IFERROR(E19*(1-$H$5/2),0)</f>
        <v>16.732</v>
      </c>
      <c r="G19" s="22" t="n">
        <f aca="false">IFERROR(E19*(1+$H$5/2),0)</f>
        <v>20.868</v>
      </c>
      <c r="H19" s="22" t="n">
        <f aca="false">IFERROR(F19*$B$5,0)</f>
        <v>8366</v>
      </c>
      <c r="I19" s="22" t="n">
        <f aca="false">IFERROR(G19*$B$5,0)</f>
        <v>10434</v>
      </c>
      <c r="J19" s="21" t="s">
        <v>88</v>
      </c>
    </row>
    <row r="20" customFormat="false" ht="13.5" hidden="false" customHeight="true" outlineLevel="0" collapsed="false">
      <c r="A20" s="24" t="s">
        <v>85</v>
      </c>
      <c r="B20" s="24" t="s">
        <v>89</v>
      </c>
      <c r="C20" s="25" t="s">
        <v>90</v>
      </c>
      <c r="D20" s="24" t="s">
        <v>73</v>
      </c>
      <c r="E20" s="26" t="n">
        <f aca="false">IFERROR('Rates Reference Table'!F17*$E$5,0)</f>
        <v>14.1</v>
      </c>
      <c r="F20" s="26" t="n">
        <f aca="false">IFERROR(E20*(1-$H$5/2),0)</f>
        <v>12.549</v>
      </c>
      <c r="G20" s="26" t="n">
        <f aca="false">IFERROR(E20*(1+$H$5/2),0)</f>
        <v>15.651</v>
      </c>
      <c r="H20" s="26" t="n">
        <f aca="false">IFERROR(F20*$B$5,0)</f>
        <v>6274.5</v>
      </c>
      <c r="I20" s="26" t="n">
        <f aca="false">IFERROR(G20*$B$5,0)</f>
        <v>7825.5</v>
      </c>
      <c r="J20" s="25" t="s">
        <v>91</v>
      </c>
    </row>
    <row r="21" customFormat="false" ht="13.5" hidden="false" customHeight="true" outlineLevel="0" collapsed="false">
      <c r="A21" s="20" t="s">
        <v>85</v>
      </c>
      <c r="B21" s="20" t="s">
        <v>92</v>
      </c>
      <c r="C21" s="21" t="s">
        <v>93</v>
      </c>
      <c r="D21" s="20" t="s">
        <v>73</v>
      </c>
      <c r="E21" s="22" t="n">
        <f aca="false">IFERROR('Rates Reference Table'!F18*$E$5,0)</f>
        <v>51.7</v>
      </c>
      <c r="F21" s="22" t="n">
        <f aca="false">IFERROR(E21*(1-$H$5/2),0)</f>
        <v>46.013</v>
      </c>
      <c r="G21" s="22" t="n">
        <f aca="false">IFERROR(E21*(1+$H$5/2),0)</f>
        <v>57.387</v>
      </c>
      <c r="H21" s="22" t="n">
        <f aca="false">IFERROR(F21*$B$5,0)</f>
        <v>23006.5</v>
      </c>
      <c r="I21" s="22" t="n">
        <f aca="false">IFERROR(G21*$B$5,0)</f>
        <v>28693.5</v>
      </c>
      <c r="J21" s="21" t="s">
        <v>94</v>
      </c>
    </row>
    <row r="22" customFormat="false" ht="13.5" hidden="false" customHeight="true" outlineLevel="0" collapsed="false">
      <c r="A22" s="24" t="s">
        <v>85</v>
      </c>
      <c r="B22" s="24" t="s">
        <v>95</v>
      </c>
      <c r="C22" s="25" t="s">
        <v>96</v>
      </c>
      <c r="D22" s="24" t="s">
        <v>58</v>
      </c>
      <c r="E22" s="26" t="n">
        <f aca="false">IFERROR('Rates Reference Table'!F19*$E$5,0)</f>
        <v>14.1</v>
      </c>
      <c r="F22" s="26" t="n">
        <f aca="false">IFERROR(E22*(1-$H$5/2),0)</f>
        <v>12.549</v>
      </c>
      <c r="G22" s="26" t="n">
        <f aca="false">IFERROR(E22*(1+$H$5/2),0)</f>
        <v>15.651</v>
      </c>
      <c r="H22" s="26" t="n">
        <f aca="false">IFERROR(F22*$B$5,0)</f>
        <v>6274.5</v>
      </c>
      <c r="I22" s="26" t="n">
        <f aca="false">IFERROR(G22*$B$5,0)</f>
        <v>7825.5</v>
      </c>
      <c r="J22" s="25" t="s">
        <v>97</v>
      </c>
    </row>
    <row r="23" customFormat="false" ht="13.5" hidden="false" customHeight="true" outlineLevel="0" collapsed="false">
      <c r="A23" s="20" t="s">
        <v>85</v>
      </c>
      <c r="B23" s="20" t="s">
        <v>98</v>
      </c>
      <c r="C23" s="21" t="s">
        <v>99</v>
      </c>
      <c r="D23" s="20" t="s">
        <v>73</v>
      </c>
      <c r="E23" s="22" t="n">
        <f aca="false">IFERROR('Rates Reference Table'!F20*$E$5,0)</f>
        <v>56.4</v>
      </c>
      <c r="F23" s="22" t="n">
        <f aca="false">IFERROR(E23*(1-$H$5/2),0)</f>
        <v>50.196</v>
      </c>
      <c r="G23" s="22" t="n">
        <f aca="false">IFERROR(E23*(1+$H$5/2),0)</f>
        <v>62.604</v>
      </c>
      <c r="H23" s="22" t="n">
        <f aca="false">IFERROR(F23*$B$5,0)</f>
        <v>25098</v>
      </c>
      <c r="I23" s="22" t="n">
        <f aca="false">IFERROR(G23*$B$5,0)</f>
        <v>31302</v>
      </c>
      <c r="J23" s="21" t="s">
        <v>100</v>
      </c>
    </row>
    <row r="24" customFormat="false" ht="13.5" hidden="false" customHeight="true" outlineLevel="0" collapsed="false">
      <c r="A24" s="24" t="s">
        <v>85</v>
      </c>
      <c r="B24" s="24" t="s">
        <v>101</v>
      </c>
      <c r="C24" s="25" t="s">
        <v>102</v>
      </c>
      <c r="D24" s="24" t="s">
        <v>73</v>
      </c>
      <c r="E24" s="26" t="n">
        <f aca="false">IFERROR('Rates Reference Table'!F21*$E$5,0)</f>
        <v>122.2</v>
      </c>
      <c r="F24" s="26" t="n">
        <f aca="false">IFERROR(E24*(1-$H$5/2),0)</f>
        <v>108.758</v>
      </c>
      <c r="G24" s="26" t="n">
        <f aca="false">IFERROR(E24*(1+$H$5/2),0)</f>
        <v>135.642</v>
      </c>
      <c r="H24" s="26" t="n">
        <f aca="false">IFERROR(F24*$B$5,0)</f>
        <v>54379</v>
      </c>
      <c r="I24" s="26" t="n">
        <f aca="false">IFERROR(G24*$B$5,0)</f>
        <v>67821</v>
      </c>
      <c r="J24" s="25" t="s">
        <v>103</v>
      </c>
    </row>
    <row r="25" customFormat="false" ht="13.5" hidden="false" customHeight="true" outlineLevel="0" collapsed="false">
      <c r="A25" s="20" t="s">
        <v>85</v>
      </c>
      <c r="B25" s="20" t="s">
        <v>104</v>
      </c>
      <c r="C25" s="21" t="s">
        <v>105</v>
      </c>
      <c r="D25" s="20" t="s">
        <v>73</v>
      </c>
      <c r="E25" s="22" t="n">
        <f aca="false">IFERROR('Rates Reference Table'!F22*$E$5,0)</f>
        <v>32.9</v>
      </c>
      <c r="F25" s="22" t="n">
        <f aca="false">IFERROR(E25*(1-$H$5/2),0)</f>
        <v>29.281</v>
      </c>
      <c r="G25" s="22" t="n">
        <f aca="false">IFERROR(E25*(1+$H$5/2),0)</f>
        <v>36.519</v>
      </c>
      <c r="H25" s="22" t="n">
        <f aca="false">IFERROR(F25*$B$5,0)</f>
        <v>14640.5</v>
      </c>
      <c r="I25" s="22" t="n">
        <f aca="false">IFERROR(G25*$B$5,0)</f>
        <v>18259.5</v>
      </c>
      <c r="J25" s="21" t="s">
        <v>106</v>
      </c>
    </row>
    <row r="26" customFormat="false" ht="13.5" hidden="false" customHeight="true" outlineLevel="0" collapsed="false">
      <c r="A26" s="24" t="s">
        <v>85</v>
      </c>
      <c r="B26" s="24" t="s">
        <v>107</v>
      </c>
      <c r="C26" s="25" t="s">
        <v>108</v>
      </c>
      <c r="D26" s="24" t="s">
        <v>109</v>
      </c>
      <c r="E26" s="26" t="n">
        <f aca="false">IFERROR('Rates Reference Table'!F23*$E$5,0)</f>
        <v>23.5</v>
      </c>
      <c r="F26" s="26" t="n">
        <f aca="false">IFERROR(E26*(1-$H$5/2),0)</f>
        <v>20.915</v>
      </c>
      <c r="G26" s="26" t="n">
        <f aca="false">IFERROR(E26*(1+$H$5/2),0)</f>
        <v>26.085</v>
      </c>
      <c r="H26" s="26" t="n">
        <f aca="false">IFERROR(F26*$B$5,0)</f>
        <v>10457.5</v>
      </c>
      <c r="I26" s="26" t="n">
        <f aca="false">IFERROR(G26*$B$5,0)</f>
        <v>13042.5</v>
      </c>
      <c r="J26" s="25" t="s">
        <v>110</v>
      </c>
    </row>
    <row r="27" customFormat="false" ht="15.75" hidden="false" customHeight="true" outlineLevel="0" collapsed="false">
      <c r="A27" s="36" t="s">
        <v>264</v>
      </c>
      <c r="B27" s="36"/>
      <c r="C27" s="36"/>
      <c r="D27" s="36"/>
      <c r="E27" s="36"/>
      <c r="F27" s="36"/>
      <c r="G27" s="36"/>
      <c r="H27" s="36"/>
      <c r="I27" s="36"/>
      <c r="J27" s="36"/>
    </row>
    <row r="28" customFormat="false" ht="13.5" hidden="false" customHeight="true" outlineLevel="0" collapsed="false">
      <c r="A28" s="20" t="s">
        <v>112</v>
      </c>
      <c r="B28" s="20" t="s">
        <v>113</v>
      </c>
      <c r="C28" s="21" t="s">
        <v>114</v>
      </c>
      <c r="D28" s="20" t="s">
        <v>73</v>
      </c>
      <c r="E28" s="22" t="n">
        <f aca="false">IFERROR('Rates Reference Table'!F25*$E$5,0)</f>
        <v>32.9</v>
      </c>
      <c r="F28" s="22" t="n">
        <f aca="false">IFERROR(E28*(1-$H$5/2),0)</f>
        <v>29.281</v>
      </c>
      <c r="G28" s="22" t="n">
        <f aca="false">IFERROR(E28*(1+$H$5/2),0)</f>
        <v>36.519</v>
      </c>
      <c r="H28" s="22" t="n">
        <f aca="false">IFERROR(F28*$B$5,0)</f>
        <v>14640.5</v>
      </c>
      <c r="I28" s="22" t="n">
        <f aca="false">IFERROR(G28*$B$5,0)</f>
        <v>18259.5</v>
      </c>
      <c r="J28" s="21" t="s">
        <v>115</v>
      </c>
    </row>
    <row r="29" customFormat="false" ht="13.5" hidden="false" customHeight="true" outlineLevel="0" collapsed="false">
      <c r="A29" s="24" t="s">
        <v>112</v>
      </c>
      <c r="B29" s="24" t="s">
        <v>116</v>
      </c>
      <c r="C29" s="25" t="s">
        <v>117</v>
      </c>
      <c r="D29" s="24" t="s">
        <v>73</v>
      </c>
      <c r="E29" s="26" t="n">
        <f aca="false">IFERROR('Rates Reference Table'!F26*$E$5,0)</f>
        <v>51.7</v>
      </c>
      <c r="F29" s="26" t="n">
        <f aca="false">IFERROR(E29*(1-$H$5/2),0)</f>
        <v>46.013</v>
      </c>
      <c r="G29" s="26" t="n">
        <f aca="false">IFERROR(E29*(1+$H$5/2),0)</f>
        <v>57.387</v>
      </c>
      <c r="H29" s="26" t="n">
        <f aca="false">IFERROR(F29*$B$5,0)</f>
        <v>23006.5</v>
      </c>
      <c r="I29" s="26" t="n">
        <f aca="false">IFERROR(G29*$B$5,0)</f>
        <v>28693.5</v>
      </c>
      <c r="J29" s="25" t="s">
        <v>118</v>
      </c>
    </row>
    <row r="30" customFormat="false" ht="13.5" hidden="false" customHeight="true" outlineLevel="0" collapsed="false">
      <c r="A30" s="20" t="s">
        <v>112</v>
      </c>
      <c r="B30" s="20" t="s">
        <v>119</v>
      </c>
      <c r="C30" s="21" t="s">
        <v>120</v>
      </c>
      <c r="D30" s="20" t="s">
        <v>73</v>
      </c>
      <c r="E30" s="22" t="n">
        <f aca="false">IFERROR('Rates Reference Table'!F27*$E$5,0)</f>
        <v>28.2</v>
      </c>
      <c r="F30" s="22" t="n">
        <f aca="false">IFERROR(E30*(1-$H$5/2),0)</f>
        <v>25.098</v>
      </c>
      <c r="G30" s="22" t="n">
        <f aca="false">IFERROR(E30*(1+$H$5/2),0)</f>
        <v>31.302</v>
      </c>
      <c r="H30" s="22" t="n">
        <f aca="false">IFERROR(F30*$B$5,0)</f>
        <v>12549</v>
      </c>
      <c r="I30" s="22" t="n">
        <f aca="false">IFERROR(G30*$B$5,0)</f>
        <v>15651</v>
      </c>
      <c r="J30" s="21" t="s">
        <v>121</v>
      </c>
    </row>
    <row r="31" customFormat="false" ht="15.75" hidden="false" customHeight="true" outlineLevel="0" collapsed="false">
      <c r="A31" s="36" t="s">
        <v>265</v>
      </c>
      <c r="B31" s="36"/>
      <c r="C31" s="36"/>
      <c r="D31" s="36"/>
      <c r="E31" s="36"/>
      <c r="F31" s="36"/>
      <c r="G31" s="36"/>
      <c r="H31" s="36"/>
      <c r="I31" s="36"/>
      <c r="J31" s="36"/>
    </row>
    <row r="32" customFormat="false" ht="13.5" hidden="false" customHeight="true" outlineLevel="0" collapsed="false">
      <c r="A32" s="20" t="s">
        <v>123</v>
      </c>
      <c r="B32" s="20" t="s">
        <v>124</v>
      </c>
      <c r="C32" s="21" t="s">
        <v>125</v>
      </c>
      <c r="D32" s="20" t="s">
        <v>58</v>
      </c>
      <c r="E32" s="22" t="n">
        <f aca="false">IFERROR('Rates Reference Table'!F29*$E$5,0)</f>
        <v>28.2</v>
      </c>
      <c r="F32" s="22" t="n">
        <f aca="false">IFERROR(E32*(1-$H$5/2),0)</f>
        <v>25.098</v>
      </c>
      <c r="G32" s="22" t="n">
        <f aca="false">IFERROR(E32*(1+$H$5/2),0)</f>
        <v>31.302</v>
      </c>
      <c r="H32" s="22" t="n">
        <f aca="false">IFERROR(F32*$B$5,0)</f>
        <v>12549</v>
      </c>
      <c r="I32" s="22" t="n">
        <f aca="false">IFERROR(G32*$B$5,0)</f>
        <v>15651</v>
      </c>
      <c r="J32" s="21" t="s">
        <v>126</v>
      </c>
    </row>
    <row r="33" customFormat="false" ht="13.5" hidden="false" customHeight="true" outlineLevel="0" collapsed="false">
      <c r="A33" s="24" t="s">
        <v>123</v>
      </c>
      <c r="B33" s="24" t="s">
        <v>127</v>
      </c>
      <c r="C33" s="25" t="s">
        <v>128</v>
      </c>
      <c r="D33" s="24" t="s">
        <v>109</v>
      </c>
      <c r="E33" s="26" t="n">
        <f aca="false">IFERROR('Rates Reference Table'!F30*$E$5,0)</f>
        <v>16.92</v>
      </c>
      <c r="F33" s="26" t="n">
        <f aca="false">IFERROR(E33*(1-$H$5/2),0)</f>
        <v>15.0588</v>
      </c>
      <c r="G33" s="26" t="n">
        <f aca="false">IFERROR(E33*(1+$H$5/2),0)</f>
        <v>18.7812</v>
      </c>
      <c r="H33" s="26" t="n">
        <f aca="false">IFERROR(F33*$B$5,0)</f>
        <v>7529.4</v>
      </c>
      <c r="I33" s="26" t="n">
        <f aca="false">IFERROR(G33*$B$5,0)</f>
        <v>9390.6</v>
      </c>
      <c r="J33" s="25" t="s">
        <v>129</v>
      </c>
    </row>
    <row r="34" customFormat="false" ht="13.5" hidden="false" customHeight="true" outlineLevel="0" collapsed="false">
      <c r="A34" s="20" t="s">
        <v>123</v>
      </c>
      <c r="B34" s="20" t="s">
        <v>130</v>
      </c>
      <c r="C34" s="21" t="s">
        <v>131</v>
      </c>
      <c r="D34" s="20" t="s">
        <v>58</v>
      </c>
      <c r="E34" s="22" t="n">
        <f aca="false">IFERROR('Rates Reference Table'!F31*$E$5,0)</f>
        <v>14.1</v>
      </c>
      <c r="F34" s="22" t="n">
        <f aca="false">IFERROR(E34*(1-$H$5/2),0)</f>
        <v>12.549</v>
      </c>
      <c r="G34" s="22" t="n">
        <f aca="false">IFERROR(E34*(1+$H$5/2),0)</f>
        <v>15.651</v>
      </c>
      <c r="H34" s="22" t="n">
        <f aca="false">IFERROR(F34*$B$5,0)</f>
        <v>6274.5</v>
      </c>
      <c r="I34" s="22" t="n">
        <f aca="false">IFERROR(G34*$B$5,0)</f>
        <v>7825.5</v>
      </c>
      <c r="J34" s="21" t="s">
        <v>132</v>
      </c>
    </row>
    <row r="35" customFormat="false" ht="13.5" hidden="false" customHeight="true" outlineLevel="0" collapsed="false">
      <c r="A35" s="24" t="s">
        <v>123</v>
      </c>
      <c r="B35" s="24" t="s">
        <v>133</v>
      </c>
      <c r="C35" s="25" t="s">
        <v>134</v>
      </c>
      <c r="D35" s="24" t="s">
        <v>58</v>
      </c>
      <c r="E35" s="26" t="n">
        <f aca="false">IFERROR('Rates Reference Table'!F32*$E$5,0)</f>
        <v>9.4</v>
      </c>
      <c r="F35" s="26" t="n">
        <f aca="false">IFERROR(E35*(1-$H$5/2),0)</f>
        <v>8.366</v>
      </c>
      <c r="G35" s="26" t="n">
        <f aca="false">IFERROR(E35*(1+$H$5/2),0)</f>
        <v>10.434</v>
      </c>
      <c r="H35" s="26" t="n">
        <f aca="false">IFERROR(F35*$B$5,0)</f>
        <v>4183</v>
      </c>
      <c r="I35" s="26" t="n">
        <f aca="false">IFERROR(G35*$B$5,0)</f>
        <v>5217</v>
      </c>
      <c r="J35" s="25" t="s">
        <v>135</v>
      </c>
    </row>
    <row r="36" customFormat="false" ht="15.75" hidden="false" customHeight="true" outlineLevel="0" collapsed="false">
      <c r="A36" s="36" t="s">
        <v>266</v>
      </c>
      <c r="B36" s="36"/>
      <c r="C36" s="36"/>
      <c r="D36" s="36"/>
      <c r="E36" s="36"/>
      <c r="F36" s="36"/>
      <c r="G36" s="36"/>
      <c r="H36" s="36"/>
      <c r="I36" s="36"/>
      <c r="J36" s="36"/>
    </row>
    <row r="37" customFormat="false" ht="13.5" hidden="false" customHeight="true" outlineLevel="0" collapsed="false">
      <c r="A37" s="20" t="s">
        <v>137</v>
      </c>
      <c r="B37" s="20" t="s">
        <v>138</v>
      </c>
      <c r="C37" s="21" t="s">
        <v>139</v>
      </c>
      <c r="D37" s="20" t="s">
        <v>73</v>
      </c>
      <c r="E37" s="22" t="n">
        <f aca="false">IFERROR('Rates Reference Table'!F34*$E$5,0)</f>
        <v>32.9</v>
      </c>
      <c r="F37" s="22" t="n">
        <f aca="false">IFERROR(E37*(1-$H$5/2),0)</f>
        <v>29.281</v>
      </c>
      <c r="G37" s="22" t="n">
        <f aca="false">IFERROR(E37*(1+$H$5/2),0)</f>
        <v>36.519</v>
      </c>
      <c r="H37" s="22" t="n">
        <f aca="false">IFERROR(F37*$B$5,0)</f>
        <v>14640.5</v>
      </c>
      <c r="I37" s="22" t="n">
        <f aca="false">IFERROR(G37*$B$5,0)</f>
        <v>18259.5</v>
      </c>
      <c r="J37" s="21" t="s">
        <v>140</v>
      </c>
    </row>
    <row r="38" customFormat="false" ht="13.5" hidden="false" customHeight="true" outlineLevel="0" collapsed="false">
      <c r="A38" s="24" t="s">
        <v>137</v>
      </c>
      <c r="B38" s="24" t="s">
        <v>141</v>
      </c>
      <c r="C38" s="25" t="s">
        <v>142</v>
      </c>
      <c r="D38" s="24" t="s">
        <v>73</v>
      </c>
      <c r="E38" s="26" t="n">
        <f aca="false">IFERROR('Rates Reference Table'!F35*$E$5,0)</f>
        <v>47</v>
      </c>
      <c r="F38" s="26" t="n">
        <f aca="false">IFERROR(E38*(1-$H$5/2),0)</f>
        <v>41.83</v>
      </c>
      <c r="G38" s="26" t="n">
        <f aca="false">IFERROR(E38*(1+$H$5/2),0)</f>
        <v>52.17</v>
      </c>
      <c r="H38" s="26" t="n">
        <f aca="false">IFERROR(F38*$B$5,0)</f>
        <v>20915</v>
      </c>
      <c r="I38" s="26" t="n">
        <f aca="false">IFERROR(G38*$B$5,0)</f>
        <v>26085</v>
      </c>
      <c r="J38" s="25" t="s">
        <v>143</v>
      </c>
    </row>
    <row r="39" customFormat="false" ht="13.5" hidden="false" customHeight="true" outlineLevel="0" collapsed="false">
      <c r="A39" s="20" t="s">
        <v>137</v>
      </c>
      <c r="B39" s="20" t="s">
        <v>144</v>
      </c>
      <c r="C39" s="21" t="s">
        <v>145</v>
      </c>
      <c r="D39" s="20" t="s">
        <v>73</v>
      </c>
      <c r="E39" s="22" t="n">
        <f aca="false">IFERROR('Rates Reference Table'!F36*$E$5,0)</f>
        <v>42.3</v>
      </c>
      <c r="F39" s="22" t="n">
        <f aca="false">IFERROR(E39*(1-$H$5/2),0)</f>
        <v>37.647</v>
      </c>
      <c r="G39" s="22" t="n">
        <f aca="false">IFERROR(E39*(1+$H$5/2),0)</f>
        <v>46.953</v>
      </c>
      <c r="H39" s="22" t="n">
        <f aca="false">IFERROR(F39*$B$5,0)</f>
        <v>18823.5</v>
      </c>
      <c r="I39" s="22" t="n">
        <f aca="false">IFERROR(G39*$B$5,0)</f>
        <v>23476.5</v>
      </c>
      <c r="J39" s="21" t="s">
        <v>146</v>
      </c>
    </row>
    <row r="40" customFormat="false" ht="13.5" hidden="false" customHeight="true" outlineLevel="0" collapsed="false">
      <c r="A40" s="24" t="s">
        <v>137</v>
      </c>
      <c r="B40" s="24" t="s">
        <v>147</v>
      </c>
      <c r="C40" s="25" t="s">
        <v>148</v>
      </c>
      <c r="D40" s="24" t="s">
        <v>73</v>
      </c>
      <c r="E40" s="26" t="n">
        <f aca="false">IFERROR('Rates Reference Table'!F37*$E$5,0)</f>
        <v>28.2</v>
      </c>
      <c r="F40" s="26" t="n">
        <f aca="false">IFERROR(E40*(1-$H$5/2),0)</f>
        <v>25.098</v>
      </c>
      <c r="G40" s="26" t="n">
        <f aca="false">IFERROR(E40*(1+$H$5/2),0)</f>
        <v>31.302</v>
      </c>
      <c r="H40" s="26" t="n">
        <f aca="false">IFERROR(F40*$B$5,0)</f>
        <v>12549</v>
      </c>
      <c r="I40" s="26" t="n">
        <f aca="false">IFERROR(G40*$B$5,0)</f>
        <v>15651</v>
      </c>
      <c r="J40" s="25" t="s">
        <v>149</v>
      </c>
    </row>
    <row r="41" customFormat="false" ht="13.5" hidden="false" customHeight="true" outlineLevel="0" collapsed="false">
      <c r="A41" s="20" t="s">
        <v>137</v>
      </c>
      <c r="B41" s="20" t="s">
        <v>150</v>
      </c>
      <c r="C41" s="21" t="s">
        <v>151</v>
      </c>
      <c r="D41" s="20" t="s">
        <v>58</v>
      </c>
      <c r="E41" s="22" t="n">
        <f aca="false">IFERROR('Rates Reference Table'!F38*$E$5,0)</f>
        <v>9.4</v>
      </c>
      <c r="F41" s="22" t="n">
        <f aca="false">IFERROR(E41*(1-$H$5/2),0)</f>
        <v>8.366</v>
      </c>
      <c r="G41" s="22" t="n">
        <f aca="false">IFERROR(E41*(1+$H$5/2),0)</f>
        <v>10.434</v>
      </c>
      <c r="H41" s="22" t="n">
        <f aca="false">IFERROR(F41*$B$5,0)</f>
        <v>4183</v>
      </c>
      <c r="I41" s="22" t="n">
        <f aca="false">IFERROR(G41*$B$5,0)</f>
        <v>5217</v>
      </c>
      <c r="J41" s="21" t="s">
        <v>152</v>
      </c>
    </row>
    <row r="42" customFormat="false" ht="13.5" hidden="false" customHeight="true" outlineLevel="0" collapsed="false">
      <c r="A42" s="24" t="s">
        <v>137</v>
      </c>
      <c r="B42" s="24" t="s">
        <v>153</v>
      </c>
      <c r="C42" s="25" t="s">
        <v>154</v>
      </c>
      <c r="D42" s="24" t="s">
        <v>73</v>
      </c>
      <c r="E42" s="26" t="n">
        <f aca="false">IFERROR('Rates Reference Table'!F39*$E$5,0)</f>
        <v>14.1</v>
      </c>
      <c r="F42" s="26" t="n">
        <f aca="false">IFERROR(E42*(1-$H$5/2),0)</f>
        <v>12.549</v>
      </c>
      <c r="G42" s="26" t="n">
        <f aca="false">IFERROR(E42*(1+$H$5/2),0)</f>
        <v>15.651</v>
      </c>
      <c r="H42" s="26" t="n">
        <f aca="false">IFERROR(F42*$B$5,0)</f>
        <v>6274.5</v>
      </c>
      <c r="I42" s="26" t="n">
        <f aca="false">IFERROR(G42*$B$5,0)</f>
        <v>7825.5</v>
      </c>
      <c r="J42" s="25" t="s">
        <v>155</v>
      </c>
    </row>
    <row r="43" customFormat="false" ht="13.5" hidden="false" customHeight="true" outlineLevel="0" collapsed="false">
      <c r="A43" s="20" t="s">
        <v>137</v>
      </c>
      <c r="B43" s="20" t="s">
        <v>156</v>
      </c>
      <c r="C43" s="21" t="s">
        <v>157</v>
      </c>
      <c r="D43" s="20" t="s">
        <v>73</v>
      </c>
      <c r="E43" s="22" t="n">
        <f aca="false">IFERROR('Rates Reference Table'!F40*$E$5,0)</f>
        <v>28.2</v>
      </c>
      <c r="F43" s="22" t="n">
        <f aca="false">IFERROR(E43*(1-$H$5/2),0)</f>
        <v>25.098</v>
      </c>
      <c r="G43" s="22" t="n">
        <f aca="false">IFERROR(E43*(1+$H$5/2),0)</f>
        <v>31.302</v>
      </c>
      <c r="H43" s="22" t="n">
        <f aca="false">IFERROR(F43*$B$5,0)</f>
        <v>12549</v>
      </c>
      <c r="I43" s="22" t="n">
        <f aca="false">IFERROR(G43*$B$5,0)</f>
        <v>15651</v>
      </c>
      <c r="J43" s="21" t="s">
        <v>158</v>
      </c>
    </row>
    <row r="44" customFormat="false" ht="13.5" hidden="false" customHeight="true" outlineLevel="0" collapsed="false">
      <c r="A44" s="24" t="s">
        <v>137</v>
      </c>
      <c r="B44" s="24" t="s">
        <v>159</v>
      </c>
      <c r="C44" s="25" t="s">
        <v>160</v>
      </c>
      <c r="D44" s="24" t="s">
        <v>73</v>
      </c>
      <c r="E44" s="26" t="n">
        <f aca="false">IFERROR('Rates Reference Table'!F41*$E$5,0)</f>
        <v>37.6</v>
      </c>
      <c r="F44" s="26" t="n">
        <f aca="false">IFERROR(E44*(1-$H$5/2),0)</f>
        <v>33.464</v>
      </c>
      <c r="G44" s="26" t="n">
        <f aca="false">IFERROR(E44*(1+$H$5/2),0)</f>
        <v>41.736</v>
      </c>
      <c r="H44" s="26" t="n">
        <f aca="false">IFERROR(F44*$B$5,0)</f>
        <v>16732</v>
      </c>
      <c r="I44" s="26" t="n">
        <f aca="false">IFERROR(G44*$B$5,0)</f>
        <v>20868</v>
      </c>
      <c r="J44" s="25" t="s">
        <v>161</v>
      </c>
    </row>
    <row r="45" customFormat="false" ht="13.5" hidden="false" customHeight="true" outlineLevel="0" collapsed="false">
      <c r="A45" s="20" t="s">
        <v>137</v>
      </c>
      <c r="B45" s="20" t="s">
        <v>162</v>
      </c>
      <c r="C45" s="21" t="s">
        <v>163</v>
      </c>
      <c r="D45" s="20" t="s">
        <v>73</v>
      </c>
      <c r="E45" s="22" t="n">
        <f aca="false">IFERROR('Rates Reference Table'!F42*$E$5,0)</f>
        <v>18.8</v>
      </c>
      <c r="F45" s="22" t="n">
        <f aca="false">IFERROR(E45*(1-$H$5/2),0)</f>
        <v>16.732</v>
      </c>
      <c r="G45" s="22" t="n">
        <f aca="false">IFERROR(E45*(1+$H$5/2),0)</f>
        <v>20.868</v>
      </c>
      <c r="H45" s="22" t="n">
        <f aca="false">IFERROR(F45*$B$5,0)</f>
        <v>8366</v>
      </c>
      <c r="I45" s="22" t="n">
        <f aca="false">IFERROR(G45*$B$5,0)</f>
        <v>10434</v>
      </c>
      <c r="J45" s="21" t="s">
        <v>164</v>
      </c>
    </row>
    <row r="46" customFormat="false" ht="13.5" hidden="false" customHeight="true" outlineLevel="0" collapsed="false">
      <c r="A46" s="24" t="s">
        <v>137</v>
      </c>
      <c r="B46" s="24" t="s">
        <v>165</v>
      </c>
      <c r="C46" s="25" t="s">
        <v>166</v>
      </c>
      <c r="D46" s="24" t="s">
        <v>58</v>
      </c>
      <c r="E46" s="26" t="n">
        <f aca="false">IFERROR('Rates Reference Table'!F43*$E$5,0)</f>
        <v>4.7</v>
      </c>
      <c r="F46" s="26" t="n">
        <f aca="false">IFERROR(E46*(1-$H$5/2),0)</f>
        <v>4.183</v>
      </c>
      <c r="G46" s="26" t="n">
        <f aca="false">IFERROR(E46*(1+$H$5/2),0)</f>
        <v>5.217</v>
      </c>
      <c r="H46" s="26" t="n">
        <f aca="false">IFERROR(F46*$B$5,0)</f>
        <v>2091.5</v>
      </c>
      <c r="I46" s="26" t="n">
        <f aca="false">IFERROR(G46*$B$5,0)</f>
        <v>2608.5</v>
      </c>
      <c r="J46" s="25" t="s">
        <v>167</v>
      </c>
    </row>
    <row r="47" customFormat="false" ht="13.5" hidden="false" customHeight="true" outlineLevel="0" collapsed="false">
      <c r="A47" s="20" t="s">
        <v>137</v>
      </c>
      <c r="B47" s="20" t="s">
        <v>168</v>
      </c>
      <c r="C47" s="21" t="s">
        <v>169</v>
      </c>
      <c r="D47" s="20" t="s">
        <v>170</v>
      </c>
      <c r="E47" s="22" t="n">
        <f aca="false">IFERROR('Rates Reference Table'!F44*$E$5,0)</f>
        <v>752</v>
      </c>
      <c r="F47" s="22" t="n">
        <f aca="false">IFERROR(E47*(1-$H$5/2),0)</f>
        <v>669.28</v>
      </c>
      <c r="G47" s="22" t="n">
        <f aca="false">IFERROR(E47*(1+$H$5/2),0)</f>
        <v>834.72</v>
      </c>
      <c r="H47" s="22" t="n">
        <f aca="false">IFERROR(F47*$B$5,0)</f>
        <v>334640</v>
      </c>
      <c r="I47" s="22" t="n">
        <f aca="false">IFERROR(G47*$B$5,0)</f>
        <v>417360</v>
      </c>
      <c r="J47" s="21" t="s">
        <v>171</v>
      </c>
    </row>
    <row r="48" customFormat="false" ht="13.5" hidden="false" customHeight="true" outlineLevel="0" collapsed="false">
      <c r="A48" s="24" t="s">
        <v>137</v>
      </c>
      <c r="B48" s="24" t="s">
        <v>172</v>
      </c>
      <c r="C48" s="25" t="s">
        <v>173</v>
      </c>
      <c r="D48" s="24" t="s">
        <v>109</v>
      </c>
      <c r="E48" s="26" t="n">
        <f aca="false">IFERROR('Rates Reference Table'!F45*$E$5,0)</f>
        <v>1410</v>
      </c>
      <c r="F48" s="26" t="n">
        <f aca="false">IFERROR(E48*(1-$H$5/2),0)</f>
        <v>1254.9</v>
      </c>
      <c r="G48" s="26" t="n">
        <f aca="false">IFERROR(E48*(1+$H$5/2),0)</f>
        <v>1565.1</v>
      </c>
      <c r="H48" s="26" t="n">
        <f aca="false">IFERROR(F48*$B$5,0)</f>
        <v>627450</v>
      </c>
      <c r="I48" s="26" t="n">
        <f aca="false">IFERROR(G48*$B$5,0)</f>
        <v>782550</v>
      </c>
      <c r="J48" s="25" t="s">
        <v>174</v>
      </c>
    </row>
    <row r="49" customFormat="false" ht="13.5" hidden="false" customHeight="true" outlineLevel="0" collapsed="false">
      <c r="A49" s="20" t="s">
        <v>137</v>
      </c>
      <c r="B49" s="20" t="s">
        <v>175</v>
      </c>
      <c r="C49" s="21" t="s">
        <v>176</v>
      </c>
      <c r="D49" s="20" t="s">
        <v>73</v>
      </c>
      <c r="E49" s="22" t="n">
        <f aca="false">IFERROR('Rates Reference Table'!F46*$E$5,0)</f>
        <v>16.92</v>
      </c>
      <c r="F49" s="22" t="n">
        <f aca="false">IFERROR(E49*(1-$H$5/2),0)</f>
        <v>15.0588</v>
      </c>
      <c r="G49" s="22" t="n">
        <f aca="false">IFERROR(E49*(1+$H$5/2),0)</f>
        <v>18.7812</v>
      </c>
      <c r="H49" s="22" t="n">
        <f aca="false">IFERROR(F49*$B$5,0)</f>
        <v>7529.4</v>
      </c>
      <c r="I49" s="22" t="n">
        <f aca="false">IFERROR(G49*$B$5,0)</f>
        <v>9390.6</v>
      </c>
      <c r="J49" s="21" t="s">
        <v>177</v>
      </c>
    </row>
    <row r="50" customFormat="false" ht="13.5" hidden="false" customHeight="true" outlineLevel="0" collapsed="false">
      <c r="A50" s="24" t="s">
        <v>137</v>
      </c>
      <c r="B50" s="24" t="s">
        <v>178</v>
      </c>
      <c r="C50" s="25" t="s">
        <v>179</v>
      </c>
      <c r="D50" s="24" t="s">
        <v>58</v>
      </c>
      <c r="E50" s="26" t="n">
        <f aca="false">IFERROR('Rates Reference Table'!F47*$E$5,0)</f>
        <v>9.4</v>
      </c>
      <c r="F50" s="26" t="n">
        <f aca="false">IFERROR(E50*(1-$H$5/2),0)</f>
        <v>8.366</v>
      </c>
      <c r="G50" s="26" t="n">
        <f aca="false">IFERROR(E50*(1+$H$5/2),0)</f>
        <v>10.434</v>
      </c>
      <c r="H50" s="26" t="n">
        <f aca="false">IFERROR(F50*$B$5,0)</f>
        <v>4183</v>
      </c>
      <c r="I50" s="26" t="n">
        <f aca="false">IFERROR(G50*$B$5,0)</f>
        <v>5217</v>
      </c>
      <c r="J50" s="25" t="s">
        <v>180</v>
      </c>
    </row>
    <row r="51" customFormat="false" ht="13.5" hidden="false" customHeight="true" outlineLevel="0" collapsed="false">
      <c r="A51" s="20" t="s">
        <v>137</v>
      </c>
      <c r="B51" s="20" t="s">
        <v>181</v>
      </c>
      <c r="C51" s="21" t="s">
        <v>182</v>
      </c>
      <c r="D51" s="20" t="s">
        <v>73</v>
      </c>
      <c r="E51" s="22" t="n">
        <f aca="false">IFERROR('Rates Reference Table'!F48*$E$5,0)</f>
        <v>14.1</v>
      </c>
      <c r="F51" s="22" t="n">
        <f aca="false">IFERROR(E51*(1-$H$5/2),0)</f>
        <v>12.549</v>
      </c>
      <c r="G51" s="22" t="n">
        <f aca="false">IFERROR(E51*(1+$H$5/2),0)</f>
        <v>15.651</v>
      </c>
      <c r="H51" s="22" t="n">
        <f aca="false">IFERROR(F51*$B$5,0)</f>
        <v>6274.5</v>
      </c>
      <c r="I51" s="22" t="n">
        <f aca="false">IFERROR(G51*$B$5,0)</f>
        <v>7825.5</v>
      </c>
      <c r="J51" s="21" t="s">
        <v>183</v>
      </c>
    </row>
    <row r="52" customFormat="false" ht="13.5" hidden="false" customHeight="true" outlineLevel="0" collapsed="false">
      <c r="A52" s="24" t="s">
        <v>137</v>
      </c>
      <c r="B52" s="24" t="s">
        <v>184</v>
      </c>
      <c r="C52" s="25" t="s">
        <v>185</v>
      </c>
      <c r="D52" s="24" t="s">
        <v>109</v>
      </c>
      <c r="E52" s="26" t="n">
        <f aca="false">IFERROR('Rates Reference Table'!F49*$E$5,0)</f>
        <v>75.2</v>
      </c>
      <c r="F52" s="26" t="n">
        <f aca="false">IFERROR(E52*(1-$H$5/2),0)</f>
        <v>66.928</v>
      </c>
      <c r="G52" s="26" t="n">
        <f aca="false">IFERROR(E52*(1+$H$5/2),0)</f>
        <v>83.472</v>
      </c>
      <c r="H52" s="26" t="n">
        <f aca="false">IFERROR(F52*$B$5,0)</f>
        <v>33464</v>
      </c>
      <c r="I52" s="26" t="n">
        <f aca="false">IFERROR(G52*$B$5,0)</f>
        <v>41736</v>
      </c>
      <c r="J52" s="25" t="s">
        <v>186</v>
      </c>
    </row>
    <row r="53" customFormat="false" ht="13.5" hidden="false" customHeight="true" outlineLevel="0" collapsed="false">
      <c r="A53" s="20" t="s">
        <v>137</v>
      </c>
      <c r="B53" s="20" t="s">
        <v>187</v>
      </c>
      <c r="C53" s="21" t="s">
        <v>188</v>
      </c>
      <c r="D53" s="20" t="s">
        <v>73</v>
      </c>
      <c r="E53" s="22" t="n">
        <f aca="false">IFERROR('Rates Reference Table'!F50*$E$5,0)</f>
        <v>11.28</v>
      </c>
      <c r="F53" s="22" t="n">
        <f aca="false">IFERROR(E53*(1-$H$5/2),0)</f>
        <v>10.0392</v>
      </c>
      <c r="G53" s="22" t="n">
        <f aca="false">IFERROR(E53*(1+$H$5/2),0)</f>
        <v>12.5208</v>
      </c>
      <c r="H53" s="22" t="n">
        <f aca="false">IFERROR(F53*$B$5,0)</f>
        <v>5019.6</v>
      </c>
      <c r="I53" s="22" t="n">
        <f aca="false">IFERROR(G53*$B$5,0)</f>
        <v>6260.4</v>
      </c>
      <c r="J53" s="21" t="s">
        <v>189</v>
      </c>
    </row>
    <row r="54" customFormat="false" ht="15.75" hidden="false" customHeight="true" outlineLevel="0" collapsed="false">
      <c r="A54" s="37" t="s">
        <v>267</v>
      </c>
      <c r="B54" s="37"/>
      <c r="C54" s="37"/>
      <c r="D54" s="37"/>
      <c r="E54" s="37"/>
      <c r="F54" s="37"/>
      <c r="G54" s="37"/>
      <c r="H54" s="37"/>
      <c r="I54" s="37"/>
      <c r="J54" s="37"/>
    </row>
    <row r="55" customFormat="false" ht="13.5" hidden="false" customHeight="true" outlineLevel="0" collapsed="false">
      <c r="A55" s="38" t="s">
        <v>191</v>
      </c>
      <c r="B55" s="38" t="s">
        <v>192</v>
      </c>
      <c r="C55" s="39" t="s">
        <v>193</v>
      </c>
      <c r="D55" s="38" t="s">
        <v>58</v>
      </c>
      <c r="E55" s="40" t="s">
        <v>262</v>
      </c>
      <c r="F55" s="40" t="s">
        <v>262</v>
      </c>
      <c r="G55" s="40" t="s">
        <v>262</v>
      </c>
      <c r="H55" s="41" t="n">
        <v>0</v>
      </c>
      <c r="I55" s="41" t="n">
        <v>0</v>
      </c>
      <c r="J55" s="39" t="s">
        <v>194</v>
      </c>
    </row>
    <row r="56" customFormat="false" ht="13.5" hidden="false" customHeight="true" outlineLevel="0" collapsed="false">
      <c r="A56" s="38" t="s">
        <v>191</v>
      </c>
      <c r="B56" s="38" t="s">
        <v>195</v>
      </c>
      <c r="C56" s="39" t="s">
        <v>196</v>
      </c>
      <c r="D56" s="38" t="s">
        <v>58</v>
      </c>
      <c r="E56" s="40" t="s">
        <v>262</v>
      </c>
      <c r="F56" s="40" t="s">
        <v>262</v>
      </c>
      <c r="G56" s="40" t="s">
        <v>262</v>
      </c>
      <c r="H56" s="41" t="n">
        <v>0</v>
      </c>
      <c r="I56" s="41" t="n">
        <v>0</v>
      </c>
      <c r="J56" s="39" t="s">
        <v>197</v>
      </c>
    </row>
    <row r="57" customFormat="false" ht="15.75" hidden="false" customHeight="true" outlineLevel="0" collapsed="false">
      <c r="A57" s="36" t="s">
        <v>268</v>
      </c>
      <c r="B57" s="36"/>
      <c r="C57" s="36"/>
      <c r="D57" s="36"/>
      <c r="E57" s="36"/>
      <c r="F57" s="36"/>
      <c r="G57" s="36"/>
      <c r="H57" s="36"/>
      <c r="I57" s="36"/>
      <c r="J57" s="36"/>
    </row>
    <row r="58" customFormat="false" ht="13.5" hidden="false" customHeight="true" outlineLevel="0" collapsed="false">
      <c r="A58" s="20" t="s">
        <v>199</v>
      </c>
      <c r="B58" s="20" t="s">
        <v>200</v>
      </c>
      <c r="C58" s="21" t="s">
        <v>201</v>
      </c>
      <c r="D58" s="20" t="s">
        <v>58</v>
      </c>
      <c r="E58" s="22" t="n">
        <f aca="false">IFERROR('Rates Reference Table'!F55*$E$5,0)</f>
        <v>23.5</v>
      </c>
      <c r="F58" s="22" t="n">
        <f aca="false">IFERROR(E58*(1-$H$5/2),0)</f>
        <v>20.915</v>
      </c>
      <c r="G58" s="22" t="n">
        <f aca="false">IFERROR(E58*(1+$H$5/2),0)</f>
        <v>26.085</v>
      </c>
      <c r="H58" s="22" t="n">
        <f aca="false">IFERROR(F58*$B$5,0)</f>
        <v>10457.5</v>
      </c>
      <c r="I58" s="22" t="n">
        <f aca="false">IFERROR(G58*$B$5,0)</f>
        <v>13042.5</v>
      </c>
      <c r="J58" s="21" t="s">
        <v>202</v>
      </c>
    </row>
    <row r="59" customFormat="false" ht="13.5" hidden="false" customHeight="true" outlineLevel="0" collapsed="false">
      <c r="A59" s="24" t="s">
        <v>199</v>
      </c>
      <c r="B59" s="24" t="s">
        <v>203</v>
      </c>
      <c r="C59" s="25" t="s">
        <v>204</v>
      </c>
      <c r="D59" s="24" t="s">
        <v>58</v>
      </c>
      <c r="E59" s="26" t="n">
        <f aca="false">IFERROR('Rates Reference Table'!F56*$E$5,0)</f>
        <v>18.8</v>
      </c>
      <c r="F59" s="26" t="n">
        <f aca="false">IFERROR(E59*(1-$H$5/2),0)</f>
        <v>16.732</v>
      </c>
      <c r="G59" s="26" t="n">
        <f aca="false">IFERROR(E59*(1+$H$5/2),0)</f>
        <v>20.868</v>
      </c>
      <c r="H59" s="26" t="n">
        <f aca="false">IFERROR(F59*$B$5,0)</f>
        <v>8366</v>
      </c>
      <c r="I59" s="26" t="n">
        <f aca="false">IFERROR(G59*$B$5,0)</f>
        <v>10434</v>
      </c>
      <c r="J59" s="25" t="s">
        <v>205</v>
      </c>
    </row>
    <row r="60" customFormat="false" ht="13.5" hidden="false" customHeight="true" outlineLevel="0" collapsed="false">
      <c r="A60" s="20" t="s">
        <v>199</v>
      </c>
      <c r="B60" s="20" t="s">
        <v>206</v>
      </c>
      <c r="C60" s="21" t="s">
        <v>207</v>
      </c>
      <c r="D60" s="20" t="s">
        <v>58</v>
      </c>
      <c r="E60" s="22" t="n">
        <f aca="false">IFERROR('Rates Reference Table'!F57*$E$5,0)</f>
        <v>9.4</v>
      </c>
      <c r="F60" s="22" t="n">
        <f aca="false">IFERROR(E60*(1-$H$5/2),0)</f>
        <v>8.366</v>
      </c>
      <c r="G60" s="22" t="n">
        <f aca="false">IFERROR(E60*(1+$H$5/2),0)</f>
        <v>10.434</v>
      </c>
      <c r="H60" s="22" t="n">
        <f aca="false">IFERROR(F60*$B$5,0)</f>
        <v>4183</v>
      </c>
      <c r="I60" s="22" t="n">
        <f aca="false">IFERROR(G60*$B$5,0)</f>
        <v>5217</v>
      </c>
      <c r="J60" s="21" t="s">
        <v>208</v>
      </c>
    </row>
    <row r="61" customFormat="false" ht="13.5" hidden="false" customHeight="true" outlineLevel="0" collapsed="false">
      <c r="A61" s="24" t="s">
        <v>199</v>
      </c>
      <c r="B61" s="24" t="s">
        <v>209</v>
      </c>
      <c r="C61" s="25" t="s">
        <v>210</v>
      </c>
      <c r="D61" s="24" t="s">
        <v>58</v>
      </c>
      <c r="E61" s="26" t="n">
        <f aca="false">IFERROR('Rates Reference Table'!F58*$E$5,0)</f>
        <v>28.2</v>
      </c>
      <c r="F61" s="26" t="n">
        <f aca="false">IFERROR(E61*(1-$H$5/2),0)</f>
        <v>25.098</v>
      </c>
      <c r="G61" s="26" t="n">
        <f aca="false">IFERROR(E61*(1+$H$5/2),0)</f>
        <v>31.302</v>
      </c>
      <c r="H61" s="26" t="n">
        <f aca="false">IFERROR(F61*$B$5,0)</f>
        <v>12549</v>
      </c>
      <c r="I61" s="26" t="n">
        <f aca="false">IFERROR(G61*$B$5,0)</f>
        <v>15651</v>
      </c>
      <c r="J61" s="25" t="s">
        <v>211</v>
      </c>
    </row>
    <row r="62" customFormat="false" ht="13.5" hidden="false" customHeight="true" outlineLevel="0" collapsed="false">
      <c r="A62" s="20" t="s">
        <v>199</v>
      </c>
      <c r="B62" s="20" t="s">
        <v>212</v>
      </c>
      <c r="C62" s="21" t="s">
        <v>213</v>
      </c>
      <c r="D62" s="20" t="s">
        <v>58</v>
      </c>
      <c r="E62" s="22" t="n">
        <f aca="false">IFERROR('Rates Reference Table'!F59*$E$5,0)</f>
        <v>9.4</v>
      </c>
      <c r="F62" s="22" t="n">
        <f aca="false">IFERROR(E62*(1-$H$5/2),0)</f>
        <v>8.366</v>
      </c>
      <c r="G62" s="22" t="n">
        <f aca="false">IFERROR(E62*(1+$H$5/2),0)</f>
        <v>10.434</v>
      </c>
      <c r="H62" s="22" t="n">
        <f aca="false">IFERROR(F62*$B$5,0)</f>
        <v>4183</v>
      </c>
      <c r="I62" s="22" t="n">
        <f aca="false">IFERROR(G62*$B$5,0)</f>
        <v>5217</v>
      </c>
      <c r="J62" s="21" t="s">
        <v>214</v>
      </c>
    </row>
    <row r="63" customFormat="false" ht="15.75" hidden="false" customHeight="true" outlineLevel="0" collapsed="false">
      <c r="A63" s="36" t="s">
        <v>269</v>
      </c>
      <c r="B63" s="36"/>
      <c r="C63" s="36"/>
      <c r="D63" s="36"/>
      <c r="E63" s="36"/>
      <c r="F63" s="36"/>
      <c r="G63" s="36"/>
      <c r="H63" s="36"/>
      <c r="I63" s="36"/>
      <c r="J63" s="36"/>
    </row>
    <row r="64" customFormat="false" ht="13.5" hidden="false" customHeight="true" outlineLevel="0" collapsed="false">
      <c r="A64" s="20" t="s">
        <v>216</v>
      </c>
      <c r="B64" s="20" t="s">
        <v>217</v>
      </c>
      <c r="C64" s="21" t="s">
        <v>218</v>
      </c>
      <c r="D64" s="20" t="s">
        <v>58</v>
      </c>
      <c r="E64" s="22" t="n">
        <f aca="false">IFERROR('Rates Reference Table'!F61*$E$5,0)</f>
        <v>7.52</v>
      </c>
      <c r="F64" s="22" t="n">
        <f aca="false">IFERROR(E64*(1-$H$5/2),0)</f>
        <v>6.6928</v>
      </c>
      <c r="G64" s="22" t="n">
        <f aca="false">IFERROR(E64*(1+$H$5/2),0)</f>
        <v>8.3472</v>
      </c>
      <c r="H64" s="22" t="n">
        <f aca="false">IFERROR(F64*$B$5,0)</f>
        <v>3346.4</v>
      </c>
      <c r="I64" s="22" t="n">
        <f aca="false">IFERROR(G64*$B$5,0)</f>
        <v>4173.6</v>
      </c>
      <c r="J64" s="21" t="s">
        <v>219</v>
      </c>
    </row>
    <row r="65" customFormat="false" ht="13.5" hidden="false" customHeight="true" outlineLevel="0" collapsed="false">
      <c r="A65" s="24" t="s">
        <v>216</v>
      </c>
      <c r="B65" s="24" t="s">
        <v>220</v>
      </c>
      <c r="C65" s="25" t="s">
        <v>221</v>
      </c>
      <c r="D65" s="24" t="s">
        <v>73</v>
      </c>
      <c r="E65" s="26" t="n">
        <f aca="false">IFERROR('Rates Reference Table'!F62*$E$5,0)</f>
        <v>9.4</v>
      </c>
      <c r="F65" s="26" t="n">
        <f aca="false">IFERROR(E65*(1-$H$5/2),0)</f>
        <v>8.366</v>
      </c>
      <c r="G65" s="26" t="n">
        <f aca="false">IFERROR(E65*(1+$H$5/2),0)</f>
        <v>10.434</v>
      </c>
      <c r="H65" s="26" t="n">
        <f aca="false">IFERROR(F65*$B$5,0)</f>
        <v>4183</v>
      </c>
      <c r="I65" s="26" t="n">
        <f aca="false">IFERROR(G65*$B$5,0)</f>
        <v>5217</v>
      </c>
      <c r="J65" s="25" t="s">
        <v>222</v>
      </c>
    </row>
    <row r="66" customFormat="false" ht="13.5" hidden="false" customHeight="true" outlineLevel="0" collapsed="false">
      <c r="A66" s="20" t="s">
        <v>216</v>
      </c>
      <c r="B66" s="20" t="s">
        <v>223</v>
      </c>
      <c r="C66" s="21" t="s">
        <v>224</v>
      </c>
      <c r="D66" s="20" t="s">
        <v>109</v>
      </c>
      <c r="E66" s="22" t="n">
        <f aca="false">IFERROR('Rates Reference Table'!F63*$E$5,0)</f>
        <v>4.7</v>
      </c>
      <c r="F66" s="22" t="n">
        <f aca="false">IFERROR(E66*(1-$H$5/2),0)</f>
        <v>4.183</v>
      </c>
      <c r="G66" s="22" t="n">
        <f aca="false">IFERROR(E66*(1+$H$5/2),0)</f>
        <v>5.217</v>
      </c>
      <c r="H66" s="22" t="n">
        <f aca="false">IFERROR(F66*$B$5,0)</f>
        <v>2091.5</v>
      </c>
      <c r="I66" s="22" t="n">
        <f aca="false">IFERROR(G66*$B$5,0)</f>
        <v>2608.5</v>
      </c>
      <c r="J66" s="21" t="s">
        <v>225</v>
      </c>
    </row>
    <row r="67" customFormat="false" ht="13.5" hidden="false" customHeight="true" outlineLevel="0" collapsed="false">
      <c r="A67" s="24" t="s">
        <v>216</v>
      </c>
      <c r="B67" s="24" t="s">
        <v>226</v>
      </c>
      <c r="C67" s="25" t="s">
        <v>227</v>
      </c>
      <c r="D67" s="24" t="s">
        <v>58</v>
      </c>
      <c r="E67" s="26" t="n">
        <f aca="false">IFERROR('Rates Reference Table'!F64*$E$5,0)</f>
        <v>7.52</v>
      </c>
      <c r="F67" s="26" t="n">
        <f aca="false">IFERROR(E67*(1-$H$5/2),0)</f>
        <v>6.6928</v>
      </c>
      <c r="G67" s="26" t="n">
        <f aca="false">IFERROR(E67*(1+$H$5/2),0)</f>
        <v>8.3472</v>
      </c>
      <c r="H67" s="26" t="n">
        <f aca="false">IFERROR(F67*$B$5,0)</f>
        <v>3346.4</v>
      </c>
      <c r="I67" s="26" t="n">
        <f aca="false">IFERROR(G67*$B$5,0)</f>
        <v>4173.6</v>
      </c>
      <c r="J67" s="25" t="s">
        <v>228</v>
      </c>
    </row>
    <row r="68" customFormat="false" ht="13.5" hidden="false" customHeight="true" outlineLevel="0" collapsed="false">
      <c r="A68" s="20" t="s">
        <v>216</v>
      </c>
      <c r="B68" s="20" t="s">
        <v>229</v>
      </c>
      <c r="C68" s="21" t="s">
        <v>230</v>
      </c>
      <c r="D68" s="20" t="s">
        <v>58</v>
      </c>
      <c r="E68" s="22" t="n">
        <f aca="false">IFERROR('Rates Reference Table'!F65*$E$5,0)</f>
        <v>5.64</v>
      </c>
      <c r="F68" s="22" t="n">
        <f aca="false">IFERROR(E68*(1-$H$5/2),0)</f>
        <v>5.0196</v>
      </c>
      <c r="G68" s="22" t="n">
        <f aca="false">IFERROR(E68*(1+$H$5/2),0)</f>
        <v>6.2604</v>
      </c>
      <c r="H68" s="22" t="n">
        <f aca="false">IFERROR(F68*$B$5,0)</f>
        <v>2509.8</v>
      </c>
      <c r="I68" s="22" t="n">
        <f aca="false">IFERROR(G68*$B$5,0)</f>
        <v>3130.2</v>
      </c>
      <c r="J68" s="21" t="s">
        <v>231</v>
      </c>
    </row>
    <row r="69" customFormat="false" ht="13.5" hidden="false" customHeight="true" outlineLevel="0" collapsed="false">
      <c r="A69" s="24" t="s">
        <v>216</v>
      </c>
      <c r="B69" s="24" t="s">
        <v>232</v>
      </c>
      <c r="C69" s="25" t="s">
        <v>233</v>
      </c>
      <c r="D69" s="24" t="s">
        <v>58</v>
      </c>
      <c r="E69" s="26" t="n">
        <f aca="false">IFERROR('Rates Reference Table'!F66*$E$5,0)</f>
        <v>7.52</v>
      </c>
      <c r="F69" s="26" t="n">
        <f aca="false">IFERROR(E69*(1-$H$5/2),0)</f>
        <v>6.6928</v>
      </c>
      <c r="G69" s="26" t="n">
        <f aca="false">IFERROR(E69*(1+$H$5/2),0)</f>
        <v>8.3472</v>
      </c>
      <c r="H69" s="26" t="n">
        <f aca="false">IFERROR(F69*$B$5,0)</f>
        <v>3346.4</v>
      </c>
      <c r="I69" s="26" t="n">
        <f aca="false">IFERROR(G69*$B$5,0)</f>
        <v>4173.6</v>
      </c>
      <c r="J69" s="25" t="s">
        <v>234</v>
      </c>
    </row>
    <row r="70" customFormat="false" ht="13.5" hidden="false" customHeight="true" outlineLevel="0" collapsed="false">
      <c r="A70" s="20" t="s">
        <v>216</v>
      </c>
      <c r="B70" s="20" t="s">
        <v>235</v>
      </c>
      <c r="C70" s="21" t="s">
        <v>236</v>
      </c>
      <c r="D70" s="20" t="s">
        <v>73</v>
      </c>
      <c r="E70" s="22" t="n">
        <f aca="false">IFERROR('Rates Reference Table'!F67*$E$5,0)</f>
        <v>2.82</v>
      </c>
      <c r="F70" s="22" t="n">
        <f aca="false">IFERROR(E70*(1-$H$5/2),0)</f>
        <v>2.5098</v>
      </c>
      <c r="G70" s="22" t="n">
        <f aca="false">IFERROR(E70*(1+$H$5/2),0)</f>
        <v>3.1302</v>
      </c>
      <c r="H70" s="22" t="n">
        <f aca="false">IFERROR(F70*$B$5,0)</f>
        <v>1254.9</v>
      </c>
      <c r="I70" s="22" t="n">
        <f aca="false">IFERROR(G70*$B$5,0)</f>
        <v>1565.1</v>
      </c>
      <c r="J70" s="21" t="s">
        <v>237</v>
      </c>
    </row>
    <row r="71" customFormat="false" ht="13.5" hidden="false" customHeight="true" outlineLevel="0" collapsed="false">
      <c r="A71" s="24" t="s">
        <v>216</v>
      </c>
      <c r="B71" s="24" t="s">
        <v>238</v>
      </c>
      <c r="C71" s="25" t="s">
        <v>239</v>
      </c>
      <c r="D71" s="24" t="s">
        <v>58</v>
      </c>
      <c r="E71" s="26" t="n">
        <f aca="false">IFERROR('Rates Reference Table'!F68*$E$5,0)</f>
        <v>2.82</v>
      </c>
      <c r="F71" s="26" t="n">
        <f aca="false">IFERROR(E71*(1-$H$5/2),0)</f>
        <v>2.5098</v>
      </c>
      <c r="G71" s="26" t="n">
        <f aca="false">IFERROR(E71*(1+$H$5/2),0)</f>
        <v>3.1302</v>
      </c>
      <c r="H71" s="26" t="n">
        <f aca="false">IFERROR(F71*$B$5,0)</f>
        <v>1254.9</v>
      </c>
      <c r="I71" s="26" t="n">
        <f aca="false">IFERROR(G71*$B$5,0)</f>
        <v>1565.1</v>
      </c>
      <c r="J71" s="25" t="s">
        <v>240</v>
      </c>
    </row>
    <row r="72" customFormat="false" ht="13.5" hidden="false" customHeight="true" outlineLevel="0" collapsed="false">
      <c r="A72" s="20" t="s">
        <v>216</v>
      </c>
      <c r="B72" s="20" t="s">
        <v>241</v>
      </c>
      <c r="C72" s="21" t="s">
        <v>166</v>
      </c>
      <c r="D72" s="20" t="s">
        <v>58</v>
      </c>
      <c r="E72" s="22" t="n">
        <f aca="false">IFERROR('Rates Reference Table'!F69*$E$5,0)</f>
        <v>1.88</v>
      </c>
      <c r="F72" s="22" t="n">
        <f aca="false">IFERROR(E72*(1-$H$5/2),0)</f>
        <v>1.6732</v>
      </c>
      <c r="G72" s="22" t="n">
        <f aca="false">IFERROR(E72*(1+$H$5/2),0)</f>
        <v>2.0868</v>
      </c>
      <c r="H72" s="22" t="n">
        <f aca="false">IFERROR(F72*$B$5,0)</f>
        <v>836.6</v>
      </c>
      <c r="I72" s="22" t="n">
        <f aca="false">IFERROR(G72*$B$5,0)</f>
        <v>1043.4</v>
      </c>
      <c r="J72" s="21" t="s">
        <v>242</v>
      </c>
    </row>
    <row r="73" customFormat="false" ht="18" hidden="false" customHeight="true" outlineLevel="0" collapsed="false">
      <c r="A73" s="42" t="s">
        <v>270</v>
      </c>
      <c r="B73" s="42"/>
      <c r="C73" s="42"/>
      <c r="D73" s="42"/>
      <c r="E73" s="42"/>
      <c r="F73" s="42"/>
      <c r="G73" s="42"/>
      <c r="H73" s="43" t="n">
        <f aca="false">SUMPRODUCT((H8:H72&gt;0)*H8:H72)</f>
        <v>1459448.7</v>
      </c>
      <c r="I73" s="43" t="n">
        <f aca="false">SUMPRODUCT((I8:I72&gt;0)*I8:I72)</f>
        <v>1820211.3</v>
      </c>
    </row>
    <row r="74" customFormat="false" ht="7.5" hidden="false" customHeight="true" outlineLevel="0" collapsed="false"/>
    <row r="75" customFormat="false" ht="15" hidden="false" customHeight="true" outlineLevel="0" collapsed="false">
      <c r="A75" s="44" t="s">
        <v>271</v>
      </c>
      <c r="B75" s="44"/>
      <c r="C75" s="44"/>
      <c r="D75" s="44"/>
      <c r="E75" s="44"/>
      <c r="F75" s="44"/>
      <c r="G75" s="44"/>
      <c r="H75" s="44"/>
      <c r="I75" s="44"/>
      <c r="J75" s="44"/>
    </row>
    <row r="76" customFormat="false" ht="15" hidden="false" customHeight="true" outlineLevel="0" collapsed="false">
      <c r="A76" s="45" t="s">
        <v>272</v>
      </c>
      <c r="B76" s="45"/>
      <c r="C76" s="45"/>
      <c r="D76" s="45" t="s">
        <v>273</v>
      </c>
      <c r="E76" s="45" t="s">
        <v>274</v>
      </c>
      <c r="F76" s="45" t="s">
        <v>275</v>
      </c>
      <c r="G76" s="45" t="s">
        <v>276</v>
      </c>
      <c r="H76" s="45" t="s">
        <v>277</v>
      </c>
      <c r="I76" s="45" t="s">
        <v>278</v>
      </c>
      <c r="J76" s="45" t="s">
        <v>279</v>
      </c>
    </row>
    <row r="77" customFormat="false" ht="15.75" hidden="false" customHeight="true" outlineLevel="0" collapsed="false">
      <c r="A77" s="20" t="s">
        <v>280</v>
      </c>
      <c r="B77" s="21"/>
      <c r="C77" s="21"/>
      <c r="D77" s="21" t="s">
        <v>281</v>
      </c>
      <c r="E77" s="20" t="s">
        <v>282</v>
      </c>
      <c r="F77" s="46" t="n">
        <v>0.08</v>
      </c>
      <c r="G77" s="46" t="n">
        <v>0.1</v>
      </c>
      <c r="H77" s="22" t="n">
        <f aca="false">IFERROR(F77*H73,0)</f>
        <v>116755.896</v>
      </c>
      <c r="I77" s="22" t="n">
        <f aca="false">IFERROR(G77*I73,0)</f>
        <v>182021.13</v>
      </c>
      <c r="J77" s="21" t="s">
        <v>283</v>
      </c>
    </row>
    <row r="78" customFormat="false" ht="15.75" hidden="false" customHeight="true" outlineLevel="0" collapsed="false">
      <c r="A78" s="24" t="s">
        <v>284</v>
      </c>
      <c r="B78" s="25"/>
      <c r="C78" s="25"/>
      <c r="D78" s="25" t="s">
        <v>285</v>
      </c>
      <c r="E78" s="24" t="s">
        <v>282</v>
      </c>
      <c r="F78" s="47" t="n">
        <v>0.08</v>
      </c>
      <c r="G78" s="47" t="n">
        <v>0.12</v>
      </c>
      <c r="H78" s="26" t="n">
        <f aca="false">IFERROR(F78*H73,0)</f>
        <v>116755.896</v>
      </c>
      <c r="I78" s="26" t="n">
        <f aca="false">IFERROR(G78*I73,0)</f>
        <v>218425.356</v>
      </c>
      <c r="J78" s="25" t="s">
        <v>286</v>
      </c>
    </row>
    <row r="79" customFormat="false" ht="18" hidden="false" customHeight="true" outlineLevel="0" collapsed="false">
      <c r="A79" s="42" t="s">
        <v>287</v>
      </c>
      <c r="B79" s="42"/>
      <c r="C79" s="42"/>
      <c r="D79" s="42"/>
      <c r="E79" s="42"/>
      <c r="F79" s="42"/>
      <c r="G79" s="42"/>
      <c r="H79" s="43" t="n">
        <f aca="false">H73+H77+H78</f>
        <v>1692960.492</v>
      </c>
      <c r="I79" s="43" t="n">
        <f aca="false">I73+I77+I78</f>
        <v>2220657.786</v>
      </c>
    </row>
    <row r="80" customFormat="false" ht="15.75" hidden="false" customHeight="true" outlineLevel="0" collapsed="false">
      <c r="A80" s="24" t="s">
        <v>288</v>
      </c>
      <c r="B80" s="25"/>
      <c r="C80" s="25"/>
      <c r="D80" s="25" t="s">
        <v>289</v>
      </c>
      <c r="E80" s="24" t="s">
        <v>290</v>
      </c>
      <c r="F80" s="47" t="n">
        <v>0.05</v>
      </c>
      <c r="G80" s="47" t="n">
        <v>0.15</v>
      </c>
      <c r="H80" s="26" t="n">
        <f aca="false">IFERROR(F80*H79,0)</f>
        <v>84648.0246</v>
      </c>
      <c r="I80" s="26" t="n">
        <f aca="false">IFERROR(G80*I79,0)</f>
        <v>333098.6679</v>
      </c>
      <c r="J80" s="25" t="s">
        <v>291</v>
      </c>
    </row>
    <row r="81" customFormat="false" ht="15.75" hidden="false" customHeight="true" outlineLevel="0" collapsed="false">
      <c r="A81" s="20" t="s">
        <v>292</v>
      </c>
      <c r="B81" s="21"/>
      <c r="C81" s="21"/>
      <c r="D81" s="21" t="s">
        <v>293</v>
      </c>
      <c r="E81" s="20" t="s">
        <v>290</v>
      </c>
      <c r="F81" s="46" t="n">
        <v>0.02</v>
      </c>
      <c r="G81" s="46" t="n">
        <v>0.04</v>
      </c>
      <c r="H81" s="22" t="n">
        <f aca="false">IFERROR(F81*H79,0)</f>
        <v>33859.20984</v>
      </c>
      <c r="I81" s="22" t="n">
        <f aca="false">IFERROR(G81*I79,0)</f>
        <v>88826.31144</v>
      </c>
      <c r="J81" s="21" t="s">
        <v>294</v>
      </c>
    </row>
    <row r="82" customFormat="false" ht="15.75" hidden="false" customHeight="true" outlineLevel="0" collapsed="false">
      <c r="A82" s="48" t="s">
        <v>295</v>
      </c>
      <c r="B82" s="49"/>
      <c r="C82" s="49"/>
      <c r="D82" s="49" t="s">
        <v>296</v>
      </c>
      <c r="E82" s="48" t="s">
        <v>282</v>
      </c>
      <c r="F82" s="50" t="n">
        <v>0.05</v>
      </c>
      <c r="G82" s="50" t="n">
        <v>0.1</v>
      </c>
      <c r="H82" s="51" t="n">
        <f aca="false">IFERROR(F82*H73,0)</f>
        <v>72972.435</v>
      </c>
      <c r="I82" s="51" t="n">
        <f aca="false">IFERROR(G82*I73,0)</f>
        <v>182021.13</v>
      </c>
      <c r="J82" s="49" t="s">
        <v>297</v>
      </c>
    </row>
    <row r="83" customFormat="false" ht="15.75" hidden="false" customHeight="true" outlineLevel="0" collapsed="false">
      <c r="A83" s="52" t="s">
        <v>298</v>
      </c>
      <c r="B83" s="53"/>
      <c r="C83" s="53"/>
      <c r="D83" s="53" t="s">
        <v>299</v>
      </c>
      <c r="E83" s="52" t="s">
        <v>282</v>
      </c>
      <c r="F83" s="54" t="n">
        <v>0.05</v>
      </c>
      <c r="G83" s="54" t="n">
        <v>0.05</v>
      </c>
      <c r="H83" s="55" t="n">
        <f aca="false">IFERROR(0.05*H73,0)</f>
        <v>72972.435</v>
      </c>
      <c r="I83" s="55" t="n">
        <f aca="false">IFERROR(0.05*I73,0)</f>
        <v>91010.565</v>
      </c>
      <c r="J83" s="53" t="s">
        <v>300</v>
      </c>
    </row>
    <row r="84" customFormat="false" ht="15.75" hidden="false" customHeight="true" outlineLevel="0" collapsed="false">
      <c r="A84" s="24" t="s">
        <v>301</v>
      </c>
      <c r="B84" s="25"/>
      <c r="C84" s="25"/>
      <c r="D84" s="25" t="s">
        <v>302</v>
      </c>
      <c r="E84" s="24" t="s">
        <v>282</v>
      </c>
      <c r="F84" s="47" t="n">
        <v>0.02</v>
      </c>
      <c r="G84" s="47" t="n">
        <v>0.12</v>
      </c>
      <c r="H84" s="26" t="n">
        <f aca="false">IFERROR(F84*H73,0)</f>
        <v>29188.974</v>
      </c>
      <c r="I84" s="26" t="n">
        <f aca="false">IFERROR(G84*I73,0)</f>
        <v>218425.356</v>
      </c>
      <c r="J84" s="25" t="s">
        <v>303</v>
      </c>
    </row>
    <row r="85" customFormat="false" ht="21.75" hidden="false" customHeight="true" outlineLevel="0" collapsed="false">
      <c r="A85" s="56" t="s">
        <v>304</v>
      </c>
      <c r="B85" s="56"/>
      <c r="C85" s="56"/>
      <c r="D85" s="56"/>
      <c r="E85" s="56"/>
      <c r="F85" s="56"/>
      <c r="G85" s="56"/>
      <c r="H85" s="57" t="n">
        <f aca="false">H79+H80+H81+H82+H83+H84</f>
        <v>1986601.57044</v>
      </c>
      <c r="I85" s="57" t="n">
        <f aca="false">I79+I80+I81+I82+I83+I84</f>
        <v>3134039.81634</v>
      </c>
    </row>
    <row r="86" customFormat="false" ht="15.75" hidden="false" customHeight="true" outlineLevel="0" collapsed="false">
      <c r="A86" s="58" t="s">
        <v>305</v>
      </c>
      <c r="B86" s="59"/>
      <c r="C86" s="59"/>
      <c r="D86" s="59" t="s">
        <v>306</v>
      </c>
      <c r="E86" s="58" t="s">
        <v>307</v>
      </c>
      <c r="F86" s="60" t="n">
        <v>0.2</v>
      </c>
      <c r="G86" s="60" t="n">
        <v>0.2</v>
      </c>
      <c r="H86" s="61" t="n">
        <f aca="false">IFERROR(0.2*H85,0)</f>
        <v>397320.314088</v>
      </c>
      <c r="I86" s="61" t="n">
        <f aca="false">IFERROR(0.2*I85,0)</f>
        <v>626807.963268</v>
      </c>
      <c r="J86" s="59" t="s">
        <v>308</v>
      </c>
    </row>
    <row r="87" customFormat="false" ht="7.5" hidden="false" customHeight="true" outlineLevel="0" collapsed="false"/>
    <row r="88" customFormat="false" ht="15.75" hidden="false" customHeight="true" outlineLevel="0" collapsed="false">
      <c r="A88" s="62" t="s">
        <v>309</v>
      </c>
      <c r="B88" s="62"/>
      <c r="C88" s="62"/>
      <c r="D88" s="62"/>
      <c r="E88" s="63" t="n">
        <f aca="false">IFERROR(H73/$B$5,0)</f>
        <v>2918.8974</v>
      </c>
      <c r="F88" s="64"/>
      <c r="G88" s="65" t="n">
        <f aca="false">IFERROR(I73/$B$5,0)</f>
        <v>3640.4226</v>
      </c>
      <c r="H88" s="64"/>
      <c r="I88" s="64"/>
      <c r="J88" s="64"/>
    </row>
    <row r="89" customFormat="false" ht="7.5" hidden="false" customHeight="true" outlineLevel="0" collapsed="false"/>
    <row r="90" customFormat="false" ht="27.75" hidden="false" customHeight="true" outlineLevel="0" collapsed="false">
      <c r="A90" s="66" t="s">
        <v>310</v>
      </c>
      <c r="B90" s="66"/>
      <c r="C90" s="66"/>
      <c r="D90" s="66"/>
      <c r="E90" s="66"/>
      <c r="F90" s="66"/>
      <c r="G90" s="66"/>
      <c r="H90" s="66"/>
      <c r="I90" s="66"/>
      <c r="J90" s="66"/>
    </row>
  </sheetData>
  <mergeCells count="17">
    <mergeCell ref="A1:I1"/>
    <mergeCell ref="A2:I2"/>
    <mergeCell ref="A8:J8"/>
    <mergeCell ref="A13:J13"/>
    <mergeCell ref="A18:J18"/>
    <mergeCell ref="A27:J27"/>
    <mergeCell ref="A31:J31"/>
    <mergeCell ref="A36:J36"/>
    <mergeCell ref="A54:J54"/>
    <mergeCell ref="A57:J57"/>
    <mergeCell ref="A63:J63"/>
    <mergeCell ref="A73:G73"/>
    <mergeCell ref="A75:J75"/>
    <mergeCell ref="A79:G79"/>
    <mergeCell ref="A85:G85"/>
    <mergeCell ref="A88:D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50"/>
    <col collapsed="false" customWidth="true" hidden="false" outlineLevel="0" max="4" min="4" style="1" width="8"/>
    <col collapsed="false" customWidth="true" hidden="false" outlineLevel="0" max="7" min="5" style="1" width="14"/>
    <col collapsed="false" customWidth="true" hidden="false" outlineLevel="0" max="9" min="8" style="1" width="17"/>
    <col collapsed="false" customWidth="true" hidden="false" outlineLevel="0" max="10" min="10" style="1" width="40"/>
  </cols>
  <sheetData>
    <row r="1" customFormat="false" ht="21.75" hidden="false" customHeight="true" outlineLevel="0" collapsed="false">
      <c r="A1" s="29" t="s">
        <v>314</v>
      </c>
      <c r="B1" s="29"/>
      <c r="C1" s="29"/>
      <c r="D1" s="29"/>
      <c r="E1" s="29"/>
      <c r="F1" s="29"/>
      <c r="G1" s="29"/>
      <c r="H1" s="29"/>
      <c r="I1" s="29"/>
    </row>
    <row r="2" customFormat="false" ht="19.5" hidden="false" customHeight="true" outlineLevel="0" collapsed="false">
      <c r="A2" s="30" t="s">
        <v>315</v>
      </c>
      <c r="B2" s="30"/>
      <c r="C2" s="30"/>
      <c r="D2" s="30"/>
      <c r="E2" s="30"/>
      <c r="F2" s="30"/>
      <c r="G2" s="30"/>
      <c r="H2" s="30"/>
      <c r="I2" s="30"/>
    </row>
    <row r="3" customFormat="false" ht="6" hidden="false" customHeight="true" outlineLevel="0" collapsed="false"/>
    <row r="4" customFormat="false" ht="15" hidden="false" customHeight="true" outlineLevel="0" collapsed="false">
      <c r="A4" s="31" t="s">
        <v>246</v>
      </c>
      <c r="B4" s="32" t="s">
        <v>247</v>
      </c>
      <c r="D4" s="31" t="s">
        <v>248</v>
      </c>
      <c r="E4" s="32" t="s">
        <v>316</v>
      </c>
      <c r="G4" s="31" t="s">
        <v>250</v>
      </c>
      <c r="H4" s="33" t="s">
        <v>251</v>
      </c>
    </row>
    <row r="5" customFormat="false" ht="18" hidden="false" customHeight="true" outlineLevel="0" collapsed="false">
      <c r="A5" s="31" t="s">
        <v>252</v>
      </c>
      <c r="B5" s="34" t="n">
        <v>500</v>
      </c>
      <c r="D5" s="31" t="s">
        <v>253</v>
      </c>
      <c r="E5" s="35" t="n">
        <v>0.94</v>
      </c>
      <c r="G5" s="31" t="s">
        <v>254</v>
      </c>
      <c r="H5" s="35" t="n">
        <v>0.22</v>
      </c>
    </row>
    <row r="6" customFormat="false" ht="6" hidden="false" customHeight="true" outlineLevel="0" collapsed="false"/>
    <row r="7" customFormat="false" ht="27.75" hidden="false" customHeight="true" outlineLevel="0" collapsed="false">
      <c r="A7" s="18" t="s">
        <v>41</v>
      </c>
      <c r="B7" s="18" t="s">
        <v>42</v>
      </c>
      <c r="C7" s="18" t="s">
        <v>43</v>
      </c>
      <c r="D7" s="18" t="s">
        <v>44</v>
      </c>
      <c r="E7" s="18" t="s">
        <v>255</v>
      </c>
      <c r="F7" s="18" t="s">
        <v>256</v>
      </c>
      <c r="G7" s="18" t="s">
        <v>257</v>
      </c>
      <c r="H7" s="18" t="s">
        <v>258</v>
      </c>
      <c r="I7" s="18" t="s">
        <v>259</v>
      </c>
      <c r="J7" s="18" t="s">
        <v>53</v>
      </c>
    </row>
    <row r="8" customFormat="false" ht="15.75" hidden="false" customHeight="true" outlineLevel="0" collapsed="false">
      <c r="A8" s="36" t="s">
        <v>260</v>
      </c>
      <c r="B8" s="36"/>
      <c r="C8" s="36"/>
      <c r="D8" s="36"/>
      <c r="E8" s="36"/>
      <c r="F8" s="36"/>
      <c r="G8" s="36"/>
      <c r="H8" s="36"/>
      <c r="I8" s="36"/>
      <c r="J8" s="36"/>
    </row>
    <row r="9" customFormat="false" ht="13.5" hidden="false" customHeight="true" outlineLevel="0" collapsed="false">
      <c r="A9" s="20" t="s">
        <v>55</v>
      </c>
      <c r="B9" s="20" t="s">
        <v>56</v>
      </c>
      <c r="C9" s="21" t="s">
        <v>57</v>
      </c>
      <c r="D9" s="20" t="s">
        <v>58</v>
      </c>
      <c r="E9" s="22" t="n">
        <f aca="false">IFERROR('Rates Reference Table'!G6*$E$5,0)</f>
        <v>37.6</v>
      </c>
      <c r="F9" s="22" t="n">
        <f aca="false">IFERROR(E9*(1-$H$5/2),0)</f>
        <v>33.464</v>
      </c>
      <c r="G9" s="22" t="n">
        <f aca="false">IFERROR(E9*(1+$H$5/2),0)</f>
        <v>41.736</v>
      </c>
      <c r="H9" s="22" t="n">
        <f aca="false">IFERROR(F9*$B$5,0)</f>
        <v>16732</v>
      </c>
      <c r="I9" s="22" t="n">
        <f aca="false">IFERROR(G9*$B$5,0)</f>
        <v>20868</v>
      </c>
      <c r="J9" s="21" t="s">
        <v>59</v>
      </c>
    </row>
    <row r="10" customFormat="false" ht="13.5" hidden="false" customHeight="true" outlineLevel="0" collapsed="false">
      <c r="A10" s="24" t="s">
        <v>55</v>
      </c>
      <c r="B10" s="24" t="s">
        <v>60</v>
      </c>
      <c r="C10" s="25" t="s">
        <v>61</v>
      </c>
      <c r="D10" s="24" t="s">
        <v>58</v>
      </c>
      <c r="E10" s="26" t="n">
        <f aca="false">IFERROR('Rates Reference Table'!G7*$E$5,0)</f>
        <v>51.7</v>
      </c>
      <c r="F10" s="26" t="n">
        <f aca="false">IFERROR(E10*(1-$H$5/2),0)</f>
        <v>46.013</v>
      </c>
      <c r="G10" s="26" t="n">
        <f aca="false">IFERROR(E10*(1+$H$5/2),0)</f>
        <v>57.387</v>
      </c>
      <c r="H10" s="26" t="n">
        <f aca="false">IFERROR(F10*$B$5,0)</f>
        <v>23006.5</v>
      </c>
      <c r="I10" s="26" t="n">
        <f aca="false">IFERROR(G10*$B$5,0)</f>
        <v>28693.5</v>
      </c>
      <c r="J10" s="25" t="s">
        <v>62</v>
      </c>
    </row>
    <row r="11" customFormat="false" ht="13.5" hidden="false" customHeight="true" outlineLevel="0" collapsed="false">
      <c r="A11" s="20" t="s">
        <v>55</v>
      </c>
      <c r="B11" s="20" t="s">
        <v>63</v>
      </c>
      <c r="C11" s="21" t="s">
        <v>64</v>
      </c>
      <c r="D11" s="20" t="s">
        <v>58</v>
      </c>
      <c r="E11" s="22" t="n">
        <f aca="false">IFERROR('Rates Reference Table'!G8*$E$5,0)</f>
        <v>18.8</v>
      </c>
      <c r="F11" s="22" t="n">
        <f aca="false">IFERROR(E11*(1-$H$5/2),0)</f>
        <v>16.732</v>
      </c>
      <c r="G11" s="22" t="n">
        <f aca="false">IFERROR(E11*(1+$H$5/2),0)</f>
        <v>20.868</v>
      </c>
      <c r="H11" s="22" t="n">
        <f aca="false">IFERROR(F11*$B$5,0)</f>
        <v>8366</v>
      </c>
      <c r="I11" s="22" t="n">
        <f aca="false">IFERROR(G11*$B$5,0)</f>
        <v>10434</v>
      </c>
      <c r="J11" s="21" t="s">
        <v>65</v>
      </c>
    </row>
    <row r="12" customFormat="false" ht="13.5" hidden="false" customHeight="true" outlineLevel="0" collapsed="false">
      <c r="A12" s="24" t="s">
        <v>55</v>
      </c>
      <c r="B12" s="24" t="s">
        <v>66</v>
      </c>
      <c r="C12" s="25" t="s">
        <v>67</v>
      </c>
      <c r="D12" s="24" t="s">
        <v>58</v>
      </c>
      <c r="E12" s="26" t="n">
        <f aca="false">IFERROR('Rates Reference Table'!G9*$E$5,0)</f>
        <v>14.1</v>
      </c>
      <c r="F12" s="26" t="n">
        <f aca="false">IFERROR(E12*(1-$H$5/2),0)</f>
        <v>12.549</v>
      </c>
      <c r="G12" s="26" t="n">
        <f aca="false">IFERROR(E12*(1+$H$5/2),0)</f>
        <v>15.651</v>
      </c>
      <c r="H12" s="26" t="n">
        <f aca="false">IFERROR(F12*$B$5,0)</f>
        <v>6274.5</v>
      </c>
      <c r="I12" s="26" t="n">
        <f aca="false">IFERROR(G12*$B$5,0)</f>
        <v>7825.5</v>
      </c>
      <c r="J12" s="25" t="s">
        <v>68</v>
      </c>
    </row>
    <row r="13" customFormat="false" ht="15.75" hidden="false" customHeight="true" outlineLevel="0" collapsed="false">
      <c r="A13" s="37" t="s">
        <v>261</v>
      </c>
      <c r="B13" s="37"/>
      <c r="C13" s="37"/>
      <c r="D13" s="37"/>
      <c r="E13" s="37"/>
      <c r="F13" s="37"/>
      <c r="G13" s="37"/>
      <c r="H13" s="37"/>
      <c r="I13" s="37"/>
      <c r="J13" s="37"/>
    </row>
    <row r="14" customFormat="false" ht="13.5" hidden="false" customHeight="true" outlineLevel="0" collapsed="false">
      <c r="A14" s="38" t="s">
        <v>70</v>
      </c>
      <c r="B14" s="38" t="s">
        <v>71</v>
      </c>
      <c r="C14" s="39" t="s">
        <v>72</v>
      </c>
      <c r="D14" s="38" t="s">
        <v>73</v>
      </c>
      <c r="E14" s="40" t="s">
        <v>262</v>
      </c>
      <c r="F14" s="40" t="s">
        <v>262</v>
      </c>
      <c r="G14" s="40" t="s">
        <v>262</v>
      </c>
      <c r="H14" s="41" t="n">
        <v>0</v>
      </c>
      <c r="I14" s="41" t="n">
        <v>0</v>
      </c>
      <c r="J14" s="39" t="s">
        <v>74</v>
      </c>
    </row>
    <row r="15" customFormat="false" ht="13.5" hidden="false" customHeight="true" outlineLevel="0" collapsed="false">
      <c r="A15" s="38" t="s">
        <v>70</v>
      </c>
      <c r="B15" s="38" t="s">
        <v>75</v>
      </c>
      <c r="C15" s="39" t="s">
        <v>76</v>
      </c>
      <c r="D15" s="38" t="s">
        <v>73</v>
      </c>
      <c r="E15" s="40" t="s">
        <v>262</v>
      </c>
      <c r="F15" s="40" t="s">
        <v>262</v>
      </c>
      <c r="G15" s="40" t="s">
        <v>262</v>
      </c>
      <c r="H15" s="41" t="n">
        <v>0</v>
      </c>
      <c r="I15" s="41" t="n">
        <v>0</v>
      </c>
      <c r="J15" s="39" t="s">
        <v>77</v>
      </c>
    </row>
    <row r="16" customFormat="false" ht="13.5" hidden="false" customHeight="true" outlineLevel="0" collapsed="false">
      <c r="A16" s="38" t="s">
        <v>70</v>
      </c>
      <c r="B16" s="38" t="s">
        <v>78</v>
      </c>
      <c r="C16" s="39" t="s">
        <v>79</v>
      </c>
      <c r="D16" s="38" t="s">
        <v>73</v>
      </c>
      <c r="E16" s="40" t="s">
        <v>262</v>
      </c>
      <c r="F16" s="40" t="s">
        <v>262</v>
      </c>
      <c r="G16" s="40" t="s">
        <v>262</v>
      </c>
      <c r="H16" s="41" t="n">
        <v>0</v>
      </c>
      <c r="I16" s="41" t="n">
        <v>0</v>
      </c>
      <c r="J16" s="39" t="s">
        <v>80</v>
      </c>
    </row>
    <row r="17" customFormat="false" ht="13.5" hidden="false" customHeight="true" outlineLevel="0" collapsed="false">
      <c r="A17" s="38" t="s">
        <v>70</v>
      </c>
      <c r="B17" s="38" t="s">
        <v>81</v>
      </c>
      <c r="C17" s="39" t="s">
        <v>82</v>
      </c>
      <c r="D17" s="38" t="s">
        <v>58</v>
      </c>
      <c r="E17" s="40" t="s">
        <v>262</v>
      </c>
      <c r="F17" s="40" t="s">
        <v>262</v>
      </c>
      <c r="G17" s="40" t="s">
        <v>262</v>
      </c>
      <c r="H17" s="41" t="n">
        <v>0</v>
      </c>
      <c r="I17" s="41" t="n">
        <v>0</v>
      </c>
      <c r="J17" s="39" t="s">
        <v>83</v>
      </c>
    </row>
    <row r="18" customFormat="false" ht="15.75" hidden="false" customHeight="true" outlineLevel="0" collapsed="false">
      <c r="A18" s="36" t="s">
        <v>263</v>
      </c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13.5" hidden="false" customHeight="true" outlineLevel="0" collapsed="false">
      <c r="A19" s="20" t="s">
        <v>85</v>
      </c>
      <c r="B19" s="20" t="s">
        <v>86</v>
      </c>
      <c r="C19" s="21" t="s">
        <v>87</v>
      </c>
      <c r="D19" s="20" t="s">
        <v>73</v>
      </c>
      <c r="E19" s="22" t="n">
        <f aca="false">IFERROR('Rates Reference Table'!G16*$E$5,0)</f>
        <v>37.6</v>
      </c>
      <c r="F19" s="22" t="n">
        <f aca="false">IFERROR(E19*(1-$H$5/2),0)</f>
        <v>33.464</v>
      </c>
      <c r="G19" s="22" t="n">
        <f aca="false">IFERROR(E19*(1+$H$5/2),0)</f>
        <v>41.736</v>
      </c>
      <c r="H19" s="22" t="n">
        <f aca="false">IFERROR(F19*$B$5,0)</f>
        <v>16732</v>
      </c>
      <c r="I19" s="22" t="n">
        <f aca="false">IFERROR(G19*$B$5,0)</f>
        <v>20868</v>
      </c>
      <c r="J19" s="21" t="s">
        <v>88</v>
      </c>
    </row>
    <row r="20" customFormat="false" ht="13.5" hidden="false" customHeight="true" outlineLevel="0" collapsed="false">
      <c r="A20" s="24" t="s">
        <v>85</v>
      </c>
      <c r="B20" s="24" t="s">
        <v>89</v>
      </c>
      <c r="C20" s="25" t="s">
        <v>90</v>
      </c>
      <c r="D20" s="24" t="s">
        <v>73</v>
      </c>
      <c r="E20" s="26" t="n">
        <f aca="false">IFERROR('Rates Reference Table'!G17*$E$5,0)</f>
        <v>28.2</v>
      </c>
      <c r="F20" s="26" t="n">
        <f aca="false">IFERROR(E20*(1-$H$5/2),0)</f>
        <v>25.098</v>
      </c>
      <c r="G20" s="26" t="n">
        <f aca="false">IFERROR(E20*(1+$H$5/2),0)</f>
        <v>31.302</v>
      </c>
      <c r="H20" s="26" t="n">
        <f aca="false">IFERROR(F20*$B$5,0)</f>
        <v>12549</v>
      </c>
      <c r="I20" s="26" t="n">
        <f aca="false">IFERROR(G20*$B$5,0)</f>
        <v>15651</v>
      </c>
      <c r="J20" s="25" t="s">
        <v>91</v>
      </c>
    </row>
    <row r="21" customFormat="false" ht="13.5" hidden="false" customHeight="true" outlineLevel="0" collapsed="false">
      <c r="A21" s="20" t="s">
        <v>85</v>
      </c>
      <c r="B21" s="20" t="s">
        <v>92</v>
      </c>
      <c r="C21" s="21" t="s">
        <v>93</v>
      </c>
      <c r="D21" s="20" t="s">
        <v>73</v>
      </c>
      <c r="E21" s="22" t="n">
        <f aca="false">IFERROR('Rates Reference Table'!G18*$E$5,0)</f>
        <v>84.6</v>
      </c>
      <c r="F21" s="22" t="n">
        <f aca="false">IFERROR(E21*(1-$H$5/2),0)</f>
        <v>75.294</v>
      </c>
      <c r="G21" s="22" t="n">
        <f aca="false">IFERROR(E21*(1+$H$5/2),0)</f>
        <v>93.906</v>
      </c>
      <c r="H21" s="22" t="n">
        <f aca="false">IFERROR(F21*$B$5,0)</f>
        <v>37647</v>
      </c>
      <c r="I21" s="22" t="n">
        <f aca="false">IFERROR(G21*$B$5,0)</f>
        <v>46953</v>
      </c>
      <c r="J21" s="21" t="s">
        <v>94</v>
      </c>
    </row>
    <row r="22" customFormat="false" ht="13.5" hidden="false" customHeight="true" outlineLevel="0" collapsed="false">
      <c r="A22" s="24" t="s">
        <v>85</v>
      </c>
      <c r="B22" s="24" t="s">
        <v>95</v>
      </c>
      <c r="C22" s="25" t="s">
        <v>96</v>
      </c>
      <c r="D22" s="24" t="s">
        <v>58</v>
      </c>
      <c r="E22" s="26" t="n">
        <f aca="false">IFERROR('Rates Reference Table'!G19*$E$5,0)</f>
        <v>23.5</v>
      </c>
      <c r="F22" s="26" t="n">
        <f aca="false">IFERROR(E22*(1-$H$5/2),0)</f>
        <v>20.915</v>
      </c>
      <c r="G22" s="26" t="n">
        <f aca="false">IFERROR(E22*(1+$H$5/2),0)</f>
        <v>26.085</v>
      </c>
      <c r="H22" s="26" t="n">
        <f aca="false">IFERROR(F22*$B$5,0)</f>
        <v>10457.5</v>
      </c>
      <c r="I22" s="26" t="n">
        <f aca="false">IFERROR(G22*$B$5,0)</f>
        <v>13042.5</v>
      </c>
      <c r="J22" s="25" t="s">
        <v>97</v>
      </c>
    </row>
    <row r="23" customFormat="false" ht="13.5" hidden="false" customHeight="true" outlineLevel="0" collapsed="false">
      <c r="A23" s="20" t="s">
        <v>85</v>
      </c>
      <c r="B23" s="20" t="s">
        <v>98</v>
      </c>
      <c r="C23" s="21" t="s">
        <v>99</v>
      </c>
      <c r="D23" s="20" t="s">
        <v>73</v>
      </c>
      <c r="E23" s="22" t="n">
        <f aca="false">IFERROR('Rates Reference Table'!G20*$E$5,0)</f>
        <v>103.4</v>
      </c>
      <c r="F23" s="22" t="n">
        <f aca="false">IFERROR(E23*(1-$H$5/2),0)</f>
        <v>92.026</v>
      </c>
      <c r="G23" s="22" t="n">
        <f aca="false">IFERROR(E23*(1+$H$5/2),0)</f>
        <v>114.774</v>
      </c>
      <c r="H23" s="22" t="n">
        <f aca="false">IFERROR(F23*$B$5,0)</f>
        <v>46013</v>
      </c>
      <c r="I23" s="22" t="n">
        <f aca="false">IFERROR(G23*$B$5,0)</f>
        <v>57387</v>
      </c>
      <c r="J23" s="21" t="s">
        <v>100</v>
      </c>
    </row>
    <row r="24" customFormat="false" ht="13.5" hidden="false" customHeight="true" outlineLevel="0" collapsed="false">
      <c r="A24" s="24" t="s">
        <v>85</v>
      </c>
      <c r="B24" s="24" t="s">
        <v>101</v>
      </c>
      <c r="C24" s="25" t="s">
        <v>102</v>
      </c>
      <c r="D24" s="24" t="s">
        <v>73</v>
      </c>
      <c r="E24" s="26" t="n">
        <f aca="false">IFERROR('Rates Reference Table'!G21*$E$5,0)</f>
        <v>188</v>
      </c>
      <c r="F24" s="26" t="n">
        <f aca="false">IFERROR(E24*(1-$H$5/2),0)</f>
        <v>167.32</v>
      </c>
      <c r="G24" s="26" t="n">
        <f aca="false">IFERROR(E24*(1+$H$5/2),0)</f>
        <v>208.68</v>
      </c>
      <c r="H24" s="26" t="n">
        <f aca="false">IFERROR(F24*$B$5,0)</f>
        <v>83660</v>
      </c>
      <c r="I24" s="26" t="n">
        <f aca="false">IFERROR(G24*$B$5,0)</f>
        <v>104340</v>
      </c>
      <c r="J24" s="25" t="s">
        <v>103</v>
      </c>
    </row>
    <row r="25" customFormat="false" ht="13.5" hidden="false" customHeight="true" outlineLevel="0" collapsed="false">
      <c r="A25" s="20" t="s">
        <v>85</v>
      </c>
      <c r="B25" s="20" t="s">
        <v>104</v>
      </c>
      <c r="C25" s="21" t="s">
        <v>105</v>
      </c>
      <c r="D25" s="20" t="s">
        <v>73</v>
      </c>
      <c r="E25" s="22" t="n">
        <f aca="false">IFERROR('Rates Reference Table'!G22*$E$5,0)</f>
        <v>56.4</v>
      </c>
      <c r="F25" s="22" t="n">
        <f aca="false">IFERROR(E25*(1-$H$5/2),0)</f>
        <v>50.196</v>
      </c>
      <c r="G25" s="22" t="n">
        <f aca="false">IFERROR(E25*(1+$H$5/2),0)</f>
        <v>62.604</v>
      </c>
      <c r="H25" s="22" t="n">
        <f aca="false">IFERROR(F25*$B$5,0)</f>
        <v>25098</v>
      </c>
      <c r="I25" s="22" t="n">
        <f aca="false">IFERROR(G25*$B$5,0)</f>
        <v>31302</v>
      </c>
      <c r="J25" s="21" t="s">
        <v>106</v>
      </c>
    </row>
    <row r="26" customFormat="false" ht="13.5" hidden="false" customHeight="true" outlineLevel="0" collapsed="false">
      <c r="A26" s="24" t="s">
        <v>85</v>
      </c>
      <c r="B26" s="24" t="s">
        <v>107</v>
      </c>
      <c r="C26" s="25" t="s">
        <v>108</v>
      </c>
      <c r="D26" s="24" t="s">
        <v>109</v>
      </c>
      <c r="E26" s="26" t="n">
        <f aca="false">IFERROR('Rates Reference Table'!G23*$E$5,0)</f>
        <v>37.6</v>
      </c>
      <c r="F26" s="26" t="n">
        <f aca="false">IFERROR(E26*(1-$H$5/2),0)</f>
        <v>33.464</v>
      </c>
      <c r="G26" s="26" t="n">
        <f aca="false">IFERROR(E26*(1+$H$5/2),0)</f>
        <v>41.736</v>
      </c>
      <c r="H26" s="26" t="n">
        <f aca="false">IFERROR(F26*$B$5,0)</f>
        <v>16732</v>
      </c>
      <c r="I26" s="26" t="n">
        <f aca="false">IFERROR(G26*$B$5,0)</f>
        <v>20868</v>
      </c>
      <c r="J26" s="25" t="s">
        <v>110</v>
      </c>
    </row>
    <row r="27" customFormat="false" ht="15.75" hidden="false" customHeight="true" outlineLevel="0" collapsed="false">
      <c r="A27" s="36" t="s">
        <v>264</v>
      </c>
      <c r="B27" s="36"/>
      <c r="C27" s="36"/>
      <c r="D27" s="36"/>
      <c r="E27" s="36"/>
      <c r="F27" s="36"/>
      <c r="G27" s="36"/>
      <c r="H27" s="36"/>
      <c r="I27" s="36"/>
      <c r="J27" s="36"/>
    </row>
    <row r="28" customFormat="false" ht="13.5" hidden="false" customHeight="true" outlineLevel="0" collapsed="false">
      <c r="A28" s="20" t="s">
        <v>112</v>
      </c>
      <c r="B28" s="20" t="s">
        <v>113</v>
      </c>
      <c r="C28" s="21" t="s">
        <v>114</v>
      </c>
      <c r="D28" s="20" t="s">
        <v>73</v>
      </c>
      <c r="E28" s="22" t="n">
        <f aca="false">IFERROR('Rates Reference Table'!G25*$E$5,0)</f>
        <v>70.5</v>
      </c>
      <c r="F28" s="22" t="n">
        <f aca="false">IFERROR(E28*(1-$H$5/2),0)</f>
        <v>62.745</v>
      </c>
      <c r="G28" s="22" t="n">
        <f aca="false">IFERROR(E28*(1+$H$5/2),0)</f>
        <v>78.255</v>
      </c>
      <c r="H28" s="22" t="n">
        <f aca="false">IFERROR(F28*$B$5,0)</f>
        <v>31372.5</v>
      </c>
      <c r="I28" s="22" t="n">
        <f aca="false">IFERROR(G28*$B$5,0)</f>
        <v>39127.5</v>
      </c>
      <c r="J28" s="21" t="s">
        <v>115</v>
      </c>
    </row>
    <row r="29" customFormat="false" ht="13.5" hidden="false" customHeight="true" outlineLevel="0" collapsed="false">
      <c r="A29" s="24" t="s">
        <v>112</v>
      </c>
      <c r="B29" s="24" t="s">
        <v>116</v>
      </c>
      <c r="C29" s="25" t="s">
        <v>117</v>
      </c>
      <c r="D29" s="24" t="s">
        <v>73</v>
      </c>
      <c r="E29" s="26" t="n">
        <f aca="false">IFERROR('Rates Reference Table'!G26*$E$5,0)</f>
        <v>122.2</v>
      </c>
      <c r="F29" s="26" t="n">
        <f aca="false">IFERROR(E29*(1-$H$5/2),0)</f>
        <v>108.758</v>
      </c>
      <c r="G29" s="26" t="n">
        <f aca="false">IFERROR(E29*(1+$H$5/2),0)</f>
        <v>135.642</v>
      </c>
      <c r="H29" s="26" t="n">
        <f aca="false">IFERROR(F29*$B$5,0)</f>
        <v>54379</v>
      </c>
      <c r="I29" s="26" t="n">
        <f aca="false">IFERROR(G29*$B$5,0)</f>
        <v>67821</v>
      </c>
      <c r="J29" s="25" t="s">
        <v>118</v>
      </c>
    </row>
    <row r="30" customFormat="false" ht="13.5" hidden="false" customHeight="true" outlineLevel="0" collapsed="false">
      <c r="A30" s="20" t="s">
        <v>112</v>
      </c>
      <c r="B30" s="20" t="s">
        <v>119</v>
      </c>
      <c r="C30" s="21" t="s">
        <v>120</v>
      </c>
      <c r="D30" s="20" t="s">
        <v>73</v>
      </c>
      <c r="E30" s="22" t="n">
        <f aca="false">IFERROR('Rates Reference Table'!G27*$E$5,0)</f>
        <v>61.1</v>
      </c>
      <c r="F30" s="22" t="n">
        <f aca="false">IFERROR(E30*(1-$H$5/2),0)</f>
        <v>54.379</v>
      </c>
      <c r="G30" s="22" t="n">
        <f aca="false">IFERROR(E30*(1+$H$5/2),0)</f>
        <v>67.821</v>
      </c>
      <c r="H30" s="22" t="n">
        <f aca="false">IFERROR(F30*$B$5,0)</f>
        <v>27189.5</v>
      </c>
      <c r="I30" s="22" t="n">
        <f aca="false">IFERROR(G30*$B$5,0)</f>
        <v>33910.5</v>
      </c>
      <c r="J30" s="21" t="s">
        <v>121</v>
      </c>
    </row>
    <row r="31" customFormat="false" ht="15.75" hidden="false" customHeight="true" outlineLevel="0" collapsed="false">
      <c r="A31" s="36" t="s">
        <v>265</v>
      </c>
      <c r="B31" s="36"/>
      <c r="C31" s="36"/>
      <c r="D31" s="36"/>
      <c r="E31" s="36"/>
      <c r="F31" s="36"/>
      <c r="G31" s="36"/>
      <c r="H31" s="36"/>
      <c r="I31" s="36"/>
      <c r="J31" s="36"/>
    </row>
    <row r="32" customFormat="false" ht="13.5" hidden="false" customHeight="true" outlineLevel="0" collapsed="false">
      <c r="A32" s="20" t="s">
        <v>123</v>
      </c>
      <c r="B32" s="20" t="s">
        <v>124</v>
      </c>
      <c r="C32" s="21" t="s">
        <v>125</v>
      </c>
      <c r="D32" s="20" t="s">
        <v>58</v>
      </c>
      <c r="E32" s="22" t="n">
        <f aca="false">IFERROR('Rates Reference Table'!G29*$E$5,0)</f>
        <v>75.2</v>
      </c>
      <c r="F32" s="22" t="n">
        <f aca="false">IFERROR(E32*(1-$H$5/2),0)</f>
        <v>66.928</v>
      </c>
      <c r="G32" s="22" t="n">
        <f aca="false">IFERROR(E32*(1+$H$5/2),0)</f>
        <v>83.472</v>
      </c>
      <c r="H32" s="22" t="n">
        <f aca="false">IFERROR(F32*$B$5,0)</f>
        <v>33464</v>
      </c>
      <c r="I32" s="22" t="n">
        <f aca="false">IFERROR(G32*$B$5,0)</f>
        <v>41736</v>
      </c>
      <c r="J32" s="21" t="s">
        <v>126</v>
      </c>
    </row>
    <row r="33" customFormat="false" ht="13.5" hidden="false" customHeight="true" outlineLevel="0" collapsed="false">
      <c r="A33" s="24" t="s">
        <v>123</v>
      </c>
      <c r="B33" s="24" t="s">
        <v>127</v>
      </c>
      <c r="C33" s="25" t="s">
        <v>128</v>
      </c>
      <c r="D33" s="24" t="s">
        <v>109</v>
      </c>
      <c r="E33" s="26" t="n">
        <f aca="false">IFERROR('Rates Reference Table'!G30*$E$5,0)</f>
        <v>32.9</v>
      </c>
      <c r="F33" s="26" t="n">
        <f aca="false">IFERROR(E33*(1-$H$5/2),0)</f>
        <v>29.281</v>
      </c>
      <c r="G33" s="26" t="n">
        <f aca="false">IFERROR(E33*(1+$H$5/2),0)</f>
        <v>36.519</v>
      </c>
      <c r="H33" s="26" t="n">
        <f aca="false">IFERROR(F33*$B$5,0)</f>
        <v>14640.5</v>
      </c>
      <c r="I33" s="26" t="n">
        <f aca="false">IFERROR(G33*$B$5,0)</f>
        <v>18259.5</v>
      </c>
      <c r="J33" s="25" t="s">
        <v>129</v>
      </c>
    </row>
    <row r="34" customFormat="false" ht="13.5" hidden="false" customHeight="true" outlineLevel="0" collapsed="false">
      <c r="A34" s="20" t="s">
        <v>123</v>
      </c>
      <c r="B34" s="20" t="s">
        <v>130</v>
      </c>
      <c r="C34" s="21" t="s">
        <v>131</v>
      </c>
      <c r="D34" s="20" t="s">
        <v>58</v>
      </c>
      <c r="E34" s="22" t="n">
        <f aca="false">IFERROR('Rates Reference Table'!G31*$E$5,0)</f>
        <v>32.9</v>
      </c>
      <c r="F34" s="22" t="n">
        <f aca="false">IFERROR(E34*(1-$H$5/2),0)</f>
        <v>29.281</v>
      </c>
      <c r="G34" s="22" t="n">
        <f aca="false">IFERROR(E34*(1+$H$5/2),0)</f>
        <v>36.519</v>
      </c>
      <c r="H34" s="22" t="n">
        <f aca="false">IFERROR(F34*$B$5,0)</f>
        <v>14640.5</v>
      </c>
      <c r="I34" s="22" t="n">
        <f aca="false">IFERROR(G34*$B$5,0)</f>
        <v>18259.5</v>
      </c>
      <c r="J34" s="21" t="s">
        <v>132</v>
      </c>
    </row>
    <row r="35" customFormat="false" ht="13.5" hidden="false" customHeight="true" outlineLevel="0" collapsed="false">
      <c r="A35" s="24" t="s">
        <v>123</v>
      </c>
      <c r="B35" s="24" t="s">
        <v>133</v>
      </c>
      <c r="C35" s="25" t="s">
        <v>134</v>
      </c>
      <c r="D35" s="24" t="s">
        <v>58</v>
      </c>
      <c r="E35" s="26" t="n">
        <f aca="false">IFERROR('Rates Reference Table'!G32*$E$5,0)</f>
        <v>75.2</v>
      </c>
      <c r="F35" s="26" t="n">
        <f aca="false">IFERROR(E35*(1-$H$5/2),0)</f>
        <v>66.928</v>
      </c>
      <c r="G35" s="26" t="n">
        <f aca="false">IFERROR(E35*(1+$H$5/2),0)</f>
        <v>83.472</v>
      </c>
      <c r="H35" s="26" t="n">
        <f aca="false">IFERROR(F35*$B$5,0)</f>
        <v>33464</v>
      </c>
      <c r="I35" s="26" t="n">
        <f aca="false">IFERROR(G35*$B$5,0)</f>
        <v>41736</v>
      </c>
      <c r="J35" s="25" t="s">
        <v>135</v>
      </c>
    </row>
    <row r="36" customFormat="false" ht="15.75" hidden="false" customHeight="true" outlineLevel="0" collapsed="false">
      <c r="A36" s="36" t="s">
        <v>266</v>
      </c>
      <c r="B36" s="36"/>
      <c r="C36" s="36"/>
      <c r="D36" s="36"/>
      <c r="E36" s="36"/>
      <c r="F36" s="36"/>
      <c r="G36" s="36"/>
      <c r="H36" s="36"/>
      <c r="I36" s="36"/>
      <c r="J36" s="36"/>
    </row>
    <row r="37" customFormat="false" ht="13.5" hidden="false" customHeight="true" outlineLevel="0" collapsed="false">
      <c r="A37" s="20" t="s">
        <v>137</v>
      </c>
      <c r="B37" s="20" t="s">
        <v>138</v>
      </c>
      <c r="C37" s="21" t="s">
        <v>139</v>
      </c>
      <c r="D37" s="20" t="s">
        <v>73</v>
      </c>
      <c r="E37" s="22" t="n">
        <f aca="false">IFERROR('Rates Reference Table'!G34*$E$5,0)</f>
        <v>61.1</v>
      </c>
      <c r="F37" s="22" t="n">
        <f aca="false">IFERROR(E37*(1-$H$5/2),0)</f>
        <v>54.379</v>
      </c>
      <c r="G37" s="22" t="n">
        <f aca="false">IFERROR(E37*(1+$H$5/2),0)</f>
        <v>67.821</v>
      </c>
      <c r="H37" s="22" t="n">
        <f aca="false">IFERROR(F37*$B$5,0)</f>
        <v>27189.5</v>
      </c>
      <c r="I37" s="22" t="n">
        <f aca="false">IFERROR(G37*$B$5,0)</f>
        <v>33910.5</v>
      </c>
      <c r="J37" s="21" t="s">
        <v>140</v>
      </c>
    </row>
    <row r="38" customFormat="false" ht="13.5" hidden="false" customHeight="true" outlineLevel="0" collapsed="false">
      <c r="A38" s="24" t="s">
        <v>137</v>
      </c>
      <c r="B38" s="24" t="s">
        <v>141</v>
      </c>
      <c r="C38" s="25" t="s">
        <v>142</v>
      </c>
      <c r="D38" s="24" t="s">
        <v>73</v>
      </c>
      <c r="E38" s="26" t="n">
        <f aca="false">IFERROR('Rates Reference Table'!G35*$E$5,0)</f>
        <v>84.6</v>
      </c>
      <c r="F38" s="26" t="n">
        <f aca="false">IFERROR(E38*(1-$H$5/2),0)</f>
        <v>75.294</v>
      </c>
      <c r="G38" s="26" t="n">
        <f aca="false">IFERROR(E38*(1+$H$5/2),0)</f>
        <v>93.906</v>
      </c>
      <c r="H38" s="26" t="n">
        <f aca="false">IFERROR(F38*$B$5,0)</f>
        <v>37647</v>
      </c>
      <c r="I38" s="26" t="n">
        <f aca="false">IFERROR(G38*$B$5,0)</f>
        <v>46953</v>
      </c>
      <c r="J38" s="25" t="s">
        <v>143</v>
      </c>
    </row>
    <row r="39" customFormat="false" ht="13.5" hidden="false" customHeight="true" outlineLevel="0" collapsed="false">
      <c r="A39" s="20" t="s">
        <v>137</v>
      </c>
      <c r="B39" s="20" t="s">
        <v>144</v>
      </c>
      <c r="C39" s="21" t="s">
        <v>145</v>
      </c>
      <c r="D39" s="20" t="s">
        <v>73</v>
      </c>
      <c r="E39" s="22" t="n">
        <f aca="false">IFERROR('Rates Reference Table'!G36*$E$5,0)</f>
        <v>84.6</v>
      </c>
      <c r="F39" s="22" t="n">
        <f aca="false">IFERROR(E39*(1-$H$5/2),0)</f>
        <v>75.294</v>
      </c>
      <c r="G39" s="22" t="n">
        <f aca="false">IFERROR(E39*(1+$H$5/2),0)</f>
        <v>93.906</v>
      </c>
      <c r="H39" s="22" t="n">
        <f aca="false">IFERROR(F39*$B$5,0)</f>
        <v>37647</v>
      </c>
      <c r="I39" s="22" t="n">
        <f aca="false">IFERROR(G39*$B$5,0)</f>
        <v>46953</v>
      </c>
      <c r="J39" s="21" t="s">
        <v>146</v>
      </c>
    </row>
    <row r="40" customFormat="false" ht="13.5" hidden="false" customHeight="true" outlineLevel="0" collapsed="false">
      <c r="A40" s="24" t="s">
        <v>137</v>
      </c>
      <c r="B40" s="24" t="s">
        <v>147</v>
      </c>
      <c r="C40" s="25" t="s">
        <v>148</v>
      </c>
      <c r="D40" s="24" t="s">
        <v>73</v>
      </c>
      <c r="E40" s="26" t="n">
        <f aca="false">IFERROR('Rates Reference Table'!G37*$E$5,0)</f>
        <v>65.8</v>
      </c>
      <c r="F40" s="26" t="n">
        <f aca="false">IFERROR(E40*(1-$H$5/2),0)</f>
        <v>58.562</v>
      </c>
      <c r="G40" s="26" t="n">
        <f aca="false">IFERROR(E40*(1+$H$5/2),0)</f>
        <v>73.038</v>
      </c>
      <c r="H40" s="26" t="n">
        <f aca="false">IFERROR(F40*$B$5,0)</f>
        <v>29281</v>
      </c>
      <c r="I40" s="26" t="n">
        <f aca="false">IFERROR(G40*$B$5,0)</f>
        <v>36519</v>
      </c>
      <c r="J40" s="25" t="s">
        <v>149</v>
      </c>
    </row>
    <row r="41" customFormat="false" ht="13.5" hidden="false" customHeight="true" outlineLevel="0" collapsed="false">
      <c r="A41" s="20" t="s">
        <v>137</v>
      </c>
      <c r="B41" s="20" t="s">
        <v>150</v>
      </c>
      <c r="C41" s="21" t="s">
        <v>151</v>
      </c>
      <c r="D41" s="20" t="s">
        <v>58</v>
      </c>
      <c r="E41" s="22" t="n">
        <f aca="false">IFERROR('Rates Reference Table'!G38*$E$5,0)</f>
        <v>14.1</v>
      </c>
      <c r="F41" s="22" t="n">
        <f aca="false">IFERROR(E41*(1-$H$5/2),0)</f>
        <v>12.549</v>
      </c>
      <c r="G41" s="22" t="n">
        <f aca="false">IFERROR(E41*(1+$H$5/2),0)</f>
        <v>15.651</v>
      </c>
      <c r="H41" s="22" t="n">
        <f aca="false">IFERROR(F41*$B$5,0)</f>
        <v>6274.5</v>
      </c>
      <c r="I41" s="22" t="n">
        <f aca="false">IFERROR(G41*$B$5,0)</f>
        <v>7825.5</v>
      </c>
      <c r="J41" s="21" t="s">
        <v>152</v>
      </c>
    </row>
    <row r="42" customFormat="false" ht="13.5" hidden="false" customHeight="true" outlineLevel="0" collapsed="false">
      <c r="A42" s="24" t="s">
        <v>137</v>
      </c>
      <c r="B42" s="24" t="s">
        <v>153</v>
      </c>
      <c r="C42" s="25" t="s">
        <v>154</v>
      </c>
      <c r="D42" s="24" t="s">
        <v>73</v>
      </c>
      <c r="E42" s="26" t="n">
        <f aca="false">IFERROR('Rates Reference Table'!G39*$E$5,0)</f>
        <v>28.2</v>
      </c>
      <c r="F42" s="26" t="n">
        <f aca="false">IFERROR(E42*(1-$H$5/2),0)</f>
        <v>25.098</v>
      </c>
      <c r="G42" s="26" t="n">
        <f aca="false">IFERROR(E42*(1+$H$5/2),0)</f>
        <v>31.302</v>
      </c>
      <c r="H42" s="26" t="n">
        <f aca="false">IFERROR(F42*$B$5,0)</f>
        <v>12549</v>
      </c>
      <c r="I42" s="26" t="n">
        <f aca="false">IFERROR(G42*$B$5,0)</f>
        <v>15651</v>
      </c>
      <c r="J42" s="25" t="s">
        <v>155</v>
      </c>
    </row>
    <row r="43" customFormat="false" ht="13.5" hidden="false" customHeight="true" outlineLevel="0" collapsed="false">
      <c r="A43" s="20" t="s">
        <v>137</v>
      </c>
      <c r="B43" s="20" t="s">
        <v>156</v>
      </c>
      <c r="C43" s="21" t="s">
        <v>157</v>
      </c>
      <c r="D43" s="20" t="s">
        <v>73</v>
      </c>
      <c r="E43" s="22" t="n">
        <f aca="false">IFERROR('Rates Reference Table'!G40*$E$5,0)</f>
        <v>51.7</v>
      </c>
      <c r="F43" s="22" t="n">
        <f aca="false">IFERROR(E43*(1-$H$5/2),0)</f>
        <v>46.013</v>
      </c>
      <c r="G43" s="22" t="n">
        <f aca="false">IFERROR(E43*(1+$H$5/2),0)</f>
        <v>57.387</v>
      </c>
      <c r="H43" s="22" t="n">
        <f aca="false">IFERROR(F43*$B$5,0)</f>
        <v>23006.5</v>
      </c>
      <c r="I43" s="22" t="n">
        <f aca="false">IFERROR(G43*$B$5,0)</f>
        <v>28693.5</v>
      </c>
      <c r="J43" s="21" t="s">
        <v>158</v>
      </c>
    </row>
    <row r="44" customFormat="false" ht="13.5" hidden="false" customHeight="true" outlineLevel="0" collapsed="false">
      <c r="A44" s="24" t="s">
        <v>137</v>
      </c>
      <c r="B44" s="24" t="s">
        <v>159</v>
      </c>
      <c r="C44" s="25" t="s">
        <v>160</v>
      </c>
      <c r="D44" s="24" t="s">
        <v>73</v>
      </c>
      <c r="E44" s="26" t="n">
        <f aca="false">IFERROR('Rates Reference Table'!G41*$E$5,0)</f>
        <v>70.5</v>
      </c>
      <c r="F44" s="26" t="n">
        <f aca="false">IFERROR(E44*(1-$H$5/2),0)</f>
        <v>62.745</v>
      </c>
      <c r="G44" s="26" t="n">
        <f aca="false">IFERROR(E44*(1+$H$5/2),0)</f>
        <v>78.255</v>
      </c>
      <c r="H44" s="26" t="n">
        <f aca="false">IFERROR(F44*$B$5,0)</f>
        <v>31372.5</v>
      </c>
      <c r="I44" s="26" t="n">
        <f aca="false">IFERROR(G44*$B$5,0)</f>
        <v>39127.5</v>
      </c>
      <c r="J44" s="25" t="s">
        <v>161</v>
      </c>
    </row>
    <row r="45" customFormat="false" ht="13.5" hidden="false" customHeight="true" outlineLevel="0" collapsed="false">
      <c r="A45" s="20" t="s">
        <v>137</v>
      </c>
      <c r="B45" s="20" t="s">
        <v>162</v>
      </c>
      <c r="C45" s="21" t="s">
        <v>163</v>
      </c>
      <c r="D45" s="20" t="s">
        <v>73</v>
      </c>
      <c r="E45" s="22" t="n">
        <f aca="false">IFERROR('Rates Reference Table'!G42*$E$5,0)</f>
        <v>32.9</v>
      </c>
      <c r="F45" s="22" t="n">
        <f aca="false">IFERROR(E45*(1-$H$5/2),0)</f>
        <v>29.281</v>
      </c>
      <c r="G45" s="22" t="n">
        <f aca="false">IFERROR(E45*(1+$H$5/2),0)</f>
        <v>36.519</v>
      </c>
      <c r="H45" s="22" t="n">
        <f aca="false">IFERROR(F45*$B$5,0)</f>
        <v>14640.5</v>
      </c>
      <c r="I45" s="22" t="n">
        <f aca="false">IFERROR(G45*$B$5,0)</f>
        <v>18259.5</v>
      </c>
      <c r="J45" s="21" t="s">
        <v>164</v>
      </c>
    </row>
    <row r="46" customFormat="false" ht="13.5" hidden="false" customHeight="true" outlineLevel="0" collapsed="false">
      <c r="A46" s="24" t="s">
        <v>137</v>
      </c>
      <c r="B46" s="24" t="s">
        <v>165</v>
      </c>
      <c r="C46" s="25" t="s">
        <v>166</v>
      </c>
      <c r="D46" s="24" t="s">
        <v>58</v>
      </c>
      <c r="E46" s="26" t="n">
        <f aca="false">IFERROR('Rates Reference Table'!G43*$E$5,0)</f>
        <v>9.4</v>
      </c>
      <c r="F46" s="26" t="n">
        <f aca="false">IFERROR(E46*(1-$H$5/2),0)</f>
        <v>8.366</v>
      </c>
      <c r="G46" s="26" t="n">
        <f aca="false">IFERROR(E46*(1+$H$5/2),0)</f>
        <v>10.434</v>
      </c>
      <c r="H46" s="26" t="n">
        <f aca="false">IFERROR(F46*$B$5,0)</f>
        <v>4183</v>
      </c>
      <c r="I46" s="26" t="n">
        <f aca="false">IFERROR(G46*$B$5,0)</f>
        <v>5217</v>
      </c>
      <c r="J46" s="25" t="s">
        <v>167</v>
      </c>
    </row>
    <row r="47" customFormat="false" ht="13.5" hidden="false" customHeight="true" outlineLevel="0" collapsed="false">
      <c r="A47" s="20" t="s">
        <v>137</v>
      </c>
      <c r="B47" s="20" t="s">
        <v>168</v>
      </c>
      <c r="C47" s="21" t="s">
        <v>169</v>
      </c>
      <c r="D47" s="20" t="s">
        <v>170</v>
      </c>
      <c r="E47" s="22" t="n">
        <f aca="false">IFERROR('Rates Reference Table'!G44*$E$5,0)</f>
        <v>1128</v>
      </c>
      <c r="F47" s="22" t="n">
        <f aca="false">IFERROR(E47*(1-$H$5/2),0)</f>
        <v>1003.92</v>
      </c>
      <c r="G47" s="22" t="n">
        <f aca="false">IFERROR(E47*(1+$H$5/2),0)</f>
        <v>1252.08</v>
      </c>
      <c r="H47" s="22" t="n">
        <f aca="false">IFERROR(F47*$B$5,0)</f>
        <v>501960</v>
      </c>
      <c r="I47" s="22" t="n">
        <f aca="false">IFERROR(G47*$B$5,0)</f>
        <v>626040</v>
      </c>
      <c r="J47" s="21" t="s">
        <v>171</v>
      </c>
    </row>
    <row r="48" customFormat="false" ht="13.5" hidden="false" customHeight="true" outlineLevel="0" collapsed="false">
      <c r="A48" s="24" t="s">
        <v>137</v>
      </c>
      <c r="B48" s="24" t="s">
        <v>172</v>
      </c>
      <c r="C48" s="25" t="s">
        <v>173</v>
      </c>
      <c r="D48" s="24" t="s">
        <v>109</v>
      </c>
      <c r="E48" s="26" t="n">
        <f aca="false">IFERROR('Rates Reference Table'!G45*$E$5,0)</f>
        <v>2350</v>
      </c>
      <c r="F48" s="26" t="n">
        <f aca="false">IFERROR(E48*(1-$H$5/2),0)</f>
        <v>2091.5</v>
      </c>
      <c r="G48" s="26" t="n">
        <f aca="false">IFERROR(E48*(1+$H$5/2),0)</f>
        <v>2608.5</v>
      </c>
      <c r="H48" s="26" t="n">
        <f aca="false">IFERROR(F48*$B$5,0)</f>
        <v>1045750</v>
      </c>
      <c r="I48" s="26" t="n">
        <f aca="false">IFERROR(G48*$B$5,0)</f>
        <v>1304250</v>
      </c>
      <c r="J48" s="25" t="s">
        <v>174</v>
      </c>
    </row>
    <row r="49" customFormat="false" ht="13.5" hidden="false" customHeight="true" outlineLevel="0" collapsed="false">
      <c r="A49" s="20" t="s">
        <v>137</v>
      </c>
      <c r="B49" s="20" t="s">
        <v>175</v>
      </c>
      <c r="C49" s="21" t="s">
        <v>176</v>
      </c>
      <c r="D49" s="20" t="s">
        <v>73</v>
      </c>
      <c r="E49" s="22" t="n">
        <f aca="false">IFERROR('Rates Reference Table'!G46*$E$5,0)</f>
        <v>32.9</v>
      </c>
      <c r="F49" s="22" t="n">
        <f aca="false">IFERROR(E49*(1-$H$5/2),0)</f>
        <v>29.281</v>
      </c>
      <c r="G49" s="22" t="n">
        <f aca="false">IFERROR(E49*(1+$H$5/2),0)</f>
        <v>36.519</v>
      </c>
      <c r="H49" s="22" t="n">
        <f aca="false">IFERROR(F49*$B$5,0)</f>
        <v>14640.5</v>
      </c>
      <c r="I49" s="22" t="n">
        <f aca="false">IFERROR(G49*$B$5,0)</f>
        <v>18259.5</v>
      </c>
      <c r="J49" s="21" t="s">
        <v>177</v>
      </c>
    </row>
    <row r="50" customFormat="false" ht="13.5" hidden="false" customHeight="true" outlineLevel="0" collapsed="false">
      <c r="A50" s="24" t="s">
        <v>137</v>
      </c>
      <c r="B50" s="24" t="s">
        <v>178</v>
      </c>
      <c r="C50" s="25" t="s">
        <v>179</v>
      </c>
      <c r="D50" s="24" t="s">
        <v>58</v>
      </c>
      <c r="E50" s="26" t="n">
        <f aca="false">IFERROR('Rates Reference Table'!G47*$E$5,0)</f>
        <v>47</v>
      </c>
      <c r="F50" s="26" t="n">
        <f aca="false">IFERROR(E50*(1-$H$5/2),0)</f>
        <v>41.83</v>
      </c>
      <c r="G50" s="26" t="n">
        <f aca="false">IFERROR(E50*(1+$H$5/2),0)</f>
        <v>52.17</v>
      </c>
      <c r="H50" s="26" t="n">
        <f aca="false">IFERROR(F50*$B$5,0)</f>
        <v>20915</v>
      </c>
      <c r="I50" s="26" t="n">
        <f aca="false">IFERROR(G50*$B$5,0)</f>
        <v>26085</v>
      </c>
      <c r="J50" s="25" t="s">
        <v>180</v>
      </c>
    </row>
    <row r="51" customFormat="false" ht="13.5" hidden="false" customHeight="true" outlineLevel="0" collapsed="false">
      <c r="A51" s="20" t="s">
        <v>137</v>
      </c>
      <c r="B51" s="20" t="s">
        <v>181</v>
      </c>
      <c r="C51" s="21" t="s">
        <v>182</v>
      </c>
      <c r="D51" s="20" t="s">
        <v>73</v>
      </c>
      <c r="E51" s="22" t="n">
        <f aca="false">IFERROR('Rates Reference Table'!G48*$E$5,0)</f>
        <v>28.2</v>
      </c>
      <c r="F51" s="22" t="n">
        <f aca="false">IFERROR(E51*(1-$H$5/2),0)</f>
        <v>25.098</v>
      </c>
      <c r="G51" s="22" t="n">
        <f aca="false">IFERROR(E51*(1+$H$5/2),0)</f>
        <v>31.302</v>
      </c>
      <c r="H51" s="22" t="n">
        <f aca="false">IFERROR(F51*$B$5,0)</f>
        <v>12549</v>
      </c>
      <c r="I51" s="22" t="n">
        <f aca="false">IFERROR(G51*$B$5,0)</f>
        <v>15651</v>
      </c>
      <c r="J51" s="21" t="s">
        <v>183</v>
      </c>
    </row>
    <row r="52" customFormat="false" ht="13.5" hidden="false" customHeight="true" outlineLevel="0" collapsed="false">
      <c r="A52" s="24" t="s">
        <v>137</v>
      </c>
      <c r="B52" s="24" t="s">
        <v>184</v>
      </c>
      <c r="C52" s="25" t="s">
        <v>185</v>
      </c>
      <c r="D52" s="24" t="s">
        <v>109</v>
      </c>
      <c r="E52" s="26" t="n">
        <f aca="false">IFERROR('Rates Reference Table'!G49*$E$5,0)</f>
        <v>112.8</v>
      </c>
      <c r="F52" s="26" t="n">
        <f aca="false">IFERROR(E52*(1-$H$5/2),0)</f>
        <v>100.392</v>
      </c>
      <c r="G52" s="26" t="n">
        <f aca="false">IFERROR(E52*(1+$H$5/2),0)</f>
        <v>125.208</v>
      </c>
      <c r="H52" s="26" t="n">
        <f aca="false">IFERROR(F52*$B$5,0)</f>
        <v>50196</v>
      </c>
      <c r="I52" s="26" t="n">
        <f aca="false">IFERROR(G52*$B$5,0)</f>
        <v>62604</v>
      </c>
      <c r="J52" s="25" t="s">
        <v>186</v>
      </c>
    </row>
    <row r="53" customFormat="false" ht="13.5" hidden="false" customHeight="true" outlineLevel="0" collapsed="false">
      <c r="A53" s="20" t="s">
        <v>137</v>
      </c>
      <c r="B53" s="20" t="s">
        <v>187</v>
      </c>
      <c r="C53" s="21" t="s">
        <v>188</v>
      </c>
      <c r="D53" s="20" t="s">
        <v>73</v>
      </c>
      <c r="E53" s="22" t="n">
        <f aca="false">IFERROR('Rates Reference Table'!G50*$E$5,0)</f>
        <v>20.68</v>
      </c>
      <c r="F53" s="22" t="n">
        <f aca="false">IFERROR(E53*(1-$H$5/2),0)</f>
        <v>18.4052</v>
      </c>
      <c r="G53" s="22" t="n">
        <f aca="false">IFERROR(E53*(1+$H$5/2),0)</f>
        <v>22.9548</v>
      </c>
      <c r="H53" s="22" t="n">
        <f aca="false">IFERROR(F53*$B$5,0)</f>
        <v>9202.6</v>
      </c>
      <c r="I53" s="22" t="n">
        <f aca="false">IFERROR(G53*$B$5,0)</f>
        <v>11477.4</v>
      </c>
      <c r="J53" s="21" t="s">
        <v>189</v>
      </c>
    </row>
    <row r="54" customFormat="false" ht="15.75" hidden="false" customHeight="true" outlineLevel="0" collapsed="false">
      <c r="A54" s="37" t="s">
        <v>267</v>
      </c>
      <c r="B54" s="37"/>
      <c r="C54" s="37"/>
      <c r="D54" s="37"/>
      <c r="E54" s="37"/>
      <c r="F54" s="37"/>
      <c r="G54" s="37"/>
      <c r="H54" s="37"/>
      <c r="I54" s="37"/>
      <c r="J54" s="37"/>
    </row>
    <row r="55" customFormat="false" ht="13.5" hidden="false" customHeight="true" outlineLevel="0" collapsed="false">
      <c r="A55" s="38" t="s">
        <v>191</v>
      </c>
      <c r="B55" s="38" t="s">
        <v>192</v>
      </c>
      <c r="C55" s="39" t="s">
        <v>193</v>
      </c>
      <c r="D55" s="38" t="s">
        <v>58</v>
      </c>
      <c r="E55" s="40" t="s">
        <v>262</v>
      </c>
      <c r="F55" s="40" t="s">
        <v>262</v>
      </c>
      <c r="G55" s="40" t="s">
        <v>262</v>
      </c>
      <c r="H55" s="41" t="n">
        <v>0</v>
      </c>
      <c r="I55" s="41" t="n">
        <v>0</v>
      </c>
      <c r="J55" s="39" t="s">
        <v>194</v>
      </c>
    </row>
    <row r="56" customFormat="false" ht="13.5" hidden="false" customHeight="true" outlineLevel="0" collapsed="false">
      <c r="A56" s="38" t="s">
        <v>191</v>
      </c>
      <c r="B56" s="38" t="s">
        <v>195</v>
      </c>
      <c r="C56" s="39" t="s">
        <v>196</v>
      </c>
      <c r="D56" s="38" t="s">
        <v>58</v>
      </c>
      <c r="E56" s="40" t="s">
        <v>262</v>
      </c>
      <c r="F56" s="40" t="s">
        <v>262</v>
      </c>
      <c r="G56" s="40" t="s">
        <v>262</v>
      </c>
      <c r="H56" s="41" t="n">
        <v>0</v>
      </c>
      <c r="I56" s="41" t="n">
        <v>0</v>
      </c>
      <c r="J56" s="39" t="s">
        <v>197</v>
      </c>
    </row>
    <row r="57" customFormat="false" ht="15.75" hidden="false" customHeight="true" outlineLevel="0" collapsed="false">
      <c r="A57" s="36" t="s">
        <v>268</v>
      </c>
      <c r="B57" s="36"/>
      <c r="C57" s="36"/>
      <c r="D57" s="36"/>
      <c r="E57" s="36"/>
      <c r="F57" s="36"/>
      <c r="G57" s="36"/>
      <c r="H57" s="36"/>
      <c r="I57" s="36"/>
      <c r="J57" s="36"/>
    </row>
    <row r="58" customFormat="false" ht="13.5" hidden="false" customHeight="true" outlineLevel="0" collapsed="false">
      <c r="A58" s="20" t="s">
        <v>199</v>
      </c>
      <c r="B58" s="20" t="s">
        <v>200</v>
      </c>
      <c r="C58" s="21" t="s">
        <v>201</v>
      </c>
      <c r="D58" s="20" t="s">
        <v>58</v>
      </c>
      <c r="E58" s="22" t="n">
        <f aca="false">IFERROR('Rates Reference Table'!G55*$E$5,0)</f>
        <v>51.7</v>
      </c>
      <c r="F58" s="22" t="n">
        <f aca="false">IFERROR(E58*(1-$H$5/2),0)</f>
        <v>46.013</v>
      </c>
      <c r="G58" s="22" t="n">
        <f aca="false">IFERROR(E58*(1+$H$5/2),0)</f>
        <v>57.387</v>
      </c>
      <c r="H58" s="22" t="n">
        <f aca="false">IFERROR(F58*$B$5,0)</f>
        <v>23006.5</v>
      </c>
      <c r="I58" s="22" t="n">
        <f aca="false">IFERROR(G58*$B$5,0)</f>
        <v>28693.5</v>
      </c>
      <c r="J58" s="21" t="s">
        <v>202</v>
      </c>
    </row>
    <row r="59" customFormat="false" ht="13.5" hidden="false" customHeight="true" outlineLevel="0" collapsed="false">
      <c r="A59" s="24" t="s">
        <v>199</v>
      </c>
      <c r="B59" s="24" t="s">
        <v>203</v>
      </c>
      <c r="C59" s="25" t="s">
        <v>204</v>
      </c>
      <c r="D59" s="24" t="s">
        <v>58</v>
      </c>
      <c r="E59" s="26" t="n">
        <f aca="false">IFERROR('Rates Reference Table'!G56*$E$5,0)</f>
        <v>42.3</v>
      </c>
      <c r="F59" s="26" t="n">
        <f aca="false">IFERROR(E59*(1-$H$5/2),0)</f>
        <v>37.647</v>
      </c>
      <c r="G59" s="26" t="n">
        <f aca="false">IFERROR(E59*(1+$H$5/2),0)</f>
        <v>46.953</v>
      </c>
      <c r="H59" s="26" t="n">
        <f aca="false">IFERROR(F59*$B$5,0)</f>
        <v>18823.5</v>
      </c>
      <c r="I59" s="26" t="n">
        <f aca="false">IFERROR(G59*$B$5,0)</f>
        <v>23476.5</v>
      </c>
      <c r="J59" s="25" t="s">
        <v>205</v>
      </c>
    </row>
    <row r="60" customFormat="false" ht="13.5" hidden="false" customHeight="true" outlineLevel="0" collapsed="false">
      <c r="A60" s="20" t="s">
        <v>199</v>
      </c>
      <c r="B60" s="20" t="s">
        <v>206</v>
      </c>
      <c r="C60" s="21" t="s">
        <v>207</v>
      </c>
      <c r="D60" s="20" t="s">
        <v>58</v>
      </c>
      <c r="E60" s="22" t="n">
        <f aca="false">IFERROR('Rates Reference Table'!G57*$E$5,0)</f>
        <v>18.8</v>
      </c>
      <c r="F60" s="22" t="n">
        <f aca="false">IFERROR(E60*(1-$H$5/2),0)</f>
        <v>16.732</v>
      </c>
      <c r="G60" s="22" t="n">
        <f aca="false">IFERROR(E60*(1+$H$5/2),0)</f>
        <v>20.868</v>
      </c>
      <c r="H60" s="22" t="n">
        <f aca="false">IFERROR(F60*$B$5,0)</f>
        <v>8366</v>
      </c>
      <c r="I60" s="22" t="n">
        <f aca="false">IFERROR(G60*$B$5,0)</f>
        <v>10434</v>
      </c>
      <c r="J60" s="21" t="s">
        <v>208</v>
      </c>
    </row>
    <row r="61" customFormat="false" ht="13.5" hidden="false" customHeight="true" outlineLevel="0" collapsed="false">
      <c r="A61" s="24" t="s">
        <v>199</v>
      </c>
      <c r="B61" s="24" t="s">
        <v>209</v>
      </c>
      <c r="C61" s="25" t="s">
        <v>210</v>
      </c>
      <c r="D61" s="24" t="s">
        <v>58</v>
      </c>
      <c r="E61" s="26" t="n">
        <f aca="false">IFERROR('Rates Reference Table'!G58*$E$5,0)</f>
        <v>75.2</v>
      </c>
      <c r="F61" s="26" t="n">
        <f aca="false">IFERROR(E61*(1-$H$5/2),0)</f>
        <v>66.928</v>
      </c>
      <c r="G61" s="26" t="n">
        <f aca="false">IFERROR(E61*(1+$H$5/2),0)</f>
        <v>83.472</v>
      </c>
      <c r="H61" s="26" t="n">
        <f aca="false">IFERROR(F61*$B$5,0)</f>
        <v>33464</v>
      </c>
      <c r="I61" s="26" t="n">
        <f aca="false">IFERROR(G61*$B$5,0)</f>
        <v>41736</v>
      </c>
      <c r="J61" s="25" t="s">
        <v>211</v>
      </c>
    </row>
    <row r="62" customFormat="false" ht="13.5" hidden="false" customHeight="true" outlineLevel="0" collapsed="false">
      <c r="A62" s="20" t="s">
        <v>199</v>
      </c>
      <c r="B62" s="20" t="s">
        <v>212</v>
      </c>
      <c r="C62" s="21" t="s">
        <v>213</v>
      </c>
      <c r="D62" s="20" t="s">
        <v>58</v>
      </c>
      <c r="E62" s="22" t="n">
        <f aca="false">IFERROR('Rates Reference Table'!G59*$E$5,0)</f>
        <v>18.8</v>
      </c>
      <c r="F62" s="22" t="n">
        <f aca="false">IFERROR(E62*(1-$H$5/2),0)</f>
        <v>16.732</v>
      </c>
      <c r="G62" s="22" t="n">
        <f aca="false">IFERROR(E62*(1+$H$5/2),0)</f>
        <v>20.868</v>
      </c>
      <c r="H62" s="22" t="n">
        <f aca="false">IFERROR(F62*$B$5,0)</f>
        <v>8366</v>
      </c>
      <c r="I62" s="22" t="n">
        <f aca="false">IFERROR(G62*$B$5,0)</f>
        <v>10434</v>
      </c>
      <c r="J62" s="21" t="s">
        <v>214</v>
      </c>
    </row>
    <row r="63" customFormat="false" ht="15.75" hidden="false" customHeight="true" outlineLevel="0" collapsed="false">
      <c r="A63" s="36" t="s">
        <v>269</v>
      </c>
      <c r="B63" s="36"/>
      <c r="C63" s="36"/>
      <c r="D63" s="36"/>
      <c r="E63" s="36"/>
      <c r="F63" s="36"/>
      <c r="G63" s="36"/>
      <c r="H63" s="36"/>
      <c r="I63" s="36"/>
      <c r="J63" s="36"/>
    </row>
    <row r="64" customFormat="false" ht="13.5" hidden="false" customHeight="true" outlineLevel="0" collapsed="false">
      <c r="A64" s="20" t="s">
        <v>216</v>
      </c>
      <c r="B64" s="20" t="s">
        <v>217</v>
      </c>
      <c r="C64" s="21" t="s">
        <v>218</v>
      </c>
      <c r="D64" s="20" t="s">
        <v>58</v>
      </c>
      <c r="E64" s="22" t="n">
        <f aca="false">IFERROR('Rates Reference Table'!G61*$E$5,0)</f>
        <v>14.1</v>
      </c>
      <c r="F64" s="22" t="n">
        <f aca="false">IFERROR(E64*(1-$H$5/2),0)</f>
        <v>12.549</v>
      </c>
      <c r="G64" s="22" t="n">
        <f aca="false">IFERROR(E64*(1+$H$5/2),0)</f>
        <v>15.651</v>
      </c>
      <c r="H64" s="22" t="n">
        <f aca="false">IFERROR(F64*$B$5,0)</f>
        <v>6274.5</v>
      </c>
      <c r="I64" s="22" t="n">
        <f aca="false">IFERROR(G64*$B$5,0)</f>
        <v>7825.5</v>
      </c>
      <c r="J64" s="21" t="s">
        <v>219</v>
      </c>
    </row>
    <row r="65" customFormat="false" ht="13.5" hidden="false" customHeight="true" outlineLevel="0" collapsed="false">
      <c r="A65" s="24" t="s">
        <v>216</v>
      </c>
      <c r="B65" s="24" t="s">
        <v>220</v>
      </c>
      <c r="C65" s="25" t="s">
        <v>221</v>
      </c>
      <c r="D65" s="24" t="s">
        <v>73</v>
      </c>
      <c r="E65" s="26" t="n">
        <f aca="false">IFERROR('Rates Reference Table'!G62*$E$5,0)</f>
        <v>18.8</v>
      </c>
      <c r="F65" s="26" t="n">
        <f aca="false">IFERROR(E65*(1-$H$5/2),0)</f>
        <v>16.732</v>
      </c>
      <c r="G65" s="26" t="n">
        <f aca="false">IFERROR(E65*(1+$H$5/2),0)</f>
        <v>20.868</v>
      </c>
      <c r="H65" s="26" t="n">
        <f aca="false">IFERROR(F65*$B$5,0)</f>
        <v>8366</v>
      </c>
      <c r="I65" s="26" t="n">
        <f aca="false">IFERROR(G65*$B$5,0)</f>
        <v>10434</v>
      </c>
      <c r="J65" s="25" t="s">
        <v>222</v>
      </c>
    </row>
    <row r="66" customFormat="false" ht="13.5" hidden="false" customHeight="true" outlineLevel="0" collapsed="false">
      <c r="A66" s="20" t="s">
        <v>216</v>
      </c>
      <c r="B66" s="20" t="s">
        <v>223</v>
      </c>
      <c r="C66" s="21" t="s">
        <v>224</v>
      </c>
      <c r="D66" s="20" t="s">
        <v>109</v>
      </c>
      <c r="E66" s="22" t="n">
        <f aca="false">IFERROR('Rates Reference Table'!G63*$E$5,0)</f>
        <v>9.4</v>
      </c>
      <c r="F66" s="22" t="n">
        <f aca="false">IFERROR(E66*(1-$H$5/2),0)</f>
        <v>8.366</v>
      </c>
      <c r="G66" s="22" t="n">
        <f aca="false">IFERROR(E66*(1+$H$5/2),0)</f>
        <v>10.434</v>
      </c>
      <c r="H66" s="22" t="n">
        <f aca="false">IFERROR(F66*$B$5,0)</f>
        <v>4183</v>
      </c>
      <c r="I66" s="22" t="n">
        <f aca="false">IFERROR(G66*$B$5,0)</f>
        <v>5217</v>
      </c>
      <c r="J66" s="21" t="s">
        <v>225</v>
      </c>
    </row>
    <row r="67" customFormat="false" ht="13.5" hidden="false" customHeight="true" outlineLevel="0" collapsed="false">
      <c r="A67" s="24" t="s">
        <v>216</v>
      </c>
      <c r="B67" s="24" t="s">
        <v>226</v>
      </c>
      <c r="C67" s="25" t="s">
        <v>227</v>
      </c>
      <c r="D67" s="24" t="s">
        <v>58</v>
      </c>
      <c r="E67" s="26" t="n">
        <f aca="false">IFERROR('Rates Reference Table'!G64*$E$5,0)</f>
        <v>14.1</v>
      </c>
      <c r="F67" s="26" t="n">
        <f aca="false">IFERROR(E67*(1-$H$5/2),0)</f>
        <v>12.549</v>
      </c>
      <c r="G67" s="26" t="n">
        <f aca="false">IFERROR(E67*(1+$H$5/2),0)</f>
        <v>15.651</v>
      </c>
      <c r="H67" s="26" t="n">
        <f aca="false">IFERROR(F67*$B$5,0)</f>
        <v>6274.5</v>
      </c>
      <c r="I67" s="26" t="n">
        <f aca="false">IFERROR(G67*$B$5,0)</f>
        <v>7825.5</v>
      </c>
      <c r="J67" s="25" t="s">
        <v>228</v>
      </c>
    </row>
    <row r="68" customFormat="false" ht="13.5" hidden="false" customHeight="true" outlineLevel="0" collapsed="false">
      <c r="A68" s="20" t="s">
        <v>216</v>
      </c>
      <c r="B68" s="20" t="s">
        <v>229</v>
      </c>
      <c r="C68" s="21" t="s">
        <v>230</v>
      </c>
      <c r="D68" s="20" t="s">
        <v>58</v>
      </c>
      <c r="E68" s="22" t="n">
        <f aca="false">IFERROR('Rates Reference Table'!G65*$E$5,0)</f>
        <v>11.28</v>
      </c>
      <c r="F68" s="22" t="n">
        <f aca="false">IFERROR(E68*(1-$H$5/2),0)</f>
        <v>10.0392</v>
      </c>
      <c r="G68" s="22" t="n">
        <f aca="false">IFERROR(E68*(1+$H$5/2),0)</f>
        <v>12.5208</v>
      </c>
      <c r="H68" s="22" t="n">
        <f aca="false">IFERROR(F68*$B$5,0)</f>
        <v>5019.6</v>
      </c>
      <c r="I68" s="22" t="n">
        <f aca="false">IFERROR(G68*$B$5,0)</f>
        <v>6260.4</v>
      </c>
      <c r="J68" s="21" t="s">
        <v>231</v>
      </c>
    </row>
    <row r="69" customFormat="false" ht="13.5" hidden="false" customHeight="true" outlineLevel="0" collapsed="false">
      <c r="A69" s="24" t="s">
        <v>216</v>
      </c>
      <c r="B69" s="24" t="s">
        <v>232</v>
      </c>
      <c r="C69" s="25" t="s">
        <v>233</v>
      </c>
      <c r="D69" s="24" t="s">
        <v>58</v>
      </c>
      <c r="E69" s="26" t="n">
        <f aca="false">IFERROR('Rates Reference Table'!G66*$E$5,0)</f>
        <v>14.1</v>
      </c>
      <c r="F69" s="26" t="n">
        <f aca="false">IFERROR(E69*(1-$H$5/2),0)</f>
        <v>12.549</v>
      </c>
      <c r="G69" s="26" t="n">
        <f aca="false">IFERROR(E69*(1+$H$5/2),0)</f>
        <v>15.651</v>
      </c>
      <c r="H69" s="26" t="n">
        <f aca="false">IFERROR(F69*$B$5,0)</f>
        <v>6274.5</v>
      </c>
      <c r="I69" s="26" t="n">
        <f aca="false">IFERROR(G69*$B$5,0)</f>
        <v>7825.5</v>
      </c>
      <c r="J69" s="25" t="s">
        <v>234</v>
      </c>
    </row>
    <row r="70" customFormat="false" ht="13.5" hidden="false" customHeight="true" outlineLevel="0" collapsed="false">
      <c r="A70" s="20" t="s">
        <v>216</v>
      </c>
      <c r="B70" s="20" t="s">
        <v>235</v>
      </c>
      <c r="C70" s="21" t="s">
        <v>236</v>
      </c>
      <c r="D70" s="20" t="s">
        <v>73</v>
      </c>
      <c r="E70" s="22" t="n">
        <f aca="false">IFERROR('Rates Reference Table'!G67*$E$5,0)</f>
        <v>7.52</v>
      </c>
      <c r="F70" s="22" t="n">
        <f aca="false">IFERROR(E70*(1-$H$5/2),0)</f>
        <v>6.6928</v>
      </c>
      <c r="G70" s="22" t="n">
        <f aca="false">IFERROR(E70*(1+$H$5/2),0)</f>
        <v>8.3472</v>
      </c>
      <c r="H70" s="22" t="n">
        <f aca="false">IFERROR(F70*$B$5,0)</f>
        <v>3346.4</v>
      </c>
      <c r="I70" s="22" t="n">
        <f aca="false">IFERROR(G70*$B$5,0)</f>
        <v>4173.6</v>
      </c>
      <c r="J70" s="21" t="s">
        <v>237</v>
      </c>
    </row>
    <row r="71" customFormat="false" ht="13.5" hidden="false" customHeight="true" outlineLevel="0" collapsed="false">
      <c r="A71" s="24" t="s">
        <v>216</v>
      </c>
      <c r="B71" s="24" t="s">
        <v>238</v>
      </c>
      <c r="C71" s="25" t="s">
        <v>239</v>
      </c>
      <c r="D71" s="24" t="s">
        <v>58</v>
      </c>
      <c r="E71" s="26" t="n">
        <f aca="false">IFERROR('Rates Reference Table'!G68*$E$5,0)</f>
        <v>7.52</v>
      </c>
      <c r="F71" s="26" t="n">
        <f aca="false">IFERROR(E71*(1-$H$5/2),0)</f>
        <v>6.6928</v>
      </c>
      <c r="G71" s="26" t="n">
        <f aca="false">IFERROR(E71*(1+$H$5/2),0)</f>
        <v>8.3472</v>
      </c>
      <c r="H71" s="26" t="n">
        <f aca="false">IFERROR(F71*$B$5,0)</f>
        <v>3346.4</v>
      </c>
      <c r="I71" s="26" t="n">
        <f aca="false">IFERROR(G71*$B$5,0)</f>
        <v>4173.6</v>
      </c>
      <c r="J71" s="25" t="s">
        <v>240</v>
      </c>
    </row>
    <row r="72" customFormat="false" ht="13.5" hidden="false" customHeight="true" outlineLevel="0" collapsed="false">
      <c r="A72" s="20" t="s">
        <v>216</v>
      </c>
      <c r="B72" s="20" t="s">
        <v>241</v>
      </c>
      <c r="C72" s="21" t="s">
        <v>166</v>
      </c>
      <c r="D72" s="20" t="s">
        <v>58</v>
      </c>
      <c r="E72" s="22" t="n">
        <f aca="false">IFERROR('Rates Reference Table'!G69*$E$5,0)</f>
        <v>4.7</v>
      </c>
      <c r="F72" s="22" t="n">
        <f aca="false">IFERROR(E72*(1-$H$5/2),0)</f>
        <v>4.183</v>
      </c>
      <c r="G72" s="22" t="n">
        <f aca="false">IFERROR(E72*(1+$H$5/2),0)</f>
        <v>5.217</v>
      </c>
      <c r="H72" s="22" t="n">
        <f aca="false">IFERROR(F72*$B$5,0)</f>
        <v>2091.5</v>
      </c>
      <c r="I72" s="22" t="n">
        <f aca="false">IFERROR(G72*$B$5,0)</f>
        <v>2608.5</v>
      </c>
      <c r="J72" s="21" t="s">
        <v>242</v>
      </c>
    </row>
    <row r="73" customFormat="false" ht="18" hidden="false" customHeight="true" outlineLevel="0" collapsed="false">
      <c r="A73" s="42" t="s">
        <v>270</v>
      </c>
      <c r="B73" s="42"/>
      <c r="C73" s="42"/>
      <c r="D73" s="42"/>
      <c r="E73" s="42"/>
      <c r="F73" s="42"/>
      <c r="G73" s="42"/>
      <c r="H73" s="43" t="n">
        <f aca="false">SUMPRODUCT((H8:H72&gt;0)*H8:H72)</f>
        <v>2528623.5</v>
      </c>
      <c r="I73" s="43" t="n">
        <f aca="false">SUMPRODUCT((I8:I72&gt;0)*I8:I72)</f>
        <v>3153676.5</v>
      </c>
    </row>
    <row r="74" customFormat="false" ht="7.5" hidden="false" customHeight="true" outlineLevel="0" collapsed="false"/>
    <row r="75" customFormat="false" ht="15" hidden="false" customHeight="true" outlineLevel="0" collapsed="false">
      <c r="A75" s="44" t="s">
        <v>271</v>
      </c>
      <c r="B75" s="44"/>
      <c r="C75" s="44"/>
      <c r="D75" s="44"/>
      <c r="E75" s="44"/>
      <c r="F75" s="44"/>
      <c r="G75" s="44"/>
      <c r="H75" s="44"/>
      <c r="I75" s="44"/>
      <c r="J75" s="44"/>
    </row>
    <row r="76" customFormat="false" ht="15" hidden="false" customHeight="true" outlineLevel="0" collapsed="false">
      <c r="A76" s="45" t="s">
        <v>272</v>
      </c>
      <c r="B76" s="45"/>
      <c r="C76" s="45"/>
      <c r="D76" s="45" t="s">
        <v>273</v>
      </c>
      <c r="E76" s="45" t="s">
        <v>274</v>
      </c>
      <c r="F76" s="45" t="s">
        <v>275</v>
      </c>
      <c r="G76" s="45" t="s">
        <v>276</v>
      </c>
      <c r="H76" s="45" t="s">
        <v>277</v>
      </c>
      <c r="I76" s="45" t="s">
        <v>278</v>
      </c>
      <c r="J76" s="45" t="s">
        <v>279</v>
      </c>
    </row>
    <row r="77" customFormat="false" ht="15.75" hidden="false" customHeight="true" outlineLevel="0" collapsed="false">
      <c r="A77" s="20" t="s">
        <v>280</v>
      </c>
      <c r="B77" s="21"/>
      <c r="C77" s="21"/>
      <c r="D77" s="21" t="s">
        <v>281</v>
      </c>
      <c r="E77" s="20" t="s">
        <v>282</v>
      </c>
      <c r="F77" s="46" t="n">
        <v>0.08</v>
      </c>
      <c r="G77" s="46" t="n">
        <v>0.1</v>
      </c>
      <c r="H77" s="22" t="n">
        <f aca="false">IFERROR(F77*H73,0)</f>
        <v>202289.88</v>
      </c>
      <c r="I77" s="22" t="n">
        <f aca="false">IFERROR(G77*I73,0)</f>
        <v>315367.65</v>
      </c>
      <c r="J77" s="21" t="s">
        <v>283</v>
      </c>
    </row>
    <row r="78" customFormat="false" ht="15.75" hidden="false" customHeight="true" outlineLevel="0" collapsed="false">
      <c r="A78" s="24" t="s">
        <v>284</v>
      </c>
      <c r="B78" s="25"/>
      <c r="C78" s="25"/>
      <c r="D78" s="25" t="s">
        <v>285</v>
      </c>
      <c r="E78" s="24" t="s">
        <v>282</v>
      </c>
      <c r="F78" s="47" t="n">
        <v>0.08</v>
      </c>
      <c r="G78" s="47" t="n">
        <v>0.12</v>
      </c>
      <c r="H78" s="26" t="n">
        <f aca="false">IFERROR(F78*H73,0)</f>
        <v>202289.88</v>
      </c>
      <c r="I78" s="26" t="n">
        <f aca="false">IFERROR(G78*I73,0)</f>
        <v>378441.18</v>
      </c>
      <c r="J78" s="25" t="s">
        <v>286</v>
      </c>
    </row>
    <row r="79" customFormat="false" ht="18" hidden="false" customHeight="true" outlineLevel="0" collapsed="false">
      <c r="A79" s="42" t="s">
        <v>287</v>
      </c>
      <c r="B79" s="42"/>
      <c r="C79" s="42"/>
      <c r="D79" s="42"/>
      <c r="E79" s="42"/>
      <c r="F79" s="42"/>
      <c r="G79" s="42"/>
      <c r="H79" s="43" t="n">
        <f aca="false">H73+H77+H78</f>
        <v>2933203.26</v>
      </c>
      <c r="I79" s="43" t="n">
        <f aca="false">I73+I77+I78</f>
        <v>3847485.33</v>
      </c>
    </row>
    <row r="80" customFormat="false" ht="15.75" hidden="false" customHeight="true" outlineLevel="0" collapsed="false">
      <c r="A80" s="24" t="s">
        <v>288</v>
      </c>
      <c r="B80" s="25"/>
      <c r="C80" s="25"/>
      <c r="D80" s="25" t="s">
        <v>289</v>
      </c>
      <c r="E80" s="24" t="s">
        <v>290</v>
      </c>
      <c r="F80" s="47" t="n">
        <v>0.05</v>
      </c>
      <c r="G80" s="47" t="n">
        <v>0.15</v>
      </c>
      <c r="H80" s="26" t="n">
        <f aca="false">IFERROR(F80*H79,0)</f>
        <v>146660.163</v>
      </c>
      <c r="I80" s="26" t="n">
        <f aca="false">IFERROR(G80*I79,0)</f>
        <v>577122.7995</v>
      </c>
      <c r="J80" s="25" t="s">
        <v>291</v>
      </c>
    </row>
    <row r="81" customFormat="false" ht="15.75" hidden="false" customHeight="true" outlineLevel="0" collapsed="false">
      <c r="A81" s="20" t="s">
        <v>292</v>
      </c>
      <c r="B81" s="21"/>
      <c r="C81" s="21"/>
      <c r="D81" s="21" t="s">
        <v>293</v>
      </c>
      <c r="E81" s="20" t="s">
        <v>290</v>
      </c>
      <c r="F81" s="46" t="n">
        <v>0.02</v>
      </c>
      <c r="G81" s="46" t="n">
        <v>0.04</v>
      </c>
      <c r="H81" s="22" t="n">
        <f aca="false">IFERROR(F81*H79,0)</f>
        <v>58664.0652</v>
      </c>
      <c r="I81" s="22" t="n">
        <f aca="false">IFERROR(G81*I79,0)</f>
        <v>153899.4132</v>
      </c>
      <c r="J81" s="21" t="s">
        <v>294</v>
      </c>
    </row>
    <row r="82" customFormat="false" ht="15.75" hidden="false" customHeight="true" outlineLevel="0" collapsed="false">
      <c r="A82" s="48" t="s">
        <v>295</v>
      </c>
      <c r="B82" s="49"/>
      <c r="C82" s="49"/>
      <c r="D82" s="49" t="s">
        <v>296</v>
      </c>
      <c r="E82" s="48" t="s">
        <v>282</v>
      </c>
      <c r="F82" s="50" t="n">
        <v>0.05</v>
      </c>
      <c r="G82" s="50" t="n">
        <v>0.1</v>
      </c>
      <c r="H82" s="51" t="n">
        <f aca="false">IFERROR(F82*H73,0)</f>
        <v>126431.175</v>
      </c>
      <c r="I82" s="51" t="n">
        <f aca="false">IFERROR(G82*I73,0)</f>
        <v>315367.65</v>
      </c>
      <c r="J82" s="49" t="s">
        <v>297</v>
      </c>
    </row>
    <row r="83" customFormat="false" ht="15.75" hidden="false" customHeight="true" outlineLevel="0" collapsed="false">
      <c r="A83" s="52" t="s">
        <v>298</v>
      </c>
      <c r="B83" s="53"/>
      <c r="C83" s="53"/>
      <c r="D83" s="53" t="s">
        <v>299</v>
      </c>
      <c r="E83" s="52" t="s">
        <v>282</v>
      </c>
      <c r="F83" s="54" t="n">
        <v>0.05</v>
      </c>
      <c r="G83" s="54" t="n">
        <v>0.05</v>
      </c>
      <c r="H83" s="55" t="n">
        <f aca="false">IFERROR(0.05*H73,0)</f>
        <v>126431.175</v>
      </c>
      <c r="I83" s="55" t="n">
        <f aca="false">IFERROR(0.05*I73,0)</f>
        <v>157683.825</v>
      </c>
      <c r="J83" s="53" t="s">
        <v>300</v>
      </c>
    </row>
    <row r="84" customFormat="false" ht="15.75" hidden="false" customHeight="true" outlineLevel="0" collapsed="false">
      <c r="A84" s="24" t="s">
        <v>301</v>
      </c>
      <c r="B84" s="25"/>
      <c r="C84" s="25"/>
      <c r="D84" s="25" t="s">
        <v>302</v>
      </c>
      <c r="E84" s="24" t="s">
        <v>282</v>
      </c>
      <c r="F84" s="47" t="n">
        <v>0.02</v>
      </c>
      <c r="G84" s="47" t="n">
        <v>0.12</v>
      </c>
      <c r="H84" s="26" t="n">
        <f aca="false">IFERROR(F84*H73,0)</f>
        <v>50572.47</v>
      </c>
      <c r="I84" s="26" t="n">
        <f aca="false">IFERROR(G84*I73,0)</f>
        <v>378441.18</v>
      </c>
      <c r="J84" s="25" t="s">
        <v>303</v>
      </c>
    </row>
    <row r="85" customFormat="false" ht="21.75" hidden="false" customHeight="true" outlineLevel="0" collapsed="false">
      <c r="A85" s="56" t="s">
        <v>304</v>
      </c>
      <c r="B85" s="56"/>
      <c r="C85" s="56"/>
      <c r="D85" s="56"/>
      <c r="E85" s="56"/>
      <c r="F85" s="56"/>
      <c r="G85" s="56"/>
      <c r="H85" s="57" t="n">
        <f aca="false">H79+H80+H81+H82+H83+H84</f>
        <v>3441962.3082</v>
      </c>
      <c r="I85" s="57" t="n">
        <f aca="false">I79+I80+I81+I82+I83+I84</f>
        <v>5430000.1977</v>
      </c>
    </row>
    <row r="86" customFormat="false" ht="15.75" hidden="false" customHeight="true" outlineLevel="0" collapsed="false">
      <c r="A86" s="58" t="s">
        <v>305</v>
      </c>
      <c r="B86" s="59"/>
      <c r="C86" s="59"/>
      <c r="D86" s="59" t="s">
        <v>306</v>
      </c>
      <c r="E86" s="58" t="s">
        <v>307</v>
      </c>
      <c r="F86" s="60" t="n">
        <v>0.2</v>
      </c>
      <c r="G86" s="60" t="n">
        <v>0.2</v>
      </c>
      <c r="H86" s="61" t="n">
        <f aca="false">IFERROR(0.2*H85,0)</f>
        <v>688392.46164</v>
      </c>
      <c r="I86" s="61" t="n">
        <f aca="false">IFERROR(0.2*I85,0)</f>
        <v>1086000.03954</v>
      </c>
      <c r="J86" s="59" t="s">
        <v>308</v>
      </c>
    </row>
    <row r="87" customFormat="false" ht="7.5" hidden="false" customHeight="true" outlineLevel="0" collapsed="false"/>
    <row r="88" customFormat="false" ht="15.75" hidden="false" customHeight="true" outlineLevel="0" collapsed="false">
      <c r="A88" s="62" t="s">
        <v>309</v>
      </c>
      <c r="B88" s="62"/>
      <c r="C88" s="62"/>
      <c r="D88" s="62"/>
      <c r="E88" s="63" t="n">
        <f aca="false">IFERROR(H73/$B$5,0)</f>
        <v>5057.247</v>
      </c>
      <c r="F88" s="64"/>
      <c r="G88" s="65" t="n">
        <f aca="false">IFERROR(I73/$B$5,0)</f>
        <v>6307.353</v>
      </c>
      <c r="H88" s="64"/>
      <c r="I88" s="64"/>
      <c r="J88" s="64"/>
    </row>
    <row r="89" customFormat="false" ht="7.5" hidden="false" customHeight="true" outlineLevel="0" collapsed="false"/>
    <row r="90" customFormat="false" ht="27.75" hidden="false" customHeight="true" outlineLevel="0" collapsed="false">
      <c r="A90" s="66" t="s">
        <v>310</v>
      </c>
      <c r="B90" s="66"/>
      <c r="C90" s="66"/>
      <c r="D90" s="66"/>
      <c r="E90" s="66"/>
      <c r="F90" s="66"/>
      <c r="G90" s="66"/>
      <c r="H90" s="66"/>
      <c r="I90" s="66"/>
      <c r="J90" s="66"/>
    </row>
  </sheetData>
  <mergeCells count="17">
    <mergeCell ref="A1:I1"/>
    <mergeCell ref="A2:I2"/>
    <mergeCell ref="A8:J8"/>
    <mergeCell ref="A13:J13"/>
    <mergeCell ref="A18:J18"/>
    <mergeCell ref="A27:J27"/>
    <mergeCell ref="A31:J31"/>
    <mergeCell ref="A36:J36"/>
    <mergeCell ref="A54:J54"/>
    <mergeCell ref="A57:J57"/>
    <mergeCell ref="A63:J63"/>
    <mergeCell ref="A73:G73"/>
    <mergeCell ref="A75:J75"/>
    <mergeCell ref="A79:G79"/>
    <mergeCell ref="A85:G85"/>
    <mergeCell ref="A88:D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50"/>
    <col collapsed="false" customWidth="true" hidden="false" outlineLevel="0" max="4" min="4" style="1" width="8"/>
    <col collapsed="false" customWidth="true" hidden="false" outlineLevel="0" max="7" min="5" style="1" width="14"/>
    <col collapsed="false" customWidth="true" hidden="false" outlineLevel="0" max="9" min="8" style="1" width="17"/>
    <col collapsed="false" customWidth="true" hidden="false" outlineLevel="0" max="10" min="10" style="1" width="40"/>
  </cols>
  <sheetData>
    <row r="1" customFormat="false" ht="21.75" hidden="false" customHeight="true" outlineLevel="0" collapsed="false">
      <c r="A1" s="29" t="s">
        <v>317</v>
      </c>
      <c r="B1" s="29"/>
      <c r="C1" s="29"/>
      <c r="D1" s="29"/>
      <c r="E1" s="29"/>
      <c r="F1" s="29"/>
      <c r="G1" s="29"/>
      <c r="H1" s="29"/>
      <c r="I1" s="29"/>
    </row>
    <row r="2" customFormat="false" ht="19.5" hidden="false" customHeight="true" outlineLevel="0" collapsed="false">
      <c r="A2" s="30" t="s">
        <v>318</v>
      </c>
      <c r="B2" s="30"/>
      <c r="C2" s="30"/>
      <c r="D2" s="30"/>
      <c r="E2" s="30"/>
      <c r="F2" s="30"/>
      <c r="G2" s="30"/>
      <c r="H2" s="30"/>
      <c r="I2" s="30"/>
    </row>
    <row r="3" customFormat="false" ht="6" hidden="false" customHeight="true" outlineLevel="0" collapsed="false"/>
    <row r="4" customFormat="false" ht="15" hidden="false" customHeight="true" outlineLevel="0" collapsed="false">
      <c r="A4" s="31" t="s">
        <v>246</v>
      </c>
      <c r="B4" s="32" t="s">
        <v>319</v>
      </c>
      <c r="D4" s="31" t="s">
        <v>248</v>
      </c>
      <c r="E4" s="32" t="s">
        <v>320</v>
      </c>
      <c r="G4" s="31" t="s">
        <v>250</v>
      </c>
      <c r="H4" s="33" t="s">
        <v>251</v>
      </c>
    </row>
    <row r="5" customFormat="false" ht="18" hidden="false" customHeight="true" outlineLevel="0" collapsed="false">
      <c r="A5" s="31" t="s">
        <v>252</v>
      </c>
      <c r="B5" s="34" t="n">
        <v>500</v>
      </c>
      <c r="D5" s="31" t="s">
        <v>253</v>
      </c>
      <c r="E5" s="35" t="n">
        <v>0.94</v>
      </c>
      <c r="G5" s="31" t="s">
        <v>254</v>
      </c>
      <c r="H5" s="35" t="n">
        <v>0.22</v>
      </c>
    </row>
    <row r="6" customFormat="false" ht="6" hidden="false" customHeight="true" outlineLevel="0" collapsed="false"/>
    <row r="7" customFormat="false" ht="27.75" hidden="false" customHeight="true" outlineLevel="0" collapsed="false">
      <c r="A7" s="18" t="s">
        <v>41</v>
      </c>
      <c r="B7" s="18" t="s">
        <v>42</v>
      </c>
      <c r="C7" s="18" t="s">
        <v>43</v>
      </c>
      <c r="D7" s="18" t="s">
        <v>44</v>
      </c>
      <c r="E7" s="18" t="s">
        <v>255</v>
      </c>
      <c r="F7" s="18" t="s">
        <v>256</v>
      </c>
      <c r="G7" s="18" t="s">
        <v>257</v>
      </c>
      <c r="H7" s="18" t="s">
        <v>258</v>
      </c>
      <c r="I7" s="18" t="s">
        <v>259</v>
      </c>
      <c r="J7" s="18" t="s">
        <v>53</v>
      </c>
    </row>
    <row r="8" customFormat="false" ht="15.75" hidden="false" customHeight="true" outlineLevel="0" collapsed="false">
      <c r="A8" s="36" t="s">
        <v>260</v>
      </c>
      <c r="B8" s="36"/>
      <c r="C8" s="36"/>
      <c r="D8" s="36"/>
      <c r="E8" s="36"/>
      <c r="F8" s="36"/>
      <c r="G8" s="36"/>
      <c r="H8" s="36"/>
      <c r="I8" s="36"/>
      <c r="J8" s="36"/>
    </row>
    <row r="9" customFormat="false" ht="13.5" hidden="false" customHeight="true" outlineLevel="0" collapsed="false">
      <c r="A9" s="20" t="s">
        <v>55</v>
      </c>
      <c r="B9" s="20" t="s">
        <v>56</v>
      </c>
      <c r="C9" s="21" t="s">
        <v>57</v>
      </c>
      <c r="D9" s="20" t="s">
        <v>58</v>
      </c>
      <c r="E9" s="22" t="n">
        <f aca="false">IFERROR('Rates Reference Table'!H6*$E$5,0)</f>
        <v>9.4</v>
      </c>
      <c r="F9" s="22" t="n">
        <f aca="false">IFERROR(E9*(1-$H$5/2),0)</f>
        <v>8.366</v>
      </c>
      <c r="G9" s="22" t="n">
        <f aca="false">IFERROR(E9*(1+$H$5/2),0)</f>
        <v>10.434</v>
      </c>
      <c r="H9" s="22" t="n">
        <f aca="false">IFERROR(F9*$B$5,0)</f>
        <v>4183</v>
      </c>
      <c r="I9" s="22" t="n">
        <f aca="false">IFERROR(G9*$B$5,0)</f>
        <v>5217</v>
      </c>
      <c r="J9" s="21" t="s">
        <v>59</v>
      </c>
    </row>
    <row r="10" customFormat="false" ht="13.5" hidden="false" customHeight="true" outlineLevel="0" collapsed="false">
      <c r="A10" s="24" t="s">
        <v>55</v>
      </c>
      <c r="B10" s="24" t="s">
        <v>60</v>
      </c>
      <c r="C10" s="25" t="s">
        <v>61</v>
      </c>
      <c r="D10" s="24" t="s">
        <v>58</v>
      </c>
      <c r="E10" s="26" t="n">
        <f aca="false">IFERROR('Rates Reference Table'!H7*$E$5,0)</f>
        <v>14.1</v>
      </c>
      <c r="F10" s="26" t="n">
        <f aca="false">IFERROR(E10*(1-$H$5/2),0)</f>
        <v>12.549</v>
      </c>
      <c r="G10" s="26" t="n">
        <f aca="false">IFERROR(E10*(1+$H$5/2),0)</f>
        <v>15.651</v>
      </c>
      <c r="H10" s="26" t="n">
        <f aca="false">IFERROR(F10*$B$5,0)</f>
        <v>6274.5</v>
      </c>
      <c r="I10" s="26" t="n">
        <f aca="false">IFERROR(G10*$B$5,0)</f>
        <v>7825.5</v>
      </c>
      <c r="J10" s="25" t="s">
        <v>62</v>
      </c>
    </row>
    <row r="11" customFormat="false" ht="13.5" hidden="false" customHeight="true" outlineLevel="0" collapsed="false">
      <c r="A11" s="20" t="s">
        <v>55</v>
      </c>
      <c r="B11" s="20" t="s">
        <v>63</v>
      </c>
      <c r="C11" s="21" t="s">
        <v>64</v>
      </c>
      <c r="D11" s="20" t="s">
        <v>58</v>
      </c>
      <c r="E11" s="22" t="n">
        <f aca="false">IFERROR('Rates Reference Table'!H8*$E$5,0)</f>
        <v>9.4</v>
      </c>
      <c r="F11" s="22" t="n">
        <f aca="false">IFERROR(E11*(1-$H$5/2),0)</f>
        <v>8.366</v>
      </c>
      <c r="G11" s="22" t="n">
        <f aca="false">IFERROR(E11*(1+$H$5/2),0)</f>
        <v>10.434</v>
      </c>
      <c r="H11" s="22" t="n">
        <f aca="false">IFERROR(F11*$B$5,0)</f>
        <v>4183</v>
      </c>
      <c r="I11" s="22" t="n">
        <f aca="false">IFERROR(G11*$B$5,0)</f>
        <v>5217</v>
      </c>
      <c r="J11" s="21" t="s">
        <v>65</v>
      </c>
    </row>
    <row r="12" customFormat="false" ht="13.5" hidden="false" customHeight="true" outlineLevel="0" collapsed="false">
      <c r="A12" s="24" t="s">
        <v>55</v>
      </c>
      <c r="B12" s="24" t="s">
        <v>66</v>
      </c>
      <c r="C12" s="25" t="s">
        <v>67</v>
      </c>
      <c r="D12" s="24" t="s">
        <v>58</v>
      </c>
      <c r="E12" s="26" t="n">
        <f aca="false">IFERROR('Rates Reference Table'!H9*$E$5,0)</f>
        <v>7.52</v>
      </c>
      <c r="F12" s="26" t="n">
        <f aca="false">IFERROR(E12*(1-$H$5/2),0)</f>
        <v>6.6928</v>
      </c>
      <c r="G12" s="26" t="n">
        <f aca="false">IFERROR(E12*(1+$H$5/2),0)</f>
        <v>8.3472</v>
      </c>
      <c r="H12" s="26" t="n">
        <f aca="false">IFERROR(F12*$B$5,0)</f>
        <v>3346.4</v>
      </c>
      <c r="I12" s="26" t="n">
        <f aca="false">IFERROR(G12*$B$5,0)</f>
        <v>4173.6</v>
      </c>
      <c r="J12" s="25" t="s">
        <v>68</v>
      </c>
    </row>
    <row r="13" customFormat="false" ht="15.75" hidden="false" customHeight="true" outlineLevel="0" collapsed="false">
      <c r="A13" s="36" t="s">
        <v>261</v>
      </c>
      <c r="B13" s="36"/>
      <c r="C13" s="36"/>
      <c r="D13" s="36"/>
      <c r="E13" s="36"/>
      <c r="F13" s="36"/>
      <c r="G13" s="36"/>
      <c r="H13" s="36"/>
      <c r="I13" s="36"/>
      <c r="J13" s="36"/>
    </row>
    <row r="14" customFormat="false" ht="13.5" hidden="false" customHeight="true" outlineLevel="0" collapsed="false">
      <c r="A14" s="20" t="s">
        <v>70</v>
      </c>
      <c r="B14" s="20" t="s">
        <v>71</v>
      </c>
      <c r="C14" s="21" t="s">
        <v>72</v>
      </c>
      <c r="D14" s="20" t="s">
        <v>73</v>
      </c>
      <c r="E14" s="22" t="n">
        <f aca="false">IFERROR('Rates Reference Table'!H11*$E$5,0)</f>
        <v>51.7</v>
      </c>
      <c r="F14" s="22" t="n">
        <f aca="false">IFERROR(E14*(1-$H$5/2),0)</f>
        <v>46.013</v>
      </c>
      <c r="G14" s="22" t="n">
        <f aca="false">IFERROR(E14*(1+$H$5/2),0)</f>
        <v>57.387</v>
      </c>
      <c r="H14" s="22" t="n">
        <f aca="false">IFERROR(F14*$B$5,0)</f>
        <v>23006.5</v>
      </c>
      <c r="I14" s="22" t="n">
        <f aca="false">IFERROR(G14*$B$5,0)</f>
        <v>28693.5</v>
      </c>
      <c r="J14" s="21" t="s">
        <v>74</v>
      </c>
    </row>
    <row r="15" customFormat="false" ht="13.5" hidden="false" customHeight="true" outlineLevel="0" collapsed="false">
      <c r="A15" s="24" t="s">
        <v>70</v>
      </c>
      <c r="B15" s="24" t="s">
        <v>75</v>
      </c>
      <c r="C15" s="25" t="s">
        <v>76</v>
      </c>
      <c r="D15" s="24" t="s">
        <v>73</v>
      </c>
      <c r="E15" s="26" t="n">
        <f aca="false">IFERROR('Rates Reference Table'!H12*$E$5,0)</f>
        <v>37.6</v>
      </c>
      <c r="F15" s="26" t="n">
        <f aca="false">IFERROR(E15*(1-$H$5/2),0)</f>
        <v>33.464</v>
      </c>
      <c r="G15" s="26" t="n">
        <f aca="false">IFERROR(E15*(1+$H$5/2),0)</f>
        <v>41.736</v>
      </c>
      <c r="H15" s="26" t="n">
        <f aca="false">IFERROR(F15*$B$5,0)</f>
        <v>16732</v>
      </c>
      <c r="I15" s="26" t="n">
        <f aca="false">IFERROR(G15*$B$5,0)</f>
        <v>20868</v>
      </c>
      <c r="J15" s="25" t="s">
        <v>77</v>
      </c>
    </row>
    <row r="16" customFormat="false" ht="13.5" hidden="false" customHeight="true" outlineLevel="0" collapsed="false">
      <c r="A16" s="20" t="s">
        <v>70</v>
      </c>
      <c r="B16" s="20" t="s">
        <v>78</v>
      </c>
      <c r="C16" s="21" t="s">
        <v>79</v>
      </c>
      <c r="D16" s="20" t="s">
        <v>73</v>
      </c>
      <c r="E16" s="22" t="n">
        <f aca="false">IFERROR('Rates Reference Table'!H13*$E$5,0)</f>
        <v>32.9</v>
      </c>
      <c r="F16" s="22" t="n">
        <f aca="false">IFERROR(E16*(1-$H$5/2),0)</f>
        <v>29.281</v>
      </c>
      <c r="G16" s="22" t="n">
        <f aca="false">IFERROR(E16*(1+$H$5/2),0)</f>
        <v>36.519</v>
      </c>
      <c r="H16" s="22" t="n">
        <f aca="false">IFERROR(F16*$B$5,0)</f>
        <v>14640.5</v>
      </c>
      <c r="I16" s="22" t="n">
        <f aca="false">IFERROR(G16*$B$5,0)</f>
        <v>18259.5</v>
      </c>
      <c r="J16" s="21" t="s">
        <v>80</v>
      </c>
    </row>
    <row r="17" customFormat="false" ht="13.5" hidden="false" customHeight="true" outlineLevel="0" collapsed="false">
      <c r="A17" s="24" t="s">
        <v>70</v>
      </c>
      <c r="B17" s="24" t="s">
        <v>81</v>
      </c>
      <c r="C17" s="25" t="s">
        <v>82</v>
      </c>
      <c r="D17" s="24" t="s">
        <v>58</v>
      </c>
      <c r="E17" s="26" t="n">
        <f aca="false">IFERROR('Rates Reference Table'!H14*$E$5,0)</f>
        <v>75.2</v>
      </c>
      <c r="F17" s="26" t="n">
        <f aca="false">IFERROR(E17*(1-$H$5/2),0)</f>
        <v>66.928</v>
      </c>
      <c r="G17" s="26" t="n">
        <f aca="false">IFERROR(E17*(1+$H$5/2),0)</f>
        <v>83.472</v>
      </c>
      <c r="H17" s="26" t="n">
        <f aca="false">IFERROR(F17*$B$5,0)</f>
        <v>33464</v>
      </c>
      <c r="I17" s="26" t="n">
        <f aca="false">IFERROR(G17*$B$5,0)</f>
        <v>41736</v>
      </c>
      <c r="J17" s="25" t="s">
        <v>83</v>
      </c>
    </row>
    <row r="18" customFormat="false" ht="15.75" hidden="false" customHeight="true" outlineLevel="0" collapsed="false">
      <c r="A18" s="36" t="s">
        <v>263</v>
      </c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13.5" hidden="false" customHeight="true" outlineLevel="0" collapsed="false">
      <c r="A19" s="20" t="s">
        <v>85</v>
      </c>
      <c r="B19" s="20" t="s">
        <v>86</v>
      </c>
      <c r="C19" s="21" t="s">
        <v>87</v>
      </c>
      <c r="D19" s="20" t="s">
        <v>73</v>
      </c>
      <c r="E19" s="22" t="n">
        <f aca="false">IFERROR('Rates Reference Table'!H16*$E$5,0)</f>
        <v>141</v>
      </c>
      <c r="F19" s="22" t="n">
        <f aca="false">IFERROR(E19*(1-$H$5/2),0)</f>
        <v>125.49</v>
      </c>
      <c r="G19" s="22" t="n">
        <f aca="false">IFERROR(E19*(1+$H$5/2),0)</f>
        <v>156.51</v>
      </c>
      <c r="H19" s="22" t="n">
        <f aca="false">IFERROR(F19*$B$5,0)</f>
        <v>62745</v>
      </c>
      <c r="I19" s="22" t="n">
        <f aca="false">IFERROR(G19*$B$5,0)</f>
        <v>78255</v>
      </c>
      <c r="J19" s="21" t="s">
        <v>88</v>
      </c>
    </row>
    <row r="20" customFormat="false" ht="13.5" hidden="false" customHeight="true" outlineLevel="0" collapsed="false">
      <c r="A20" s="24" t="s">
        <v>85</v>
      </c>
      <c r="B20" s="24" t="s">
        <v>89</v>
      </c>
      <c r="C20" s="25" t="s">
        <v>90</v>
      </c>
      <c r="D20" s="24" t="s">
        <v>73</v>
      </c>
      <c r="E20" s="26" t="n">
        <f aca="false">IFERROR('Rates Reference Table'!H17*$E$5,0)</f>
        <v>61.1</v>
      </c>
      <c r="F20" s="26" t="n">
        <f aca="false">IFERROR(E20*(1-$H$5/2),0)</f>
        <v>54.379</v>
      </c>
      <c r="G20" s="26" t="n">
        <f aca="false">IFERROR(E20*(1+$H$5/2),0)</f>
        <v>67.821</v>
      </c>
      <c r="H20" s="26" t="n">
        <f aca="false">IFERROR(F20*$B$5,0)</f>
        <v>27189.5</v>
      </c>
      <c r="I20" s="26" t="n">
        <f aca="false">IFERROR(G20*$B$5,0)</f>
        <v>33910.5</v>
      </c>
      <c r="J20" s="25" t="s">
        <v>91</v>
      </c>
    </row>
    <row r="21" customFormat="false" ht="13.5" hidden="false" customHeight="true" outlineLevel="0" collapsed="false">
      <c r="A21" s="20" t="s">
        <v>85</v>
      </c>
      <c r="B21" s="20" t="s">
        <v>92</v>
      </c>
      <c r="C21" s="21" t="s">
        <v>93</v>
      </c>
      <c r="D21" s="20" t="s">
        <v>73</v>
      </c>
      <c r="E21" s="22" t="n">
        <f aca="false">IFERROR('Rates Reference Table'!H18*$E$5,0)</f>
        <v>70.5</v>
      </c>
      <c r="F21" s="22" t="n">
        <f aca="false">IFERROR(E21*(1-$H$5/2),0)</f>
        <v>62.745</v>
      </c>
      <c r="G21" s="22" t="n">
        <f aca="false">IFERROR(E21*(1+$H$5/2),0)</f>
        <v>78.255</v>
      </c>
      <c r="H21" s="22" t="n">
        <f aca="false">IFERROR(F21*$B$5,0)</f>
        <v>31372.5</v>
      </c>
      <c r="I21" s="22" t="n">
        <f aca="false">IFERROR(G21*$B$5,0)</f>
        <v>39127.5</v>
      </c>
      <c r="J21" s="21" t="s">
        <v>94</v>
      </c>
    </row>
    <row r="22" customFormat="false" ht="13.5" hidden="false" customHeight="true" outlineLevel="0" collapsed="false">
      <c r="A22" s="24" t="s">
        <v>85</v>
      </c>
      <c r="B22" s="24" t="s">
        <v>95</v>
      </c>
      <c r="C22" s="25" t="s">
        <v>96</v>
      </c>
      <c r="D22" s="24" t="s">
        <v>58</v>
      </c>
      <c r="E22" s="26" t="n">
        <f aca="false">IFERROR('Rates Reference Table'!H19*$E$5,0)</f>
        <v>18.8</v>
      </c>
      <c r="F22" s="26" t="n">
        <f aca="false">IFERROR(E22*(1-$H$5/2),0)</f>
        <v>16.732</v>
      </c>
      <c r="G22" s="26" t="n">
        <f aca="false">IFERROR(E22*(1+$H$5/2),0)</f>
        <v>20.868</v>
      </c>
      <c r="H22" s="26" t="n">
        <f aca="false">IFERROR(F22*$B$5,0)</f>
        <v>8366</v>
      </c>
      <c r="I22" s="26" t="n">
        <f aca="false">IFERROR(G22*$B$5,0)</f>
        <v>10434</v>
      </c>
      <c r="J22" s="25" t="s">
        <v>97</v>
      </c>
    </row>
    <row r="23" customFormat="false" ht="13.5" hidden="false" customHeight="true" outlineLevel="0" collapsed="false">
      <c r="A23" s="20" t="s">
        <v>85</v>
      </c>
      <c r="B23" s="20" t="s">
        <v>98</v>
      </c>
      <c r="C23" s="21" t="s">
        <v>99</v>
      </c>
      <c r="D23" s="20" t="s">
        <v>73</v>
      </c>
      <c r="E23" s="22" t="n">
        <f aca="false">IFERROR('Rates Reference Table'!H20*$E$5,0)</f>
        <v>188</v>
      </c>
      <c r="F23" s="22" t="n">
        <f aca="false">IFERROR(E23*(1-$H$5/2),0)</f>
        <v>167.32</v>
      </c>
      <c r="G23" s="22" t="n">
        <f aca="false">IFERROR(E23*(1+$H$5/2),0)</f>
        <v>208.68</v>
      </c>
      <c r="H23" s="22" t="n">
        <f aca="false">IFERROR(F23*$B$5,0)</f>
        <v>83660</v>
      </c>
      <c r="I23" s="22" t="n">
        <f aca="false">IFERROR(G23*$B$5,0)</f>
        <v>104340</v>
      </c>
      <c r="J23" s="21" t="s">
        <v>100</v>
      </c>
    </row>
    <row r="24" customFormat="false" ht="13.5" hidden="false" customHeight="true" outlineLevel="0" collapsed="false">
      <c r="A24" s="24" t="s">
        <v>85</v>
      </c>
      <c r="B24" s="24" t="s">
        <v>101</v>
      </c>
      <c r="C24" s="25" t="s">
        <v>102</v>
      </c>
      <c r="D24" s="24" t="s">
        <v>73</v>
      </c>
      <c r="E24" s="26" t="n">
        <f aca="false">IFERROR('Rates Reference Table'!H21*$E$5,0)</f>
        <v>94</v>
      </c>
      <c r="F24" s="26" t="n">
        <f aca="false">IFERROR(E24*(1-$H$5/2),0)</f>
        <v>83.66</v>
      </c>
      <c r="G24" s="26" t="n">
        <f aca="false">IFERROR(E24*(1+$H$5/2),0)</f>
        <v>104.34</v>
      </c>
      <c r="H24" s="26" t="n">
        <f aca="false">IFERROR(F24*$B$5,0)</f>
        <v>41830</v>
      </c>
      <c r="I24" s="26" t="n">
        <f aca="false">IFERROR(G24*$B$5,0)</f>
        <v>52170</v>
      </c>
      <c r="J24" s="25" t="s">
        <v>103</v>
      </c>
    </row>
    <row r="25" customFormat="false" ht="13.5" hidden="false" customHeight="true" outlineLevel="0" collapsed="false">
      <c r="A25" s="20" t="s">
        <v>85</v>
      </c>
      <c r="B25" s="20" t="s">
        <v>104</v>
      </c>
      <c r="C25" s="21" t="s">
        <v>105</v>
      </c>
      <c r="D25" s="20" t="s">
        <v>73</v>
      </c>
      <c r="E25" s="22" t="n">
        <f aca="false">IFERROR('Rates Reference Table'!H22*$E$5,0)</f>
        <v>28.2</v>
      </c>
      <c r="F25" s="22" t="n">
        <f aca="false">IFERROR(E25*(1-$H$5/2),0)</f>
        <v>25.098</v>
      </c>
      <c r="G25" s="22" t="n">
        <f aca="false">IFERROR(E25*(1+$H$5/2),0)</f>
        <v>31.302</v>
      </c>
      <c r="H25" s="22" t="n">
        <f aca="false">IFERROR(F25*$B$5,0)</f>
        <v>12549</v>
      </c>
      <c r="I25" s="22" t="n">
        <f aca="false">IFERROR(G25*$B$5,0)</f>
        <v>15651</v>
      </c>
      <c r="J25" s="21" t="s">
        <v>106</v>
      </c>
    </row>
    <row r="26" customFormat="false" ht="13.5" hidden="false" customHeight="true" outlineLevel="0" collapsed="false">
      <c r="A26" s="24" t="s">
        <v>85</v>
      </c>
      <c r="B26" s="24" t="s">
        <v>107</v>
      </c>
      <c r="C26" s="25" t="s">
        <v>108</v>
      </c>
      <c r="D26" s="24" t="s">
        <v>109</v>
      </c>
      <c r="E26" s="26" t="n">
        <f aca="false">IFERROR('Rates Reference Table'!H23*$E$5,0)</f>
        <v>18.8</v>
      </c>
      <c r="F26" s="26" t="n">
        <f aca="false">IFERROR(E26*(1-$H$5/2),0)</f>
        <v>16.732</v>
      </c>
      <c r="G26" s="26" t="n">
        <f aca="false">IFERROR(E26*(1+$H$5/2),0)</f>
        <v>20.868</v>
      </c>
      <c r="H26" s="26" t="n">
        <f aca="false">IFERROR(F26*$B$5,0)</f>
        <v>8366</v>
      </c>
      <c r="I26" s="26" t="n">
        <f aca="false">IFERROR(G26*$B$5,0)</f>
        <v>10434</v>
      </c>
      <c r="J26" s="25" t="s">
        <v>110</v>
      </c>
    </row>
    <row r="27" customFormat="false" ht="15.75" hidden="false" customHeight="true" outlineLevel="0" collapsed="false">
      <c r="A27" s="36" t="s">
        <v>264</v>
      </c>
      <c r="B27" s="36"/>
      <c r="C27" s="36"/>
      <c r="D27" s="36"/>
      <c r="E27" s="36"/>
      <c r="F27" s="36"/>
      <c r="G27" s="36"/>
      <c r="H27" s="36"/>
      <c r="I27" s="36"/>
      <c r="J27" s="36"/>
    </row>
    <row r="28" customFormat="false" ht="13.5" hidden="false" customHeight="true" outlineLevel="0" collapsed="false">
      <c r="A28" s="20" t="s">
        <v>112</v>
      </c>
      <c r="B28" s="20" t="s">
        <v>113</v>
      </c>
      <c r="C28" s="21" t="s">
        <v>114</v>
      </c>
      <c r="D28" s="20" t="s">
        <v>73</v>
      </c>
      <c r="E28" s="22" t="n">
        <f aca="false">IFERROR('Rates Reference Table'!H25*$E$5,0)</f>
        <v>23.5</v>
      </c>
      <c r="F28" s="22" t="n">
        <f aca="false">IFERROR(E28*(1-$H$5/2),0)</f>
        <v>20.915</v>
      </c>
      <c r="G28" s="22" t="n">
        <f aca="false">IFERROR(E28*(1+$H$5/2),0)</f>
        <v>26.085</v>
      </c>
      <c r="H28" s="22" t="n">
        <f aca="false">IFERROR(F28*$B$5,0)</f>
        <v>10457.5</v>
      </c>
      <c r="I28" s="22" t="n">
        <f aca="false">IFERROR(G28*$B$5,0)</f>
        <v>13042.5</v>
      </c>
      <c r="J28" s="21" t="s">
        <v>115</v>
      </c>
    </row>
    <row r="29" customFormat="false" ht="13.5" hidden="false" customHeight="true" outlineLevel="0" collapsed="false">
      <c r="A29" s="24" t="s">
        <v>112</v>
      </c>
      <c r="B29" s="24" t="s">
        <v>116</v>
      </c>
      <c r="C29" s="25" t="s">
        <v>117</v>
      </c>
      <c r="D29" s="24" t="s">
        <v>73</v>
      </c>
      <c r="E29" s="26" t="n">
        <f aca="false">IFERROR('Rates Reference Table'!H26*$E$5,0)</f>
        <v>28.2</v>
      </c>
      <c r="F29" s="26" t="n">
        <f aca="false">IFERROR(E29*(1-$H$5/2),0)</f>
        <v>25.098</v>
      </c>
      <c r="G29" s="26" t="n">
        <f aca="false">IFERROR(E29*(1+$H$5/2),0)</f>
        <v>31.302</v>
      </c>
      <c r="H29" s="26" t="n">
        <f aca="false">IFERROR(F29*$B$5,0)</f>
        <v>12549</v>
      </c>
      <c r="I29" s="26" t="n">
        <f aca="false">IFERROR(G29*$B$5,0)</f>
        <v>15651</v>
      </c>
      <c r="J29" s="25" t="s">
        <v>118</v>
      </c>
    </row>
    <row r="30" customFormat="false" ht="13.5" hidden="false" customHeight="true" outlineLevel="0" collapsed="false">
      <c r="A30" s="20" t="s">
        <v>112</v>
      </c>
      <c r="B30" s="20" t="s">
        <v>119</v>
      </c>
      <c r="C30" s="21" t="s">
        <v>120</v>
      </c>
      <c r="D30" s="20" t="s">
        <v>73</v>
      </c>
      <c r="E30" s="22" t="n">
        <f aca="false">IFERROR('Rates Reference Table'!H27*$E$5,0)</f>
        <v>14.1</v>
      </c>
      <c r="F30" s="22" t="n">
        <f aca="false">IFERROR(E30*(1-$H$5/2),0)</f>
        <v>12.549</v>
      </c>
      <c r="G30" s="22" t="n">
        <f aca="false">IFERROR(E30*(1+$H$5/2),0)</f>
        <v>15.651</v>
      </c>
      <c r="H30" s="22" t="n">
        <f aca="false">IFERROR(F30*$B$5,0)</f>
        <v>6274.5</v>
      </c>
      <c r="I30" s="22" t="n">
        <f aca="false">IFERROR(G30*$B$5,0)</f>
        <v>7825.5</v>
      </c>
      <c r="J30" s="21" t="s">
        <v>121</v>
      </c>
    </row>
    <row r="31" customFormat="false" ht="15.75" hidden="false" customHeight="true" outlineLevel="0" collapsed="false">
      <c r="A31" s="36" t="s">
        <v>265</v>
      </c>
      <c r="B31" s="36"/>
      <c r="C31" s="36"/>
      <c r="D31" s="36"/>
      <c r="E31" s="36"/>
      <c r="F31" s="36"/>
      <c r="G31" s="36"/>
      <c r="H31" s="36"/>
      <c r="I31" s="36"/>
      <c r="J31" s="36"/>
    </row>
    <row r="32" customFormat="false" ht="13.5" hidden="false" customHeight="true" outlineLevel="0" collapsed="false">
      <c r="A32" s="20" t="s">
        <v>123</v>
      </c>
      <c r="B32" s="20" t="s">
        <v>124</v>
      </c>
      <c r="C32" s="21" t="s">
        <v>125</v>
      </c>
      <c r="D32" s="20" t="s">
        <v>58</v>
      </c>
      <c r="E32" s="22" t="n">
        <f aca="false">IFERROR('Rates Reference Table'!H29*$E$5,0)</f>
        <v>14.1</v>
      </c>
      <c r="F32" s="22" t="n">
        <f aca="false">IFERROR(E32*(1-$H$5/2),0)</f>
        <v>12.549</v>
      </c>
      <c r="G32" s="22" t="n">
        <f aca="false">IFERROR(E32*(1+$H$5/2),0)</f>
        <v>15.651</v>
      </c>
      <c r="H32" s="22" t="n">
        <f aca="false">IFERROR(F32*$B$5,0)</f>
        <v>6274.5</v>
      </c>
      <c r="I32" s="22" t="n">
        <f aca="false">IFERROR(G32*$B$5,0)</f>
        <v>7825.5</v>
      </c>
      <c r="J32" s="21" t="s">
        <v>126</v>
      </c>
    </row>
    <row r="33" customFormat="false" ht="13.5" hidden="false" customHeight="true" outlineLevel="0" collapsed="false">
      <c r="A33" s="24" t="s">
        <v>123</v>
      </c>
      <c r="B33" s="24" t="s">
        <v>127</v>
      </c>
      <c r="C33" s="25" t="s">
        <v>128</v>
      </c>
      <c r="D33" s="24" t="s">
        <v>109</v>
      </c>
      <c r="E33" s="26" t="n">
        <f aca="false">IFERROR('Rates Reference Table'!H30*$E$5,0)</f>
        <v>9.4</v>
      </c>
      <c r="F33" s="26" t="n">
        <f aca="false">IFERROR(E33*(1-$H$5/2),0)</f>
        <v>8.366</v>
      </c>
      <c r="G33" s="26" t="n">
        <f aca="false">IFERROR(E33*(1+$H$5/2),0)</f>
        <v>10.434</v>
      </c>
      <c r="H33" s="26" t="n">
        <f aca="false">IFERROR(F33*$B$5,0)</f>
        <v>4183</v>
      </c>
      <c r="I33" s="26" t="n">
        <f aca="false">IFERROR(G33*$B$5,0)</f>
        <v>5217</v>
      </c>
      <c r="J33" s="25" t="s">
        <v>129</v>
      </c>
    </row>
    <row r="34" customFormat="false" ht="13.5" hidden="false" customHeight="true" outlineLevel="0" collapsed="false">
      <c r="A34" s="20" t="s">
        <v>123</v>
      </c>
      <c r="B34" s="20" t="s">
        <v>130</v>
      </c>
      <c r="C34" s="21" t="s">
        <v>131</v>
      </c>
      <c r="D34" s="20" t="s">
        <v>58</v>
      </c>
      <c r="E34" s="22" t="n">
        <f aca="false">IFERROR('Rates Reference Table'!H31*$E$5,0)</f>
        <v>7.52</v>
      </c>
      <c r="F34" s="22" t="n">
        <f aca="false">IFERROR(E34*(1-$H$5/2),0)</f>
        <v>6.6928</v>
      </c>
      <c r="G34" s="22" t="n">
        <f aca="false">IFERROR(E34*(1+$H$5/2),0)</f>
        <v>8.3472</v>
      </c>
      <c r="H34" s="22" t="n">
        <f aca="false">IFERROR(F34*$B$5,0)</f>
        <v>3346.4</v>
      </c>
      <c r="I34" s="22" t="n">
        <f aca="false">IFERROR(G34*$B$5,0)</f>
        <v>4173.6</v>
      </c>
      <c r="J34" s="21" t="s">
        <v>132</v>
      </c>
    </row>
    <row r="35" customFormat="false" ht="13.5" hidden="false" customHeight="true" outlineLevel="0" collapsed="false">
      <c r="A35" s="24" t="s">
        <v>123</v>
      </c>
      <c r="B35" s="24" t="s">
        <v>133</v>
      </c>
      <c r="C35" s="25" t="s">
        <v>134</v>
      </c>
      <c r="D35" s="24" t="s">
        <v>58</v>
      </c>
      <c r="E35" s="26" t="n">
        <f aca="false">IFERROR('Rates Reference Table'!H32*$E$5,0)</f>
        <v>4.7</v>
      </c>
      <c r="F35" s="26" t="n">
        <f aca="false">IFERROR(E35*(1-$H$5/2),0)</f>
        <v>4.183</v>
      </c>
      <c r="G35" s="26" t="n">
        <f aca="false">IFERROR(E35*(1+$H$5/2),0)</f>
        <v>5.217</v>
      </c>
      <c r="H35" s="26" t="n">
        <f aca="false">IFERROR(F35*$B$5,0)</f>
        <v>2091.5</v>
      </c>
      <c r="I35" s="26" t="n">
        <f aca="false">IFERROR(G35*$B$5,0)</f>
        <v>2608.5</v>
      </c>
      <c r="J35" s="25" t="s">
        <v>135</v>
      </c>
    </row>
    <row r="36" customFormat="false" ht="15.75" hidden="false" customHeight="true" outlineLevel="0" collapsed="false">
      <c r="A36" s="36" t="s">
        <v>266</v>
      </c>
      <c r="B36" s="36"/>
      <c r="C36" s="36"/>
      <c r="D36" s="36"/>
      <c r="E36" s="36"/>
      <c r="F36" s="36"/>
      <c r="G36" s="36"/>
      <c r="H36" s="36"/>
      <c r="I36" s="36"/>
      <c r="J36" s="36"/>
    </row>
    <row r="37" customFormat="false" ht="13.5" hidden="false" customHeight="true" outlineLevel="0" collapsed="false">
      <c r="A37" s="20" t="s">
        <v>137</v>
      </c>
      <c r="B37" s="20" t="s">
        <v>138</v>
      </c>
      <c r="C37" s="21" t="s">
        <v>139</v>
      </c>
      <c r="D37" s="20" t="s">
        <v>73</v>
      </c>
      <c r="E37" s="22" t="n">
        <f aca="false">IFERROR('Rates Reference Table'!H34*$E$5,0)</f>
        <v>23.5</v>
      </c>
      <c r="F37" s="22" t="n">
        <f aca="false">IFERROR(E37*(1-$H$5/2),0)</f>
        <v>20.915</v>
      </c>
      <c r="G37" s="22" t="n">
        <f aca="false">IFERROR(E37*(1+$H$5/2),0)</f>
        <v>26.085</v>
      </c>
      <c r="H37" s="22" t="n">
        <f aca="false">IFERROR(F37*$B$5,0)</f>
        <v>10457.5</v>
      </c>
      <c r="I37" s="22" t="n">
        <f aca="false">IFERROR(G37*$B$5,0)</f>
        <v>13042.5</v>
      </c>
      <c r="J37" s="21" t="s">
        <v>140</v>
      </c>
    </row>
    <row r="38" customFormat="false" ht="13.5" hidden="false" customHeight="true" outlineLevel="0" collapsed="false">
      <c r="A38" s="24" t="s">
        <v>137</v>
      </c>
      <c r="B38" s="24" t="s">
        <v>141</v>
      </c>
      <c r="C38" s="25" t="s">
        <v>142</v>
      </c>
      <c r="D38" s="24" t="s">
        <v>73</v>
      </c>
      <c r="E38" s="26" t="n">
        <f aca="false">IFERROR('Rates Reference Table'!H35*$E$5,0)</f>
        <v>32.9</v>
      </c>
      <c r="F38" s="26" t="n">
        <f aca="false">IFERROR(E38*(1-$H$5/2),0)</f>
        <v>29.281</v>
      </c>
      <c r="G38" s="26" t="n">
        <f aca="false">IFERROR(E38*(1+$H$5/2),0)</f>
        <v>36.519</v>
      </c>
      <c r="H38" s="26" t="n">
        <f aca="false">IFERROR(F38*$B$5,0)</f>
        <v>14640.5</v>
      </c>
      <c r="I38" s="26" t="n">
        <f aca="false">IFERROR(G38*$B$5,0)</f>
        <v>18259.5</v>
      </c>
      <c r="J38" s="25" t="s">
        <v>143</v>
      </c>
    </row>
    <row r="39" customFormat="false" ht="13.5" hidden="false" customHeight="true" outlineLevel="0" collapsed="false">
      <c r="A39" s="20" t="s">
        <v>137</v>
      </c>
      <c r="B39" s="20" t="s">
        <v>144</v>
      </c>
      <c r="C39" s="21" t="s">
        <v>145</v>
      </c>
      <c r="D39" s="20" t="s">
        <v>73</v>
      </c>
      <c r="E39" s="22" t="n">
        <f aca="false">IFERROR('Rates Reference Table'!H36*$E$5,0)</f>
        <v>28.2</v>
      </c>
      <c r="F39" s="22" t="n">
        <f aca="false">IFERROR(E39*(1-$H$5/2),0)</f>
        <v>25.098</v>
      </c>
      <c r="G39" s="22" t="n">
        <f aca="false">IFERROR(E39*(1+$H$5/2),0)</f>
        <v>31.302</v>
      </c>
      <c r="H39" s="22" t="n">
        <f aca="false">IFERROR(F39*$B$5,0)</f>
        <v>12549</v>
      </c>
      <c r="I39" s="22" t="n">
        <f aca="false">IFERROR(G39*$B$5,0)</f>
        <v>15651</v>
      </c>
      <c r="J39" s="21" t="s">
        <v>146</v>
      </c>
    </row>
    <row r="40" customFormat="false" ht="13.5" hidden="false" customHeight="true" outlineLevel="0" collapsed="false">
      <c r="A40" s="24" t="s">
        <v>137</v>
      </c>
      <c r="B40" s="24" t="s">
        <v>147</v>
      </c>
      <c r="C40" s="25" t="s">
        <v>148</v>
      </c>
      <c r="D40" s="24" t="s">
        <v>73</v>
      </c>
      <c r="E40" s="26" t="n">
        <f aca="false">IFERROR('Rates Reference Table'!H37*$E$5,0)</f>
        <v>14.1</v>
      </c>
      <c r="F40" s="26" t="n">
        <f aca="false">IFERROR(E40*(1-$H$5/2),0)</f>
        <v>12.549</v>
      </c>
      <c r="G40" s="26" t="n">
        <f aca="false">IFERROR(E40*(1+$H$5/2),0)</f>
        <v>15.651</v>
      </c>
      <c r="H40" s="26" t="n">
        <f aca="false">IFERROR(F40*$B$5,0)</f>
        <v>6274.5</v>
      </c>
      <c r="I40" s="26" t="n">
        <f aca="false">IFERROR(G40*$B$5,0)</f>
        <v>7825.5</v>
      </c>
      <c r="J40" s="25" t="s">
        <v>149</v>
      </c>
    </row>
    <row r="41" customFormat="false" ht="13.5" hidden="false" customHeight="true" outlineLevel="0" collapsed="false">
      <c r="A41" s="20" t="s">
        <v>137</v>
      </c>
      <c r="B41" s="20" t="s">
        <v>150</v>
      </c>
      <c r="C41" s="21" t="s">
        <v>151</v>
      </c>
      <c r="D41" s="20" t="s">
        <v>58</v>
      </c>
      <c r="E41" s="22" t="n">
        <f aca="false">IFERROR('Rates Reference Table'!H38*$E$5,0)</f>
        <v>7.52</v>
      </c>
      <c r="F41" s="22" t="n">
        <f aca="false">IFERROR(E41*(1-$H$5/2),0)</f>
        <v>6.6928</v>
      </c>
      <c r="G41" s="22" t="n">
        <f aca="false">IFERROR(E41*(1+$H$5/2),0)</f>
        <v>8.3472</v>
      </c>
      <c r="H41" s="22" t="n">
        <f aca="false">IFERROR(F41*$B$5,0)</f>
        <v>3346.4</v>
      </c>
      <c r="I41" s="22" t="n">
        <f aca="false">IFERROR(G41*$B$5,0)</f>
        <v>4173.6</v>
      </c>
      <c r="J41" s="21" t="s">
        <v>152</v>
      </c>
    </row>
    <row r="42" customFormat="false" ht="13.5" hidden="false" customHeight="true" outlineLevel="0" collapsed="false">
      <c r="A42" s="24" t="s">
        <v>137</v>
      </c>
      <c r="B42" s="24" t="s">
        <v>153</v>
      </c>
      <c r="C42" s="25" t="s">
        <v>154</v>
      </c>
      <c r="D42" s="24" t="s">
        <v>73</v>
      </c>
      <c r="E42" s="26" t="n">
        <f aca="false">IFERROR('Rates Reference Table'!H39*$E$5,0)</f>
        <v>9.4</v>
      </c>
      <c r="F42" s="26" t="n">
        <f aca="false">IFERROR(E42*(1-$H$5/2),0)</f>
        <v>8.366</v>
      </c>
      <c r="G42" s="26" t="n">
        <f aca="false">IFERROR(E42*(1+$H$5/2),0)</f>
        <v>10.434</v>
      </c>
      <c r="H42" s="26" t="n">
        <f aca="false">IFERROR(F42*$B$5,0)</f>
        <v>4183</v>
      </c>
      <c r="I42" s="26" t="n">
        <f aca="false">IFERROR(G42*$B$5,0)</f>
        <v>5217</v>
      </c>
      <c r="J42" s="25" t="s">
        <v>155</v>
      </c>
    </row>
    <row r="43" customFormat="false" ht="13.5" hidden="false" customHeight="true" outlineLevel="0" collapsed="false">
      <c r="A43" s="20" t="s">
        <v>137</v>
      </c>
      <c r="B43" s="20" t="s">
        <v>156</v>
      </c>
      <c r="C43" s="21" t="s">
        <v>157</v>
      </c>
      <c r="D43" s="20" t="s">
        <v>73</v>
      </c>
      <c r="E43" s="22" t="n">
        <f aca="false">IFERROR('Rates Reference Table'!H40*$E$5,0)</f>
        <v>18.8</v>
      </c>
      <c r="F43" s="22" t="n">
        <f aca="false">IFERROR(E43*(1-$H$5/2),0)</f>
        <v>16.732</v>
      </c>
      <c r="G43" s="22" t="n">
        <f aca="false">IFERROR(E43*(1+$H$5/2),0)</f>
        <v>20.868</v>
      </c>
      <c r="H43" s="22" t="n">
        <f aca="false">IFERROR(F43*$B$5,0)</f>
        <v>8366</v>
      </c>
      <c r="I43" s="22" t="n">
        <f aca="false">IFERROR(G43*$B$5,0)</f>
        <v>10434</v>
      </c>
      <c r="J43" s="21" t="s">
        <v>158</v>
      </c>
    </row>
    <row r="44" customFormat="false" ht="13.5" hidden="false" customHeight="true" outlineLevel="0" collapsed="false">
      <c r="A44" s="24" t="s">
        <v>137</v>
      </c>
      <c r="B44" s="24" t="s">
        <v>159</v>
      </c>
      <c r="C44" s="25" t="s">
        <v>160</v>
      </c>
      <c r="D44" s="24" t="s">
        <v>73</v>
      </c>
      <c r="E44" s="26" t="n">
        <f aca="false">IFERROR('Rates Reference Table'!H41*$E$5,0)</f>
        <v>28.2</v>
      </c>
      <c r="F44" s="26" t="n">
        <f aca="false">IFERROR(E44*(1-$H$5/2),0)</f>
        <v>25.098</v>
      </c>
      <c r="G44" s="26" t="n">
        <f aca="false">IFERROR(E44*(1+$H$5/2),0)</f>
        <v>31.302</v>
      </c>
      <c r="H44" s="26" t="n">
        <f aca="false">IFERROR(F44*$B$5,0)</f>
        <v>12549</v>
      </c>
      <c r="I44" s="26" t="n">
        <f aca="false">IFERROR(G44*$B$5,0)</f>
        <v>15651</v>
      </c>
      <c r="J44" s="25" t="s">
        <v>161</v>
      </c>
    </row>
    <row r="45" customFormat="false" ht="13.5" hidden="false" customHeight="true" outlineLevel="0" collapsed="false">
      <c r="A45" s="20" t="s">
        <v>137</v>
      </c>
      <c r="B45" s="20" t="s">
        <v>162</v>
      </c>
      <c r="C45" s="21" t="s">
        <v>163</v>
      </c>
      <c r="D45" s="20" t="s">
        <v>73</v>
      </c>
      <c r="E45" s="22" t="n">
        <f aca="false">IFERROR('Rates Reference Table'!H42*$E$5,0)</f>
        <v>11.28</v>
      </c>
      <c r="F45" s="22" t="n">
        <f aca="false">IFERROR(E45*(1-$H$5/2),0)</f>
        <v>10.0392</v>
      </c>
      <c r="G45" s="22" t="n">
        <f aca="false">IFERROR(E45*(1+$H$5/2),0)</f>
        <v>12.5208</v>
      </c>
      <c r="H45" s="22" t="n">
        <f aca="false">IFERROR(F45*$B$5,0)</f>
        <v>5019.6</v>
      </c>
      <c r="I45" s="22" t="n">
        <f aca="false">IFERROR(G45*$B$5,0)</f>
        <v>6260.4</v>
      </c>
      <c r="J45" s="21" t="s">
        <v>164</v>
      </c>
    </row>
    <row r="46" customFormat="false" ht="13.5" hidden="false" customHeight="true" outlineLevel="0" collapsed="false">
      <c r="A46" s="24" t="s">
        <v>137</v>
      </c>
      <c r="B46" s="24" t="s">
        <v>165</v>
      </c>
      <c r="C46" s="25" t="s">
        <v>166</v>
      </c>
      <c r="D46" s="24" t="s">
        <v>58</v>
      </c>
      <c r="E46" s="26" t="n">
        <f aca="false">IFERROR('Rates Reference Table'!H43*$E$5,0)</f>
        <v>4.7</v>
      </c>
      <c r="F46" s="26" t="n">
        <f aca="false">IFERROR(E46*(1-$H$5/2),0)</f>
        <v>4.183</v>
      </c>
      <c r="G46" s="26" t="n">
        <f aca="false">IFERROR(E46*(1+$H$5/2),0)</f>
        <v>5.217</v>
      </c>
      <c r="H46" s="26" t="n">
        <f aca="false">IFERROR(F46*$B$5,0)</f>
        <v>2091.5</v>
      </c>
      <c r="I46" s="26" t="n">
        <f aca="false">IFERROR(G46*$B$5,0)</f>
        <v>2608.5</v>
      </c>
      <c r="J46" s="25" t="s">
        <v>167</v>
      </c>
    </row>
    <row r="47" customFormat="false" ht="13.5" hidden="false" customHeight="true" outlineLevel="0" collapsed="false">
      <c r="A47" s="20" t="s">
        <v>137</v>
      </c>
      <c r="B47" s="20" t="s">
        <v>168</v>
      </c>
      <c r="C47" s="21" t="s">
        <v>169</v>
      </c>
      <c r="D47" s="20" t="s">
        <v>170</v>
      </c>
      <c r="E47" s="22" t="n">
        <f aca="false">IFERROR('Rates Reference Table'!H44*$E$5,0)</f>
        <v>752</v>
      </c>
      <c r="F47" s="22" t="n">
        <f aca="false">IFERROR(E47*(1-$H$5/2),0)</f>
        <v>669.28</v>
      </c>
      <c r="G47" s="22" t="n">
        <f aca="false">IFERROR(E47*(1+$H$5/2),0)</f>
        <v>834.72</v>
      </c>
      <c r="H47" s="22" t="n">
        <f aca="false">IFERROR(F47*$B$5,0)</f>
        <v>334640</v>
      </c>
      <c r="I47" s="22" t="n">
        <f aca="false">IFERROR(G47*$B$5,0)</f>
        <v>417360</v>
      </c>
      <c r="J47" s="21" t="s">
        <v>171</v>
      </c>
    </row>
    <row r="48" customFormat="false" ht="13.5" hidden="false" customHeight="true" outlineLevel="0" collapsed="false">
      <c r="A48" s="24" t="s">
        <v>137</v>
      </c>
      <c r="B48" s="24" t="s">
        <v>172</v>
      </c>
      <c r="C48" s="25" t="s">
        <v>173</v>
      </c>
      <c r="D48" s="24" t="s">
        <v>109</v>
      </c>
      <c r="E48" s="26" t="n">
        <f aca="false">IFERROR('Rates Reference Table'!H45*$E$5,0)</f>
        <v>1410</v>
      </c>
      <c r="F48" s="26" t="n">
        <f aca="false">IFERROR(E48*(1-$H$5/2),0)</f>
        <v>1254.9</v>
      </c>
      <c r="G48" s="26" t="n">
        <f aca="false">IFERROR(E48*(1+$H$5/2),0)</f>
        <v>1565.1</v>
      </c>
      <c r="H48" s="26" t="n">
        <f aca="false">IFERROR(F48*$B$5,0)</f>
        <v>627450</v>
      </c>
      <c r="I48" s="26" t="n">
        <f aca="false">IFERROR(G48*$B$5,0)</f>
        <v>782550</v>
      </c>
      <c r="J48" s="25" t="s">
        <v>174</v>
      </c>
    </row>
    <row r="49" customFormat="false" ht="13.5" hidden="false" customHeight="true" outlineLevel="0" collapsed="false">
      <c r="A49" s="20" t="s">
        <v>137</v>
      </c>
      <c r="B49" s="20" t="s">
        <v>175</v>
      </c>
      <c r="C49" s="21" t="s">
        <v>176</v>
      </c>
      <c r="D49" s="20" t="s">
        <v>73</v>
      </c>
      <c r="E49" s="22" t="n">
        <f aca="false">IFERROR('Rates Reference Table'!H46*$E$5,0)</f>
        <v>9.4</v>
      </c>
      <c r="F49" s="22" t="n">
        <f aca="false">IFERROR(E49*(1-$H$5/2),0)</f>
        <v>8.366</v>
      </c>
      <c r="G49" s="22" t="n">
        <f aca="false">IFERROR(E49*(1+$H$5/2),0)</f>
        <v>10.434</v>
      </c>
      <c r="H49" s="22" t="n">
        <f aca="false">IFERROR(F49*$B$5,0)</f>
        <v>4183</v>
      </c>
      <c r="I49" s="22" t="n">
        <f aca="false">IFERROR(G49*$B$5,0)</f>
        <v>5217</v>
      </c>
      <c r="J49" s="21" t="s">
        <v>177</v>
      </c>
    </row>
    <row r="50" customFormat="false" ht="13.5" hidden="false" customHeight="true" outlineLevel="0" collapsed="false">
      <c r="A50" s="24" t="s">
        <v>137</v>
      </c>
      <c r="B50" s="24" t="s">
        <v>178</v>
      </c>
      <c r="C50" s="25" t="s">
        <v>179</v>
      </c>
      <c r="D50" s="24" t="s">
        <v>58</v>
      </c>
      <c r="E50" s="26" t="n">
        <f aca="false">IFERROR('Rates Reference Table'!H47*$E$5,0)</f>
        <v>4.7</v>
      </c>
      <c r="F50" s="26" t="n">
        <f aca="false">IFERROR(E50*(1-$H$5/2),0)</f>
        <v>4.183</v>
      </c>
      <c r="G50" s="26" t="n">
        <f aca="false">IFERROR(E50*(1+$H$5/2),0)</f>
        <v>5.217</v>
      </c>
      <c r="H50" s="26" t="n">
        <f aca="false">IFERROR(F50*$B$5,0)</f>
        <v>2091.5</v>
      </c>
      <c r="I50" s="26" t="n">
        <f aca="false">IFERROR(G50*$B$5,0)</f>
        <v>2608.5</v>
      </c>
      <c r="J50" s="25" t="s">
        <v>180</v>
      </c>
    </row>
    <row r="51" customFormat="false" ht="13.5" hidden="false" customHeight="true" outlineLevel="0" collapsed="false">
      <c r="A51" s="20" t="s">
        <v>137</v>
      </c>
      <c r="B51" s="20" t="s">
        <v>181</v>
      </c>
      <c r="C51" s="21" t="s">
        <v>182</v>
      </c>
      <c r="D51" s="20" t="s">
        <v>73</v>
      </c>
      <c r="E51" s="22" t="n">
        <f aca="false">IFERROR('Rates Reference Table'!H48*$E$5,0)</f>
        <v>7.52</v>
      </c>
      <c r="F51" s="22" t="n">
        <f aca="false">IFERROR(E51*(1-$H$5/2),0)</f>
        <v>6.6928</v>
      </c>
      <c r="G51" s="22" t="n">
        <f aca="false">IFERROR(E51*(1+$H$5/2),0)</f>
        <v>8.3472</v>
      </c>
      <c r="H51" s="22" t="n">
        <f aca="false">IFERROR(F51*$B$5,0)</f>
        <v>3346.4</v>
      </c>
      <c r="I51" s="22" t="n">
        <f aca="false">IFERROR(G51*$B$5,0)</f>
        <v>4173.6</v>
      </c>
      <c r="J51" s="21" t="s">
        <v>183</v>
      </c>
    </row>
    <row r="52" customFormat="false" ht="13.5" hidden="false" customHeight="true" outlineLevel="0" collapsed="false">
      <c r="A52" s="24" t="s">
        <v>137</v>
      </c>
      <c r="B52" s="24" t="s">
        <v>184</v>
      </c>
      <c r="C52" s="25" t="s">
        <v>185</v>
      </c>
      <c r="D52" s="24" t="s">
        <v>109</v>
      </c>
      <c r="E52" s="26" t="n">
        <f aca="false">IFERROR('Rates Reference Table'!H49*$E$5,0)</f>
        <v>56.4</v>
      </c>
      <c r="F52" s="26" t="n">
        <f aca="false">IFERROR(E52*(1-$H$5/2),0)</f>
        <v>50.196</v>
      </c>
      <c r="G52" s="26" t="n">
        <f aca="false">IFERROR(E52*(1+$H$5/2),0)</f>
        <v>62.604</v>
      </c>
      <c r="H52" s="26" t="n">
        <f aca="false">IFERROR(F52*$B$5,0)</f>
        <v>25098</v>
      </c>
      <c r="I52" s="26" t="n">
        <f aca="false">IFERROR(G52*$B$5,0)</f>
        <v>31302</v>
      </c>
      <c r="J52" s="25" t="s">
        <v>186</v>
      </c>
    </row>
    <row r="53" customFormat="false" ht="13.5" hidden="false" customHeight="true" outlineLevel="0" collapsed="false">
      <c r="A53" s="20" t="s">
        <v>137</v>
      </c>
      <c r="B53" s="20" t="s">
        <v>187</v>
      </c>
      <c r="C53" s="21" t="s">
        <v>188</v>
      </c>
      <c r="D53" s="20" t="s">
        <v>73</v>
      </c>
      <c r="E53" s="22" t="n">
        <f aca="false">IFERROR('Rates Reference Table'!H50*$E$5,0)</f>
        <v>7.52</v>
      </c>
      <c r="F53" s="22" t="n">
        <f aca="false">IFERROR(E53*(1-$H$5/2),0)</f>
        <v>6.6928</v>
      </c>
      <c r="G53" s="22" t="n">
        <f aca="false">IFERROR(E53*(1+$H$5/2),0)</f>
        <v>8.3472</v>
      </c>
      <c r="H53" s="22" t="n">
        <f aca="false">IFERROR(F53*$B$5,0)</f>
        <v>3346.4</v>
      </c>
      <c r="I53" s="22" t="n">
        <f aca="false">IFERROR(G53*$B$5,0)</f>
        <v>4173.6</v>
      </c>
      <c r="J53" s="21" t="s">
        <v>189</v>
      </c>
    </row>
    <row r="54" customFormat="false" ht="15.75" hidden="false" customHeight="true" outlineLevel="0" collapsed="false">
      <c r="A54" s="36" t="s">
        <v>267</v>
      </c>
      <c r="B54" s="36"/>
      <c r="C54" s="36"/>
      <c r="D54" s="36"/>
      <c r="E54" s="36"/>
      <c r="F54" s="36"/>
      <c r="G54" s="36"/>
      <c r="H54" s="36"/>
      <c r="I54" s="36"/>
      <c r="J54" s="36"/>
    </row>
    <row r="55" customFormat="false" ht="13.5" hidden="false" customHeight="true" outlineLevel="0" collapsed="false">
      <c r="A55" s="20" t="s">
        <v>191</v>
      </c>
      <c r="B55" s="20" t="s">
        <v>192</v>
      </c>
      <c r="C55" s="21" t="s">
        <v>193</v>
      </c>
      <c r="D55" s="20" t="s">
        <v>58</v>
      </c>
      <c r="E55" s="22" t="n">
        <f aca="false">IFERROR('Rates Reference Table'!H52*$E$5,0)</f>
        <v>0</v>
      </c>
      <c r="F55" s="22" t="n">
        <f aca="false">IFERROR(E55*(1-$H$5/2),0)</f>
        <v>0</v>
      </c>
      <c r="G55" s="22" t="n">
        <f aca="false">IFERROR(E55*(1+$H$5/2),0)</f>
        <v>0</v>
      </c>
      <c r="H55" s="22" t="n">
        <f aca="false">IFERROR(F55*$B$5,0)</f>
        <v>0</v>
      </c>
      <c r="I55" s="22" t="n">
        <f aca="false">IFERROR(G55*$B$5,0)</f>
        <v>0</v>
      </c>
      <c r="J55" s="21" t="s">
        <v>194</v>
      </c>
    </row>
    <row r="56" customFormat="false" ht="13.5" hidden="false" customHeight="true" outlineLevel="0" collapsed="false">
      <c r="A56" s="24" t="s">
        <v>191</v>
      </c>
      <c r="B56" s="24" t="s">
        <v>195</v>
      </c>
      <c r="C56" s="25" t="s">
        <v>196</v>
      </c>
      <c r="D56" s="24" t="s">
        <v>58</v>
      </c>
      <c r="E56" s="26" t="n">
        <f aca="false">IFERROR('Rates Reference Table'!H53*$E$5,0)</f>
        <v>0</v>
      </c>
      <c r="F56" s="26" t="n">
        <f aca="false">IFERROR(E56*(1-$H$5/2),0)</f>
        <v>0</v>
      </c>
      <c r="G56" s="26" t="n">
        <f aca="false">IFERROR(E56*(1+$H$5/2),0)</f>
        <v>0</v>
      </c>
      <c r="H56" s="26" t="n">
        <f aca="false">IFERROR(F56*$B$5,0)</f>
        <v>0</v>
      </c>
      <c r="I56" s="26" t="n">
        <f aca="false">IFERROR(G56*$B$5,0)</f>
        <v>0</v>
      </c>
      <c r="J56" s="25" t="s">
        <v>197</v>
      </c>
    </row>
    <row r="57" customFormat="false" ht="15.75" hidden="false" customHeight="true" outlineLevel="0" collapsed="false">
      <c r="A57" s="37" t="s">
        <v>268</v>
      </c>
      <c r="B57" s="37"/>
      <c r="C57" s="37"/>
      <c r="D57" s="37"/>
      <c r="E57" s="37"/>
      <c r="F57" s="37"/>
      <c r="G57" s="37"/>
      <c r="H57" s="37"/>
      <c r="I57" s="37"/>
      <c r="J57" s="37"/>
    </row>
    <row r="58" customFormat="false" ht="13.5" hidden="false" customHeight="true" outlineLevel="0" collapsed="false">
      <c r="A58" s="38" t="s">
        <v>199</v>
      </c>
      <c r="B58" s="38" t="s">
        <v>200</v>
      </c>
      <c r="C58" s="39" t="s">
        <v>201</v>
      </c>
      <c r="D58" s="38" t="s">
        <v>58</v>
      </c>
      <c r="E58" s="40" t="s">
        <v>262</v>
      </c>
      <c r="F58" s="40" t="s">
        <v>262</v>
      </c>
      <c r="G58" s="40" t="s">
        <v>262</v>
      </c>
      <c r="H58" s="41" t="n">
        <v>0</v>
      </c>
      <c r="I58" s="41" t="n">
        <v>0</v>
      </c>
      <c r="J58" s="39" t="s">
        <v>202</v>
      </c>
    </row>
    <row r="59" customFormat="false" ht="13.5" hidden="false" customHeight="true" outlineLevel="0" collapsed="false">
      <c r="A59" s="38" t="s">
        <v>199</v>
      </c>
      <c r="B59" s="38" t="s">
        <v>203</v>
      </c>
      <c r="C59" s="39" t="s">
        <v>204</v>
      </c>
      <c r="D59" s="38" t="s">
        <v>58</v>
      </c>
      <c r="E59" s="40" t="s">
        <v>262</v>
      </c>
      <c r="F59" s="40" t="s">
        <v>262</v>
      </c>
      <c r="G59" s="40" t="s">
        <v>262</v>
      </c>
      <c r="H59" s="41" t="n">
        <v>0</v>
      </c>
      <c r="I59" s="41" t="n">
        <v>0</v>
      </c>
      <c r="J59" s="39" t="s">
        <v>205</v>
      </c>
    </row>
    <row r="60" customFormat="false" ht="13.5" hidden="false" customHeight="true" outlineLevel="0" collapsed="false">
      <c r="A60" s="38" t="s">
        <v>199</v>
      </c>
      <c r="B60" s="38" t="s">
        <v>206</v>
      </c>
      <c r="C60" s="39" t="s">
        <v>207</v>
      </c>
      <c r="D60" s="38" t="s">
        <v>58</v>
      </c>
      <c r="E60" s="40" t="s">
        <v>262</v>
      </c>
      <c r="F60" s="40" t="s">
        <v>262</v>
      </c>
      <c r="G60" s="40" t="s">
        <v>262</v>
      </c>
      <c r="H60" s="41" t="n">
        <v>0</v>
      </c>
      <c r="I60" s="41" t="n">
        <v>0</v>
      </c>
      <c r="J60" s="39" t="s">
        <v>208</v>
      </c>
    </row>
    <row r="61" customFormat="false" ht="13.5" hidden="false" customHeight="true" outlineLevel="0" collapsed="false">
      <c r="A61" s="38" t="s">
        <v>199</v>
      </c>
      <c r="B61" s="38" t="s">
        <v>209</v>
      </c>
      <c r="C61" s="39" t="s">
        <v>210</v>
      </c>
      <c r="D61" s="38" t="s">
        <v>58</v>
      </c>
      <c r="E61" s="40" t="s">
        <v>262</v>
      </c>
      <c r="F61" s="40" t="s">
        <v>262</v>
      </c>
      <c r="G61" s="40" t="s">
        <v>262</v>
      </c>
      <c r="H61" s="41" t="n">
        <v>0</v>
      </c>
      <c r="I61" s="41" t="n">
        <v>0</v>
      </c>
      <c r="J61" s="39" t="s">
        <v>211</v>
      </c>
    </row>
    <row r="62" customFormat="false" ht="13.5" hidden="false" customHeight="true" outlineLevel="0" collapsed="false">
      <c r="A62" s="38" t="s">
        <v>199</v>
      </c>
      <c r="B62" s="38" t="s">
        <v>212</v>
      </c>
      <c r="C62" s="39" t="s">
        <v>213</v>
      </c>
      <c r="D62" s="38" t="s">
        <v>58</v>
      </c>
      <c r="E62" s="40" t="s">
        <v>262</v>
      </c>
      <c r="F62" s="40" t="s">
        <v>262</v>
      </c>
      <c r="G62" s="40" t="s">
        <v>262</v>
      </c>
      <c r="H62" s="41" t="n">
        <v>0</v>
      </c>
      <c r="I62" s="41" t="n">
        <v>0</v>
      </c>
      <c r="J62" s="39" t="s">
        <v>214</v>
      </c>
    </row>
    <row r="63" customFormat="false" ht="15.75" hidden="false" customHeight="true" outlineLevel="0" collapsed="false">
      <c r="A63" s="36" t="s">
        <v>269</v>
      </c>
      <c r="B63" s="36"/>
      <c r="C63" s="36"/>
      <c r="D63" s="36"/>
      <c r="E63" s="36"/>
      <c r="F63" s="36"/>
      <c r="G63" s="36"/>
      <c r="H63" s="36"/>
      <c r="I63" s="36"/>
      <c r="J63" s="36"/>
    </row>
    <row r="64" customFormat="false" ht="13.5" hidden="false" customHeight="true" outlineLevel="0" collapsed="false">
      <c r="A64" s="20" t="s">
        <v>216</v>
      </c>
      <c r="B64" s="20" t="s">
        <v>217</v>
      </c>
      <c r="C64" s="21" t="s">
        <v>218</v>
      </c>
      <c r="D64" s="20" t="s">
        <v>58</v>
      </c>
      <c r="E64" s="22" t="n">
        <f aca="false">IFERROR('Rates Reference Table'!H61*$E$5,0)</f>
        <v>7.52</v>
      </c>
      <c r="F64" s="22" t="n">
        <f aca="false">IFERROR(E64*(1-$H$5/2),0)</f>
        <v>6.6928</v>
      </c>
      <c r="G64" s="22" t="n">
        <f aca="false">IFERROR(E64*(1+$H$5/2),0)</f>
        <v>8.3472</v>
      </c>
      <c r="H64" s="22" t="n">
        <f aca="false">IFERROR(F64*$B$5,0)</f>
        <v>3346.4</v>
      </c>
      <c r="I64" s="22" t="n">
        <f aca="false">IFERROR(G64*$B$5,0)</f>
        <v>4173.6</v>
      </c>
      <c r="J64" s="21" t="s">
        <v>219</v>
      </c>
    </row>
    <row r="65" customFormat="false" ht="13.5" hidden="false" customHeight="true" outlineLevel="0" collapsed="false">
      <c r="A65" s="24" t="s">
        <v>216</v>
      </c>
      <c r="B65" s="24" t="s">
        <v>220</v>
      </c>
      <c r="C65" s="25" t="s">
        <v>221</v>
      </c>
      <c r="D65" s="24" t="s">
        <v>73</v>
      </c>
      <c r="E65" s="26" t="n">
        <f aca="false">IFERROR('Rates Reference Table'!H62*$E$5,0)</f>
        <v>14.1</v>
      </c>
      <c r="F65" s="26" t="n">
        <f aca="false">IFERROR(E65*(1-$H$5/2),0)</f>
        <v>12.549</v>
      </c>
      <c r="G65" s="26" t="n">
        <f aca="false">IFERROR(E65*(1+$H$5/2),0)</f>
        <v>15.651</v>
      </c>
      <c r="H65" s="26" t="n">
        <f aca="false">IFERROR(F65*$B$5,0)</f>
        <v>6274.5</v>
      </c>
      <c r="I65" s="26" t="n">
        <f aca="false">IFERROR(G65*$B$5,0)</f>
        <v>7825.5</v>
      </c>
      <c r="J65" s="25" t="s">
        <v>222</v>
      </c>
    </row>
    <row r="66" customFormat="false" ht="13.5" hidden="false" customHeight="true" outlineLevel="0" collapsed="false">
      <c r="A66" s="20" t="s">
        <v>216</v>
      </c>
      <c r="B66" s="20" t="s">
        <v>223</v>
      </c>
      <c r="C66" s="21" t="s">
        <v>224</v>
      </c>
      <c r="D66" s="20" t="s">
        <v>109</v>
      </c>
      <c r="E66" s="22" t="n">
        <f aca="false">IFERROR('Rates Reference Table'!H63*$E$5,0)</f>
        <v>4.7</v>
      </c>
      <c r="F66" s="22" t="n">
        <f aca="false">IFERROR(E66*(1-$H$5/2),0)</f>
        <v>4.183</v>
      </c>
      <c r="G66" s="22" t="n">
        <f aca="false">IFERROR(E66*(1+$H$5/2),0)</f>
        <v>5.217</v>
      </c>
      <c r="H66" s="22" t="n">
        <f aca="false">IFERROR(F66*$B$5,0)</f>
        <v>2091.5</v>
      </c>
      <c r="I66" s="22" t="n">
        <f aca="false">IFERROR(G66*$B$5,0)</f>
        <v>2608.5</v>
      </c>
      <c r="J66" s="21" t="s">
        <v>225</v>
      </c>
    </row>
    <row r="67" customFormat="false" ht="13.5" hidden="false" customHeight="true" outlineLevel="0" collapsed="false">
      <c r="A67" s="24" t="s">
        <v>216</v>
      </c>
      <c r="B67" s="24" t="s">
        <v>226</v>
      </c>
      <c r="C67" s="25" t="s">
        <v>227</v>
      </c>
      <c r="D67" s="24" t="s">
        <v>58</v>
      </c>
      <c r="E67" s="26" t="n">
        <f aca="false">IFERROR('Rates Reference Table'!H64*$E$5,0)</f>
        <v>9.4</v>
      </c>
      <c r="F67" s="26" t="n">
        <f aca="false">IFERROR(E67*(1-$H$5/2),0)</f>
        <v>8.366</v>
      </c>
      <c r="G67" s="26" t="n">
        <f aca="false">IFERROR(E67*(1+$H$5/2),0)</f>
        <v>10.434</v>
      </c>
      <c r="H67" s="26" t="n">
        <f aca="false">IFERROR(F67*$B$5,0)</f>
        <v>4183</v>
      </c>
      <c r="I67" s="26" t="n">
        <f aca="false">IFERROR(G67*$B$5,0)</f>
        <v>5217</v>
      </c>
      <c r="J67" s="25" t="s">
        <v>228</v>
      </c>
    </row>
    <row r="68" customFormat="false" ht="13.5" hidden="false" customHeight="true" outlineLevel="0" collapsed="false">
      <c r="A68" s="20" t="s">
        <v>216</v>
      </c>
      <c r="B68" s="20" t="s">
        <v>229</v>
      </c>
      <c r="C68" s="21" t="s">
        <v>230</v>
      </c>
      <c r="D68" s="20" t="s">
        <v>58</v>
      </c>
      <c r="E68" s="22" t="n">
        <f aca="false">IFERROR('Rates Reference Table'!H65*$E$5,0)</f>
        <v>7.52</v>
      </c>
      <c r="F68" s="22" t="n">
        <f aca="false">IFERROR(E68*(1-$H$5/2),0)</f>
        <v>6.6928</v>
      </c>
      <c r="G68" s="22" t="n">
        <f aca="false">IFERROR(E68*(1+$H$5/2),0)</f>
        <v>8.3472</v>
      </c>
      <c r="H68" s="22" t="n">
        <f aca="false">IFERROR(F68*$B$5,0)</f>
        <v>3346.4</v>
      </c>
      <c r="I68" s="22" t="n">
        <f aca="false">IFERROR(G68*$B$5,0)</f>
        <v>4173.6</v>
      </c>
      <c r="J68" s="21" t="s">
        <v>231</v>
      </c>
    </row>
    <row r="69" customFormat="false" ht="13.5" hidden="false" customHeight="true" outlineLevel="0" collapsed="false">
      <c r="A69" s="24" t="s">
        <v>216</v>
      </c>
      <c r="B69" s="24" t="s">
        <v>232</v>
      </c>
      <c r="C69" s="25" t="s">
        <v>233</v>
      </c>
      <c r="D69" s="24" t="s">
        <v>58</v>
      </c>
      <c r="E69" s="26" t="n">
        <f aca="false">IFERROR('Rates Reference Table'!H66*$E$5,0)</f>
        <v>9.4</v>
      </c>
      <c r="F69" s="26" t="n">
        <f aca="false">IFERROR(E69*(1-$H$5/2),0)</f>
        <v>8.366</v>
      </c>
      <c r="G69" s="26" t="n">
        <f aca="false">IFERROR(E69*(1+$H$5/2),0)</f>
        <v>10.434</v>
      </c>
      <c r="H69" s="26" t="n">
        <f aca="false">IFERROR(F69*$B$5,0)</f>
        <v>4183</v>
      </c>
      <c r="I69" s="26" t="n">
        <f aca="false">IFERROR(G69*$B$5,0)</f>
        <v>5217</v>
      </c>
      <c r="J69" s="25" t="s">
        <v>234</v>
      </c>
    </row>
    <row r="70" customFormat="false" ht="13.5" hidden="false" customHeight="true" outlineLevel="0" collapsed="false">
      <c r="A70" s="20" t="s">
        <v>216</v>
      </c>
      <c r="B70" s="20" t="s">
        <v>235</v>
      </c>
      <c r="C70" s="21" t="s">
        <v>236</v>
      </c>
      <c r="D70" s="20" t="s">
        <v>73</v>
      </c>
      <c r="E70" s="22" t="n">
        <f aca="false">IFERROR('Rates Reference Table'!H67*$E$5,0)</f>
        <v>4.7</v>
      </c>
      <c r="F70" s="22" t="n">
        <f aca="false">IFERROR(E70*(1-$H$5/2),0)</f>
        <v>4.183</v>
      </c>
      <c r="G70" s="22" t="n">
        <f aca="false">IFERROR(E70*(1+$H$5/2),0)</f>
        <v>5.217</v>
      </c>
      <c r="H70" s="22" t="n">
        <f aca="false">IFERROR(F70*$B$5,0)</f>
        <v>2091.5</v>
      </c>
      <c r="I70" s="22" t="n">
        <f aca="false">IFERROR(G70*$B$5,0)</f>
        <v>2608.5</v>
      </c>
      <c r="J70" s="21" t="s">
        <v>237</v>
      </c>
    </row>
    <row r="71" customFormat="false" ht="13.5" hidden="false" customHeight="true" outlineLevel="0" collapsed="false">
      <c r="A71" s="24" t="s">
        <v>216</v>
      </c>
      <c r="B71" s="24" t="s">
        <v>238</v>
      </c>
      <c r="C71" s="25" t="s">
        <v>239</v>
      </c>
      <c r="D71" s="24" t="s">
        <v>58</v>
      </c>
      <c r="E71" s="26" t="n">
        <f aca="false">IFERROR('Rates Reference Table'!H68*$E$5,0)</f>
        <v>2.82</v>
      </c>
      <c r="F71" s="26" t="n">
        <f aca="false">IFERROR(E71*(1-$H$5/2),0)</f>
        <v>2.5098</v>
      </c>
      <c r="G71" s="26" t="n">
        <f aca="false">IFERROR(E71*(1+$H$5/2),0)</f>
        <v>3.1302</v>
      </c>
      <c r="H71" s="26" t="n">
        <f aca="false">IFERROR(F71*$B$5,0)</f>
        <v>1254.9</v>
      </c>
      <c r="I71" s="26" t="n">
        <f aca="false">IFERROR(G71*$B$5,0)</f>
        <v>1565.1</v>
      </c>
      <c r="J71" s="25" t="s">
        <v>240</v>
      </c>
    </row>
    <row r="72" customFormat="false" ht="13.5" hidden="false" customHeight="true" outlineLevel="0" collapsed="false">
      <c r="A72" s="20" t="s">
        <v>216</v>
      </c>
      <c r="B72" s="20" t="s">
        <v>241</v>
      </c>
      <c r="C72" s="21" t="s">
        <v>166</v>
      </c>
      <c r="D72" s="20" t="s">
        <v>58</v>
      </c>
      <c r="E72" s="22" t="n">
        <f aca="false">IFERROR('Rates Reference Table'!H69*$E$5,0)</f>
        <v>2.82</v>
      </c>
      <c r="F72" s="22" t="n">
        <f aca="false">IFERROR(E72*(1-$H$5/2),0)</f>
        <v>2.5098</v>
      </c>
      <c r="G72" s="22" t="n">
        <f aca="false">IFERROR(E72*(1+$H$5/2),0)</f>
        <v>3.1302</v>
      </c>
      <c r="H72" s="22" t="n">
        <f aca="false">IFERROR(F72*$B$5,0)</f>
        <v>1254.9</v>
      </c>
      <c r="I72" s="22" t="n">
        <f aca="false">IFERROR(G72*$B$5,0)</f>
        <v>1565.1</v>
      </c>
      <c r="J72" s="21" t="s">
        <v>242</v>
      </c>
    </row>
    <row r="73" customFormat="false" ht="18" hidden="false" customHeight="true" outlineLevel="0" collapsed="false">
      <c r="A73" s="42" t="s">
        <v>270</v>
      </c>
      <c r="B73" s="42"/>
      <c r="C73" s="42"/>
      <c r="D73" s="42"/>
      <c r="E73" s="42"/>
      <c r="F73" s="42"/>
      <c r="G73" s="42"/>
      <c r="H73" s="43" t="n">
        <f aca="false">SUMPRODUCT((H8:H72&gt;0)*H8:H72)</f>
        <v>1534742.7</v>
      </c>
      <c r="I73" s="43" t="n">
        <f aca="false">SUMPRODUCT((I8:I72&gt;0)*I8:I72)</f>
        <v>1914117.3</v>
      </c>
    </row>
    <row r="74" customFormat="false" ht="7.5" hidden="false" customHeight="true" outlineLevel="0" collapsed="false"/>
    <row r="75" customFormat="false" ht="15" hidden="false" customHeight="true" outlineLevel="0" collapsed="false">
      <c r="A75" s="44" t="s">
        <v>271</v>
      </c>
      <c r="B75" s="44"/>
      <c r="C75" s="44"/>
      <c r="D75" s="44"/>
      <c r="E75" s="44"/>
      <c r="F75" s="44"/>
      <c r="G75" s="44"/>
      <c r="H75" s="44"/>
      <c r="I75" s="44"/>
      <c r="J75" s="44"/>
    </row>
    <row r="76" customFormat="false" ht="15" hidden="false" customHeight="true" outlineLevel="0" collapsed="false">
      <c r="A76" s="45" t="s">
        <v>272</v>
      </c>
      <c r="B76" s="45"/>
      <c r="C76" s="45"/>
      <c r="D76" s="45" t="s">
        <v>273</v>
      </c>
      <c r="E76" s="45" t="s">
        <v>274</v>
      </c>
      <c r="F76" s="45" t="s">
        <v>275</v>
      </c>
      <c r="G76" s="45" t="s">
        <v>276</v>
      </c>
      <c r="H76" s="45" t="s">
        <v>277</v>
      </c>
      <c r="I76" s="45" t="s">
        <v>278</v>
      </c>
      <c r="J76" s="45" t="s">
        <v>279</v>
      </c>
    </row>
    <row r="77" customFormat="false" ht="15.75" hidden="false" customHeight="true" outlineLevel="0" collapsed="false">
      <c r="A77" s="20" t="s">
        <v>280</v>
      </c>
      <c r="B77" s="21"/>
      <c r="C77" s="21"/>
      <c r="D77" s="21" t="s">
        <v>281</v>
      </c>
      <c r="E77" s="20" t="s">
        <v>282</v>
      </c>
      <c r="F77" s="46" t="n">
        <v>0.08</v>
      </c>
      <c r="G77" s="46" t="n">
        <v>0.1</v>
      </c>
      <c r="H77" s="22" t="n">
        <f aca="false">IFERROR(F77*H73,0)</f>
        <v>122779.416</v>
      </c>
      <c r="I77" s="22" t="n">
        <f aca="false">IFERROR(G77*I73,0)</f>
        <v>191411.73</v>
      </c>
      <c r="J77" s="21" t="s">
        <v>283</v>
      </c>
    </row>
    <row r="78" customFormat="false" ht="15.75" hidden="false" customHeight="true" outlineLevel="0" collapsed="false">
      <c r="A78" s="24" t="s">
        <v>284</v>
      </c>
      <c r="B78" s="25"/>
      <c r="C78" s="25"/>
      <c r="D78" s="25" t="s">
        <v>285</v>
      </c>
      <c r="E78" s="24" t="s">
        <v>282</v>
      </c>
      <c r="F78" s="47" t="n">
        <v>0.08</v>
      </c>
      <c r="G78" s="47" t="n">
        <v>0.12</v>
      </c>
      <c r="H78" s="26" t="n">
        <f aca="false">IFERROR(F78*H73,0)</f>
        <v>122779.416</v>
      </c>
      <c r="I78" s="26" t="n">
        <f aca="false">IFERROR(G78*I73,0)</f>
        <v>229694.076</v>
      </c>
      <c r="J78" s="25" t="s">
        <v>286</v>
      </c>
    </row>
    <row r="79" customFormat="false" ht="18" hidden="false" customHeight="true" outlineLevel="0" collapsed="false">
      <c r="A79" s="42" t="s">
        <v>287</v>
      </c>
      <c r="B79" s="42"/>
      <c r="C79" s="42"/>
      <c r="D79" s="42"/>
      <c r="E79" s="42"/>
      <c r="F79" s="42"/>
      <c r="G79" s="42"/>
      <c r="H79" s="43" t="n">
        <f aca="false">H73+H77+H78</f>
        <v>1780301.532</v>
      </c>
      <c r="I79" s="43" t="n">
        <f aca="false">I73+I77+I78</f>
        <v>2335223.106</v>
      </c>
    </row>
    <row r="80" customFormat="false" ht="15.75" hidden="false" customHeight="true" outlineLevel="0" collapsed="false">
      <c r="A80" s="24" t="s">
        <v>288</v>
      </c>
      <c r="B80" s="25"/>
      <c r="C80" s="25"/>
      <c r="D80" s="25" t="s">
        <v>289</v>
      </c>
      <c r="E80" s="24" t="s">
        <v>290</v>
      </c>
      <c r="F80" s="47" t="n">
        <v>0.05</v>
      </c>
      <c r="G80" s="47" t="n">
        <v>0.15</v>
      </c>
      <c r="H80" s="26" t="n">
        <f aca="false">IFERROR(F80*H79,0)</f>
        <v>89015.0766</v>
      </c>
      <c r="I80" s="26" t="n">
        <f aca="false">IFERROR(G80*I79,0)</f>
        <v>350283.4659</v>
      </c>
      <c r="J80" s="25" t="s">
        <v>291</v>
      </c>
    </row>
    <row r="81" customFormat="false" ht="15.75" hidden="false" customHeight="true" outlineLevel="0" collapsed="false">
      <c r="A81" s="20" t="s">
        <v>292</v>
      </c>
      <c r="B81" s="21"/>
      <c r="C81" s="21"/>
      <c r="D81" s="21" t="s">
        <v>293</v>
      </c>
      <c r="E81" s="20" t="s">
        <v>290</v>
      </c>
      <c r="F81" s="46" t="n">
        <v>0.02</v>
      </c>
      <c r="G81" s="46" t="n">
        <v>0.04</v>
      </c>
      <c r="H81" s="22" t="n">
        <f aca="false">IFERROR(F81*H79,0)</f>
        <v>35606.03064</v>
      </c>
      <c r="I81" s="22" t="n">
        <f aca="false">IFERROR(G81*I79,0)</f>
        <v>93408.92424</v>
      </c>
      <c r="J81" s="21" t="s">
        <v>294</v>
      </c>
    </row>
    <row r="82" customFormat="false" ht="15.75" hidden="false" customHeight="true" outlineLevel="0" collapsed="false">
      <c r="A82" s="48" t="s">
        <v>295</v>
      </c>
      <c r="B82" s="49"/>
      <c r="C82" s="49"/>
      <c r="D82" s="49" t="s">
        <v>296</v>
      </c>
      <c r="E82" s="48" t="s">
        <v>282</v>
      </c>
      <c r="F82" s="50" t="n">
        <v>0.05</v>
      </c>
      <c r="G82" s="50" t="n">
        <v>0.1</v>
      </c>
      <c r="H82" s="51" t="n">
        <f aca="false">IFERROR(F82*H73,0)</f>
        <v>76737.135</v>
      </c>
      <c r="I82" s="51" t="n">
        <f aca="false">IFERROR(G82*I73,0)</f>
        <v>191411.73</v>
      </c>
      <c r="J82" s="49" t="s">
        <v>297</v>
      </c>
    </row>
    <row r="83" customFormat="false" ht="15.75" hidden="false" customHeight="true" outlineLevel="0" collapsed="false">
      <c r="A83" s="52" t="s">
        <v>298</v>
      </c>
      <c r="B83" s="53"/>
      <c r="C83" s="53"/>
      <c r="D83" s="53" t="s">
        <v>299</v>
      </c>
      <c r="E83" s="52" t="s">
        <v>282</v>
      </c>
      <c r="F83" s="54" t="n">
        <v>0.05</v>
      </c>
      <c r="G83" s="54" t="n">
        <v>0.05</v>
      </c>
      <c r="H83" s="55" t="n">
        <f aca="false">IFERROR(0.05*H73,0)</f>
        <v>76737.135</v>
      </c>
      <c r="I83" s="55" t="n">
        <f aca="false">IFERROR(0.05*I73,0)</f>
        <v>95705.865</v>
      </c>
      <c r="J83" s="53" t="s">
        <v>300</v>
      </c>
    </row>
    <row r="84" customFormat="false" ht="15.75" hidden="false" customHeight="true" outlineLevel="0" collapsed="false">
      <c r="A84" s="24" t="s">
        <v>301</v>
      </c>
      <c r="B84" s="25"/>
      <c r="C84" s="25"/>
      <c r="D84" s="25" t="s">
        <v>302</v>
      </c>
      <c r="E84" s="24" t="s">
        <v>282</v>
      </c>
      <c r="F84" s="47" t="n">
        <v>0.02</v>
      </c>
      <c r="G84" s="47" t="n">
        <v>0.12</v>
      </c>
      <c r="H84" s="26" t="n">
        <f aca="false">IFERROR(F84*H73,0)</f>
        <v>30694.854</v>
      </c>
      <c r="I84" s="26" t="n">
        <f aca="false">IFERROR(G84*I73,0)</f>
        <v>229694.076</v>
      </c>
      <c r="J84" s="25" t="s">
        <v>303</v>
      </c>
    </row>
    <row r="85" customFormat="false" ht="21.75" hidden="false" customHeight="true" outlineLevel="0" collapsed="false">
      <c r="A85" s="56" t="s">
        <v>304</v>
      </c>
      <c r="B85" s="56"/>
      <c r="C85" s="56"/>
      <c r="D85" s="56"/>
      <c r="E85" s="56"/>
      <c r="F85" s="56"/>
      <c r="G85" s="56"/>
      <c r="H85" s="57" t="n">
        <f aca="false">H79+H80+H81+H82+H83+H84</f>
        <v>2089091.76324</v>
      </c>
      <c r="I85" s="57" t="n">
        <f aca="false">I79+I80+I81+I82+I83+I84</f>
        <v>3295727.16714</v>
      </c>
    </row>
    <row r="86" customFormat="false" ht="15.75" hidden="false" customHeight="true" outlineLevel="0" collapsed="false">
      <c r="A86" s="58" t="s">
        <v>305</v>
      </c>
      <c r="B86" s="59"/>
      <c r="C86" s="59"/>
      <c r="D86" s="59" t="s">
        <v>306</v>
      </c>
      <c r="E86" s="58" t="s">
        <v>307</v>
      </c>
      <c r="F86" s="60" t="n">
        <v>0.2</v>
      </c>
      <c r="G86" s="60" t="n">
        <v>0.2</v>
      </c>
      <c r="H86" s="61" t="n">
        <f aca="false">IFERROR(0.2*H85,0)</f>
        <v>417818.352648</v>
      </c>
      <c r="I86" s="61" t="n">
        <f aca="false">IFERROR(0.2*I85,0)</f>
        <v>659145.433428</v>
      </c>
      <c r="J86" s="59" t="s">
        <v>308</v>
      </c>
    </row>
    <row r="87" customFormat="false" ht="7.5" hidden="false" customHeight="true" outlineLevel="0" collapsed="false"/>
    <row r="88" customFormat="false" ht="15.75" hidden="false" customHeight="true" outlineLevel="0" collapsed="false">
      <c r="A88" s="62" t="s">
        <v>309</v>
      </c>
      <c r="B88" s="62"/>
      <c r="C88" s="62"/>
      <c r="D88" s="62"/>
      <c r="E88" s="63" t="n">
        <f aca="false">IFERROR(H73/$B$5,0)</f>
        <v>3069.4854</v>
      </c>
      <c r="F88" s="64"/>
      <c r="G88" s="65" t="n">
        <f aca="false">IFERROR(I73/$B$5,0)</f>
        <v>3828.2346</v>
      </c>
      <c r="H88" s="64"/>
      <c r="I88" s="64"/>
      <c r="J88" s="64"/>
    </row>
    <row r="89" customFormat="false" ht="7.5" hidden="false" customHeight="true" outlineLevel="0" collapsed="false"/>
    <row r="90" customFormat="false" ht="27.75" hidden="false" customHeight="true" outlineLevel="0" collapsed="false">
      <c r="A90" s="66" t="s">
        <v>310</v>
      </c>
      <c r="B90" s="66"/>
      <c r="C90" s="66"/>
      <c r="D90" s="66"/>
      <c r="E90" s="66"/>
      <c r="F90" s="66"/>
      <c r="G90" s="66"/>
      <c r="H90" s="66"/>
      <c r="I90" s="66"/>
      <c r="J90" s="66"/>
    </row>
  </sheetData>
  <mergeCells count="17">
    <mergeCell ref="A1:I1"/>
    <mergeCell ref="A2:I2"/>
    <mergeCell ref="A8:J8"/>
    <mergeCell ref="A13:J13"/>
    <mergeCell ref="A18:J18"/>
    <mergeCell ref="A27:J27"/>
    <mergeCell ref="A31:J31"/>
    <mergeCell ref="A36:J36"/>
    <mergeCell ref="A54:J54"/>
    <mergeCell ref="A57:J57"/>
    <mergeCell ref="A63:J63"/>
    <mergeCell ref="A73:G73"/>
    <mergeCell ref="A75:J75"/>
    <mergeCell ref="A79:G79"/>
    <mergeCell ref="A85:G85"/>
    <mergeCell ref="A88:D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50"/>
    <col collapsed="false" customWidth="true" hidden="false" outlineLevel="0" max="4" min="4" style="1" width="8"/>
    <col collapsed="false" customWidth="true" hidden="false" outlineLevel="0" max="7" min="5" style="1" width="14"/>
    <col collapsed="false" customWidth="true" hidden="false" outlineLevel="0" max="9" min="8" style="1" width="17"/>
    <col collapsed="false" customWidth="true" hidden="false" outlineLevel="0" max="10" min="10" style="1" width="40"/>
  </cols>
  <sheetData>
    <row r="1" customFormat="false" ht="21.75" hidden="false" customHeight="true" outlineLevel="0" collapsed="false">
      <c r="A1" s="29" t="s">
        <v>321</v>
      </c>
      <c r="B1" s="29"/>
      <c r="C1" s="29"/>
      <c r="D1" s="29"/>
      <c r="E1" s="29"/>
      <c r="F1" s="29"/>
      <c r="G1" s="29"/>
      <c r="H1" s="29"/>
      <c r="I1" s="29"/>
    </row>
    <row r="2" customFormat="false" ht="19.5" hidden="false" customHeight="true" outlineLevel="0" collapsed="false">
      <c r="A2" s="30" t="s">
        <v>322</v>
      </c>
      <c r="B2" s="30"/>
      <c r="C2" s="30"/>
      <c r="D2" s="30"/>
      <c r="E2" s="30"/>
      <c r="F2" s="30"/>
      <c r="G2" s="30"/>
      <c r="H2" s="30"/>
      <c r="I2" s="30"/>
    </row>
    <row r="3" customFormat="false" ht="6" hidden="false" customHeight="true" outlineLevel="0" collapsed="false"/>
    <row r="4" customFormat="false" ht="15" hidden="false" customHeight="true" outlineLevel="0" collapsed="false">
      <c r="A4" s="31" t="s">
        <v>246</v>
      </c>
      <c r="B4" s="32" t="s">
        <v>319</v>
      </c>
      <c r="D4" s="31" t="s">
        <v>248</v>
      </c>
      <c r="E4" s="32" t="s">
        <v>316</v>
      </c>
      <c r="G4" s="31" t="s">
        <v>250</v>
      </c>
      <c r="H4" s="33" t="s">
        <v>251</v>
      </c>
    </row>
    <row r="5" customFormat="false" ht="18" hidden="false" customHeight="true" outlineLevel="0" collapsed="false">
      <c r="A5" s="31" t="s">
        <v>252</v>
      </c>
      <c r="B5" s="34" t="n">
        <v>500</v>
      </c>
      <c r="D5" s="31" t="s">
        <v>253</v>
      </c>
      <c r="E5" s="35" t="n">
        <v>0.94</v>
      </c>
      <c r="G5" s="31" t="s">
        <v>254</v>
      </c>
      <c r="H5" s="35" t="n">
        <v>0.22</v>
      </c>
    </row>
    <row r="6" customFormat="false" ht="6" hidden="false" customHeight="true" outlineLevel="0" collapsed="false"/>
    <row r="7" customFormat="false" ht="27.75" hidden="false" customHeight="true" outlineLevel="0" collapsed="false">
      <c r="A7" s="18" t="s">
        <v>41</v>
      </c>
      <c r="B7" s="18" t="s">
        <v>42</v>
      </c>
      <c r="C7" s="18" t="s">
        <v>43</v>
      </c>
      <c r="D7" s="18" t="s">
        <v>44</v>
      </c>
      <c r="E7" s="18" t="s">
        <v>255</v>
      </c>
      <c r="F7" s="18" t="s">
        <v>256</v>
      </c>
      <c r="G7" s="18" t="s">
        <v>257</v>
      </c>
      <c r="H7" s="18" t="s">
        <v>258</v>
      </c>
      <c r="I7" s="18" t="s">
        <v>259</v>
      </c>
      <c r="J7" s="18" t="s">
        <v>53</v>
      </c>
    </row>
    <row r="8" customFormat="false" ht="15.75" hidden="false" customHeight="true" outlineLevel="0" collapsed="false">
      <c r="A8" s="36" t="s">
        <v>260</v>
      </c>
      <c r="B8" s="36"/>
      <c r="C8" s="36"/>
      <c r="D8" s="36"/>
      <c r="E8" s="36"/>
      <c r="F8" s="36"/>
      <c r="G8" s="36"/>
      <c r="H8" s="36"/>
      <c r="I8" s="36"/>
      <c r="J8" s="36"/>
    </row>
    <row r="9" customFormat="false" ht="13.5" hidden="false" customHeight="true" outlineLevel="0" collapsed="false">
      <c r="A9" s="20" t="s">
        <v>55</v>
      </c>
      <c r="B9" s="20" t="s">
        <v>56</v>
      </c>
      <c r="C9" s="21" t="s">
        <v>57</v>
      </c>
      <c r="D9" s="20" t="s">
        <v>58</v>
      </c>
      <c r="E9" s="22" t="n">
        <f aca="false">IFERROR('Rates Reference Table'!I6*$E$5,0)</f>
        <v>18.8</v>
      </c>
      <c r="F9" s="22" t="n">
        <f aca="false">IFERROR(E9*(1-$H$5/2),0)</f>
        <v>16.732</v>
      </c>
      <c r="G9" s="22" t="n">
        <f aca="false">IFERROR(E9*(1+$H$5/2),0)</f>
        <v>20.868</v>
      </c>
      <c r="H9" s="22" t="n">
        <f aca="false">IFERROR(F9*$B$5,0)</f>
        <v>8366</v>
      </c>
      <c r="I9" s="22" t="n">
        <f aca="false">IFERROR(G9*$B$5,0)</f>
        <v>10434</v>
      </c>
      <c r="J9" s="21" t="s">
        <v>59</v>
      </c>
    </row>
    <row r="10" customFormat="false" ht="13.5" hidden="false" customHeight="true" outlineLevel="0" collapsed="false">
      <c r="A10" s="24" t="s">
        <v>55</v>
      </c>
      <c r="B10" s="24" t="s">
        <v>60</v>
      </c>
      <c r="C10" s="25" t="s">
        <v>61</v>
      </c>
      <c r="D10" s="24" t="s">
        <v>58</v>
      </c>
      <c r="E10" s="26" t="n">
        <f aca="false">IFERROR('Rates Reference Table'!I7*$E$5,0)</f>
        <v>23.5</v>
      </c>
      <c r="F10" s="26" t="n">
        <f aca="false">IFERROR(E10*(1-$H$5/2),0)</f>
        <v>20.915</v>
      </c>
      <c r="G10" s="26" t="n">
        <f aca="false">IFERROR(E10*(1+$H$5/2),0)</f>
        <v>26.085</v>
      </c>
      <c r="H10" s="26" t="n">
        <f aca="false">IFERROR(F10*$B$5,0)</f>
        <v>10457.5</v>
      </c>
      <c r="I10" s="26" t="n">
        <f aca="false">IFERROR(G10*$B$5,0)</f>
        <v>13042.5</v>
      </c>
      <c r="J10" s="25" t="s">
        <v>62</v>
      </c>
    </row>
    <row r="11" customFormat="false" ht="13.5" hidden="false" customHeight="true" outlineLevel="0" collapsed="false">
      <c r="A11" s="20" t="s">
        <v>55</v>
      </c>
      <c r="B11" s="20" t="s">
        <v>63</v>
      </c>
      <c r="C11" s="21" t="s">
        <v>64</v>
      </c>
      <c r="D11" s="20" t="s">
        <v>58</v>
      </c>
      <c r="E11" s="22" t="n">
        <f aca="false">IFERROR('Rates Reference Table'!I8*$E$5,0)</f>
        <v>18.8</v>
      </c>
      <c r="F11" s="22" t="n">
        <f aca="false">IFERROR(E11*(1-$H$5/2),0)</f>
        <v>16.732</v>
      </c>
      <c r="G11" s="22" t="n">
        <f aca="false">IFERROR(E11*(1+$H$5/2),0)</f>
        <v>20.868</v>
      </c>
      <c r="H11" s="22" t="n">
        <f aca="false">IFERROR(F11*$B$5,0)</f>
        <v>8366</v>
      </c>
      <c r="I11" s="22" t="n">
        <f aca="false">IFERROR(G11*$B$5,0)</f>
        <v>10434</v>
      </c>
      <c r="J11" s="21" t="s">
        <v>65</v>
      </c>
    </row>
    <row r="12" customFormat="false" ht="13.5" hidden="false" customHeight="true" outlineLevel="0" collapsed="false">
      <c r="A12" s="24" t="s">
        <v>55</v>
      </c>
      <c r="B12" s="24" t="s">
        <v>66</v>
      </c>
      <c r="C12" s="25" t="s">
        <v>67</v>
      </c>
      <c r="D12" s="24" t="s">
        <v>58</v>
      </c>
      <c r="E12" s="26" t="n">
        <f aca="false">IFERROR('Rates Reference Table'!I9*$E$5,0)</f>
        <v>14.1</v>
      </c>
      <c r="F12" s="26" t="n">
        <f aca="false">IFERROR(E12*(1-$H$5/2),0)</f>
        <v>12.549</v>
      </c>
      <c r="G12" s="26" t="n">
        <f aca="false">IFERROR(E12*(1+$H$5/2),0)</f>
        <v>15.651</v>
      </c>
      <c r="H12" s="26" t="n">
        <f aca="false">IFERROR(F12*$B$5,0)</f>
        <v>6274.5</v>
      </c>
      <c r="I12" s="26" t="n">
        <f aca="false">IFERROR(G12*$B$5,0)</f>
        <v>7825.5</v>
      </c>
      <c r="J12" s="25" t="s">
        <v>68</v>
      </c>
    </row>
    <row r="13" customFormat="false" ht="15.75" hidden="false" customHeight="true" outlineLevel="0" collapsed="false">
      <c r="A13" s="36" t="s">
        <v>261</v>
      </c>
      <c r="B13" s="36"/>
      <c r="C13" s="36"/>
      <c r="D13" s="36"/>
      <c r="E13" s="36"/>
      <c r="F13" s="36"/>
      <c r="G13" s="36"/>
      <c r="H13" s="36"/>
      <c r="I13" s="36"/>
      <c r="J13" s="36"/>
    </row>
    <row r="14" customFormat="false" ht="13.5" hidden="false" customHeight="true" outlineLevel="0" collapsed="false">
      <c r="A14" s="20" t="s">
        <v>70</v>
      </c>
      <c r="B14" s="20" t="s">
        <v>71</v>
      </c>
      <c r="C14" s="21" t="s">
        <v>72</v>
      </c>
      <c r="D14" s="20" t="s">
        <v>73</v>
      </c>
      <c r="E14" s="22" t="n">
        <f aca="false">IFERROR('Rates Reference Table'!I11*$E$5,0)</f>
        <v>75.2</v>
      </c>
      <c r="F14" s="22" t="n">
        <f aca="false">IFERROR(E14*(1-$H$5/2),0)</f>
        <v>66.928</v>
      </c>
      <c r="G14" s="22" t="n">
        <f aca="false">IFERROR(E14*(1+$H$5/2),0)</f>
        <v>83.472</v>
      </c>
      <c r="H14" s="22" t="n">
        <f aca="false">IFERROR(F14*$B$5,0)</f>
        <v>33464</v>
      </c>
      <c r="I14" s="22" t="n">
        <f aca="false">IFERROR(G14*$B$5,0)</f>
        <v>41736</v>
      </c>
      <c r="J14" s="21" t="s">
        <v>74</v>
      </c>
    </row>
    <row r="15" customFormat="false" ht="13.5" hidden="false" customHeight="true" outlineLevel="0" collapsed="false">
      <c r="A15" s="24" t="s">
        <v>70</v>
      </c>
      <c r="B15" s="24" t="s">
        <v>75</v>
      </c>
      <c r="C15" s="25" t="s">
        <v>76</v>
      </c>
      <c r="D15" s="24" t="s">
        <v>73</v>
      </c>
      <c r="E15" s="26" t="n">
        <f aca="false">IFERROR('Rates Reference Table'!I12*$E$5,0)</f>
        <v>56.4</v>
      </c>
      <c r="F15" s="26" t="n">
        <f aca="false">IFERROR(E15*(1-$H$5/2),0)</f>
        <v>50.196</v>
      </c>
      <c r="G15" s="26" t="n">
        <f aca="false">IFERROR(E15*(1+$H$5/2),0)</f>
        <v>62.604</v>
      </c>
      <c r="H15" s="26" t="n">
        <f aca="false">IFERROR(F15*$B$5,0)</f>
        <v>25098</v>
      </c>
      <c r="I15" s="26" t="n">
        <f aca="false">IFERROR(G15*$B$5,0)</f>
        <v>31302</v>
      </c>
      <c r="J15" s="25" t="s">
        <v>77</v>
      </c>
    </row>
    <row r="16" customFormat="false" ht="13.5" hidden="false" customHeight="true" outlineLevel="0" collapsed="false">
      <c r="A16" s="20" t="s">
        <v>70</v>
      </c>
      <c r="B16" s="20" t="s">
        <v>78</v>
      </c>
      <c r="C16" s="21" t="s">
        <v>79</v>
      </c>
      <c r="D16" s="20" t="s">
        <v>73</v>
      </c>
      <c r="E16" s="22" t="n">
        <f aca="false">IFERROR('Rates Reference Table'!I13*$E$5,0)</f>
        <v>51.7</v>
      </c>
      <c r="F16" s="22" t="n">
        <f aca="false">IFERROR(E16*(1-$H$5/2),0)</f>
        <v>46.013</v>
      </c>
      <c r="G16" s="22" t="n">
        <f aca="false">IFERROR(E16*(1+$H$5/2),0)</f>
        <v>57.387</v>
      </c>
      <c r="H16" s="22" t="n">
        <f aca="false">IFERROR(F16*$B$5,0)</f>
        <v>23006.5</v>
      </c>
      <c r="I16" s="22" t="n">
        <f aca="false">IFERROR(G16*$B$5,0)</f>
        <v>28693.5</v>
      </c>
      <c r="J16" s="21" t="s">
        <v>80</v>
      </c>
    </row>
    <row r="17" customFormat="false" ht="13.5" hidden="false" customHeight="true" outlineLevel="0" collapsed="false">
      <c r="A17" s="24" t="s">
        <v>70</v>
      </c>
      <c r="B17" s="24" t="s">
        <v>81</v>
      </c>
      <c r="C17" s="25" t="s">
        <v>82</v>
      </c>
      <c r="D17" s="24" t="s">
        <v>58</v>
      </c>
      <c r="E17" s="26" t="n">
        <f aca="false">IFERROR('Rates Reference Table'!I14*$E$5,0)</f>
        <v>141</v>
      </c>
      <c r="F17" s="26" t="n">
        <f aca="false">IFERROR(E17*(1-$H$5/2),0)</f>
        <v>125.49</v>
      </c>
      <c r="G17" s="26" t="n">
        <f aca="false">IFERROR(E17*(1+$H$5/2),0)</f>
        <v>156.51</v>
      </c>
      <c r="H17" s="26" t="n">
        <f aca="false">IFERROR(F17*$B$5,0)</f>
        <v>62745</v>
      </c>
      <c r="I17" s="26" t="n">
        <f aca="false">IFERROR(G17*$B$5,0)</f>
        <v>78255</v>
      </c>
      <c r="J17" s="25" t="s">
        <v>83</v>
      </c>
    </row>
    <row r="18" customFormat="false" ht="15.75" hidden="false" customHeight="true" outlineLevel="0" collapsed="false">
      <c r="A18" s="36" t="s">
        <v>263</v>
      </c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13.5" hidden="false" customHeight="true" outlineLevel="0" collapsed="false">
      <c r="A19" s="20" t="s">
        <v>85</v>
      </c>
      <c r="B19" s="20" t="s">
        <v>86</v>
      </c>
      <c r="C19" s="21" t="s">
        <v>87</v>
      </c>
      <c r="D19" s="20" t="s">
        <v>73</v>
      </c>
      <c r="E19" s="22" t="n">
        <f aca="false">IFERROR('Rates Reference Table'!I16*$E$5,0)</f>
        <v>206.8</v>
      </c>
      <c r="F19" s="22" t="n">
        <f aca="false">IFERROR(E19*(1-$H$5/2),0)</f>
        <v>184.052</v>
      </c>
      <c r="G19" s="22" t="n">
        <f aca="false">IFERROR(E19*(1+$H$5/2),0)</f>
        <v>229.548</v>
      </c>
      <c r="H19" s="22" t="n">
        <f aca="false">IFERROR(F19*$B$5,0)</f>
        <v>92026</v>
      </c>
      <c r="I19" s="22" t="n">
        <f aca="false">IFERROR(G19*$B$5,0)</f>
        <v>114774</v>
      </c>
      <c r="J19" s="21" t="s">
        <v>88</v>
      </c>
    </row>
    <row r="20" customFormat="false" ht="13.5" hidden="false" customHeight="true" outlineLevel="0" collapsed="false">
      <c r="A20" s="24" t="s">
        <v>85</v>
      </c>
      <c r="B20" s="24" t="s">
        <v>89</v>
      </c>
      <c r="C20" s="25" t="s">
        <v>90</v>
      </c>
      <c r="D20" s="24" t="s">
        <v>73</v>
      </c>
      <c r="E20" s="26" t="n">
        <f aca="false">IFERROR('Rates Reference Table'!I17*$E$5,0)</f>
        <v>89.3</v>
      </c>
      <c r="F20" s="26" t="n">
        <f aca="false">IFERROR(E20*(1-$H$5/2),0)</f>
        <v>79.477</v>
      </c>
      <c r="G20" s="26" t="n">
        <f aca="false">IFERROR(E20*(1+$H$5/2),0)</f>
        <v>99.123</v>
      </c>
      <c r="H20" s="26" t="n">
        <f aca="false">IFERROR(F20*$B$5,0)</f>
        <v>39738.5</v>
      </c>
      <c r="I20" s="26" t="n">
        <f aca="false">IFERROR(G20*$B$5,0)</f>
        <v>49561.5</v>
      </c>
      <c r="J20" s="25" t="s">
        <v>91</v>
      </c>
    </row>
    <row r="21" customFormat="false" ht="13.5" hidden="false" customHeight="true" outlineLevel="0" collapsed="false">
      <c r="A21" s="20" t="s">
        <v>85</v>
      </c>
      <c r="B21" s="20" t="s">
        <v>92</v>
      </c>
      <c r="C21" s="21" t="s">
        <v>93</v>
      </c>
      <c r="D21" s="20" t="s">
        <v>73</v>
      </c>
      <c r="E21" s="22" t="n">
        <f aca="false">IFERROR('Rates Reference Table'!I18*$E$5,0)</f>
        <v>112.8</v>
      </c>
      <c r="F21" s="22" t="n">
        <f aca="false">IFERROR(E21*(1-$H$5/2),0)</f>
        <v>100.392</v>
      </c>
      <c r="G21" s="22" t="n">
        <f aca="false">IFERROR(E21*(1+$H$5/2),0)</f>
        <v>125.208</v>
      </c>
      <c r="H21" s="22" t="n">
        <f aca="false">IFERROR(F21*$B$5,0)</f>
        <v>50196</v>
      </c>
      <c r="I21" s="22" t="n">
        <f aca="false">IFERROR(G21*$B$5,0)</f>
        <v>62604</v>
      </c>
      <c r="J21" s="21" t="s">
        <v>94</v>
      </c>
    </row>
    <row r="22" customFormat="false" ht="13.5" hidden="false" customHeight="true" outlineLevel="0" collapsed="false">
      <c r="A22" s="24" t="s">
        <v>85</v>
      </c>
      <c r="B22" s="24" t="s">
        <v>95</v>
      </c>
      <c r="C22" s="25" t="s">
        <v>96</v>
      </c>
      <c r="D22" s="24" t="s">
        <v>58</v>
      </c>
      <c r="E22" s="26" t="n">
        <f aca="false">IFERROR('Rates Reference Table'!I19*$E$5,0)</f>
        <v>32.9</v>
      </c>
      <c r="F22" s="26" t="n">
        <f aca="false">IFERROR(E22*(1-$H$5/2),0)</f>
        <v>29.281</v>
      </c>
      <c r="G22" s="26" t="n">
        <f aca="false">IFERROR(E22*(1+$H$5/2),0)</f>
        <v>36.519</v>
      </c>
      <c r="H22" s="26" t="n">
        <f aca="false">IFERROR(F22*$B$5,0)</f>
        <v>14640.5</v>
      </c>
      <c r="I22" s="26" t="n">
        <f aca="false">IFERROR(G22*$B$5,0)</f>
        <v>18259.5</v>
      </c>
      <c r="J22" s="25" t="s">
        <v>97</v>
      </c>
    </row>
    <row r="23" customFormat="false" ht="13.5" hidden="false" customHeight="true" outlineLevel="0" collapsed="false">
      <c r="A23" s="20" t="s">
        <v>85</v>
      </c>
      <c r="B23" s="20" t="s">
        <v>98</v>
      </c>
      <c r="C23" s="21" t="s">
        <v>99</v>
      </c>
      <c r="D23" s="20" t="s">
        <v>73</v>
      </c>
      <c r="E23" s="22" t="n">
        <f aca="false">IFERROR('Rates Reference Table'!I20*$E$5,0)</f>
        <v>300.8</v>
      </c>
      <c r="F23" s="22" t="n">
        <f aca="false">IFERROR(E23*(1-$H$5/2),0)</f>
        <v>267.712</v>
      </c>
      <c r="G23" s="22" t="n">
        <f aca="false">IFERROR(E23*(1+$H$5/2),0)</f>
        <v>333.888</v>
      </c>
      <c r="H23" s="22" t="n">
        <f aca="false">IFERROR(F23*$B$5,0)</f>
        <v>133856</v>
      </c>
      <c r="I23" s="22" t="n">
        <f aca="false">IFERROR(G23*$B$5,0)</f>
        <v>166944</v>
      </c>
      <c r="J23" s="21" t="s">
        <v>100</v>
      </c>
    </row>
    <row r="24" customFormat="false" ht="13.5" hidden="false" customHeight="true" outlineLevel="0" collapsed="false">
      <c r="A24" s="24" t="s">
        <v>85</v>
      </c>
      <c r="B24" s="24" t="s">
        <v>101</v>
      </c>
      <c r="C24" s="25" t="s">
        <v>102</v>
      </c>
      <c r="D24" s="24" t="s">
        <v>73</v>
      </c>
      <c r="E24" s="26" t="n">
        <f aca="false">IFERROR('Rates Reference Table'!I21*$E$5,0)</f>
        <v>150.4</v>
      </c>
      <c r="F24" s="26" t="n">
        <f aca="false">IFERROR(E24*(1-$H$5/2),0)</f>
        <v>133.856</v>
      </c>
      <c r="G24" s="26" t="n">
        <f aca="false">IFERROR(E24*(1+$H$5/2),0)</f>
        <v>166.944</v>
      </c>
      <c r="H24" s="26" t="n">
        <f aca="false">IFERROR(F24*$B$5,0)</f>
        <v>66928</v>
      </c>
      <c r="I24" s="26" t="n">
        <f aca="false">IFERROR(G24*$B$5,0)</f>
        <v>83472</v>
      </c>
      <c r="J24" s="25" t="s">
        <v>103</v>
      </c>
    </row>
    <row r="25" customFormat="false" ht="13.5" hidden="false" customHeight="true" outlineLevel="0" collapsed="false">
      <c r="A25" s="20" t="s">
        <v>85</v>
      </c>
      <c r="B25" s="20" t="s">
        <v>104</v>
      </c>
      <c r="C25" s="21" t="s">
        <v>105</v>
      </c>
      <c r="D25" s="20" t="s">
        <v>73</v>
      </c>
      <c r="E25" s="22" t="n">
        <f aca="false">IFERROR('Rates Reference Table'!I22*$E$5,0)</f>
        <v>47</v>
      </c>
      <c r="F25" s="22" t="n">
        <f aca="false">IFERROR(E25*(1-$H$5/2),0)</f>
        <v>41.83</v>
      </c>
      <c r="G25" s="22" t="n">
        <f aca="false">IFERROR(E25*(1+$H$5/2),0)</f>
        <v>52.17</v>
      </c>
      <c r="H25" s="22" t="n">
        <f aca="false">IFERROR(F25*$B$5,0)</f>
        <v>20915</v>
      </c>
      <c r="I25" s="22" t="n">
        <f aca="false">IFERROR(G25*$B$5,0)</f>
        <v>26085</v>
      </c>
      <c r="J25" s="21" t="s">
        <v>106</v>
      </c>
    </row>
    <row r="26" customFormat="false" ht="13.5" hidden="false" customHeight="true" outlineLevel="0" collapsed="false">
      <c r="A26" s="24" t="s">
        <v>85</v>
      </c>
      <c r="B26" s="24" t="s">
        <v>107</v>
      </c>
      <c r="C26" s="25" t="s">
        <v>108</v>
      </c>
      <c r="D26" s="24" t="s">
        <v>109</v>
      </c>
      <c r="E26" s="26" t="n">
        <f aca="false">IFERROR('Rates Reference Table'!I23*$E$5,0)</f>
        <v>32.9</v>
      </c>
      <c r="F26" s="26" t="n">
        <f aca="false">IFERROR(E26*(1-$H$5/2),0)</f>
        <v>29.281</v>
      </c>
      <c r="G26" s="26" t="n">
        <f aca="false">IFERROR(E26*(1+$H$5/2),0)</f>
        <v>36.519</v>
      </c>
      <c r="H26" s="26" t="n">
        <f aca="false">IFERROR(F26*$B$5,0)</f>
        <v>14640.5</v>
      </c>
      <c r="I26" s="26" t="n">
        <f aca="false">IFERROR(G26*$B$5,0)</f>
        <v>18259.5</v>
      </c>
      <c r="J26" s="25" t="s">
        <v>110</v>
      </c>
    </row>
    <row r="27" customFormat="false" ht="15.75" hidden="false" customHeight="true" outlineLevel="0" collapsed="false">
      <c r="A27" s="36" t="s">
        <v>264</v>
      </c>
      <c r="B27" s="36"/>
      <c r="C27" s="36"/>
      <c r="D27" s="36"/>
      <c r="E27" s="36"/>
      <c r="F27" s="36"/>
      <c r="G27" s="36"/>
      <c r="H27" s="36"/>
      <c r="I27" s="36"/>
      <c r="J27" s="36"/>
    </row>
    <row r="28" customFormat="false" ht="13.5" hidden="false" customHeight="true" outlineLevel="0" collapsed="false">
      <c r="A28" s="20" t="s">
        <v>112</v>
      </c>
      <c r="B28" s="20" t="s">
        <v>113</v>
      </c>
      <c r="C28" s="21" t="s">
        <v>114</v>
      </c>
      <c r="D28" s="20" t="s">
        <v>73</v>
      </c>
      <c r="E28" s="22" t="n">
        <f aca="false">IFERROR('Rates Reference Table'!I25*$E$5,0)</f>
        <v>51.7</v>
      </c>
      <c r="F28" s="22" t="n">
        <f aca="false">IFERROR(E28*(1-$H$5/2),0)</f>
        <v>46.013</v>
      </c>
      <c r="G28" s="22" t="n">
        <f aca="false">IFERROR(E28*(1+$H$5/2),0)</f>
        <v>57.387</v>
      </c>
      <c r="H28" s="22" t="n">
        <f aca="false">IFERROR(F28*$B$5,0)</f>
        <v>23006.5</v>
      </c>
      <c r="I28" s="22" t="n">
        <f aca="false">IFERROR(G28*$B$5,0)</f>
        <v>28693.5</v>
      </c>
      <c r="J28" s="21" t="s">
        <v>115</v>
      </c>
    </row>
    <row r="29" customFormat="false" ht="13.5" hidden="false" customHeight="true" outlineLevel="0" collapsed="false">
      <c r="A29" s="24" t="s">
        <v>112</v>
      </c>
      <c r="B29" s="24" t="s">
        <v>116</v>
      </c>
      <c r="C29" s="25" t="s">
        <v>117</v>
      </c>
      <c r="D29" s="24" t="s">
        <v>73</v>
      </c>
      <c r="E29" s="26" t="n">
        <f aca="false">IFERROR('Rates Reference Table'!I26*$E$5,0)</f>
        <v>75.2</v>
      </c>
      <c r="F29" s="26" t="n">
        <f aca="false">IFERROR(E29*(1-$H$5/2),0)</f>
        <v>66.928</v>
      </c>
      <c r="G29" s="26" t="n">
        <f aca="false">IFERROR(E29*(1+$H$5/2),0)</f>
        <v>83.472</v>
      </c>
      <c r="H29" s="26" t="n">
        <f aca="false">IFERROR(F29*$B$5,0)</f>
        <v>33464</v>
      </c>
      <c r="I29" s="26" t="n">
        <f aca="false">IFERROR(G29*$B$5,0)</f>
        <v>41736</v>
      </c>
      <c r="J29" s="25" t="s">
        <v>118</v>
      </c>
    </row>
    <row r="30" customFormat="false" ht="13.5" hidden="false" customHeight="true" outlineLevel="0" collapsed="false">
      <c r="A30" s="20" t="s">
        <v>112</v>
      </c>
      <c r="B30" s="20" t="s">
        <v>119</v>
      </c>
      <c r="C30" s="21" t="s">
        <v>120</v>
      </c>
      <c r="D30" s="20" t="s">
        <v>73</v>
      </c>
      <c r="E30" s="22" t="n">
        <f aca="false">IFERROR('Rates Reference Table'!I27*$E$5,0)</f>
        <v>42.3</v>
      </c>
      <c r="F30" s="22" t="n">
        <f aca="false">IFERROR(E30*(1-$H$5/2),0)</f>
        <v>37.647</v>
      </c>
      <c r="G30" s="22" t="n">
        <f aca="false">IFERROR(E30*(1+$H$5/2),0)</f>
        <v>46.953</v>
      </c>
      <c r="H30" s="22" t="n">
        <f aca="false">IFERROR(F30*$B$5,0)</f>
        <v>18823.5</v>
      </c>
      <c r="I30" s="22" t="n">
        <f aca="false">IFERROR(G30*$B$5,0)</f>
        <v>23476.5</v>
      </c>
      <c r="J30" s="21" t="s">
        <v>121</v>
      </c>
    </row>
    <row r="31" customFormat="false" ht="15.75" hidden="false" customHeight="true" outlineLevel="0" collapsed="false">
      <c r="A31" s="36" t="s">
        <v>265</v>
      </c>
      <c r="B31" s="36"/>
      <c r="C31" s="36"/>
      <c r="D31" s="36"/>
      <c r="E31" s="36"/>
      <c r="F31" s="36"/>
      <c r="G31" s="36"/>
      <c r="H31" s="36"/>
      <c r="I31" s="36"/>
      <c r="J31" s="36"/>
    </row>
    <row r="32" customFormat="false" ht="13.5" hidden="false" customHeight="true" outlineLevel="0" collapsed="false">
      <c r="A32" s="20" t="s">
        <v>123</v>
      </c>
      <c r="B32" s="20" t="s">
        <v>124</v>
      </c>
      <c r="C32" s="21" t="s">
        <v>125</v>
      </c>
      <c r="D32" s="20" t="s">
        <v>58</v>
      </c>
      <c r="E32" s="22" t="n">
        <f aca="false">IFERROR('Rates Reference Table'!I29*$E$5,0)</f>
        <v>47</v>
      </c>
      <c r="F32" s="22" t="n">
        <f aca="false">IFERROR(E32*(1-$H$5/2),0)</f>
        <v>41.83</v>
      </c>
      <c r="G32" s="22" t="n">
        <f aca="false">IFERROR(E32*(1+$H$5/2),0)</f>
        <v>52.17</v>
      </c>
      <c r="H32" s="22" t="n">
        <f aca="false">IFERROR(F32*$B$5,0)</f>
        <v>20915</v>
      </c>
      <c r="I32" s="22" t="n">
        <f aca="false">IFERROR(G32*$B$5,0)</f>
        <v>26085</v>
      </c>
      <c r="J32" s="21" t="s">
        <v>126</v>
      </c>
    </row>
    <row r="33" customFormat="false" ht="13.5" hidden="false" customHeight="true" outlineLevel="0" collapsed="false">
      <c r="A33" s="24" t="s">
        <v>123</v>
      </c>
      <c r="B33" s="24" t="s">
        <v>127</v>
      </c>
      <c r="C33" s="25" t="s">
        <v>128</v>
      </c>
      <c r="D33" s="24" t="s">
        <v>109</v>
      </c>
      <c r="E33" s="26" t="n">
        <f aca="false">IFERROR('Rates Reference Table'!I30*$E$5,0)</f>
        <v>20.68</v>
      </c>
      <c r="F33" s="26" t="n">
        <f aca="false">IFERROR(E33*(1-$H$5/2),0)</f>
        <v>18.4052</v>
      </c>
      <c r="G33" s="26" t="n">
        <f aca="false">IFERROR(E33*(1+$H$5/2),0)</f>
        <v>22.9548</v>
      </c>
      <c r="H33" s="26" t="n">
        <f aca="false">IFERROR(F33*$B$5,0)</f>
        <v>9202.6</v>
      </c>
      <c r="I33" s="26" t="n">
        <f aca="false">IFERROR(G33*$B$5,0)</f>
        <v>11477.4</v>
      </c>
      <c r="J33" s="25" t="s">
        <v>129</v>
      </c>
    </row>
    <row r="34" customFormat="false" ht="13.5" hidden="false" customHeight="true" outlineLevel="0" collapsed="false">
      <c r="A34" s="20" t="s">
        <v>123</v>
      </c>
      <c r="B34" s="20" t="s">
        <v>130</v>
      </c>
      <c r="C34" s="21" t="s">
        <v>131</v>
      </c>
      <c r="D34" s="20" t="s">
        <v>58</v>
      </c>
      <c r="E34" s="22" t="n">
        <f aca="false">IFERROR('Rates Reference Table'!I31*$E$5,0)</f>
        <v>18.8</v>
      </c>
      <c r="F34" s="22" t="n">
        <f aca="false">IFERROR(E34*(1-$H$5/2),0)</f>
        <v>16.732</v>
      </c>
      <c r="G34" s="22" t="n">
        <f aca="false">IFERROR(E34*(1+$H$5/2),0)</f>
        <v>20.868</v>
      </c>
      <c r="H34" s="22" t="n">
        <f aca="false">IFERROR(F34*$B$5,0)</f>
        <v>8366</v>
      </c>
      <c r="I34" s="22" t="n">
        <f aca="false">IFERROR(G34*$B$5,0)</f>
        <v>10434</v>
      </c>
      <c r="J34" s="21" t="s">
        <v>132</v>
      </c>
    </row>
    <row r="35" customFormat="false" ht="13.5" hidden="false" customHeight="true" outlineLevel="0" collapsed="false">
      <c r="A35" s="24" t="s">
        <v>123</v>
      </c>
      <c r="B35" s="24" t="s">
        <v>133</v>
      </c>
      <c r="C35" s="25" t="s">
        <v>134</v>
      </c>
      <c r="D35" s="24" t="s">
        <v>58</v>
      </c>
      <c r="E35" s="26" t="n">
        <f aca="false">IFERROR('Rates Reference Table'!I32*$E$5,0)</f>
        <v>56.4</v>
      </c>
      <c r="F35" s="26" t="n">
        <f aca="false">IFERROR(E35*(1-$H$5/2),0)</f>
        <v>50.196</v>
      </c>
      <c r="G35" s="26" t="n">
        <f aca="false">IFERROR(E35*(1+$H$5/2),0)</f>
        <v>62.604</v>
      </c>
      <c r="H35" s="26" t="n">
        <f aca="false">IFERROR(F35*$B$5,0)</f>
        <v>25098</v>
      </c>
      <c r="I35" s="26" t="n">
        <f aca="false">IFERROR(G35*$B$5,0)</f>
        <v>31302</v>
      </c>
      <c r="J35" s="25" t="s">
        <v>135</v>
      </c>
    </row>
    <row r="36" customFormat="false" ht="15.75" hidden="false" customHeight="true" outlineLevel="0" collapsed="false">
      <c r="A36" s="36" t="s">
        <v>266</v>
      </c>
      <c r="B36" s="36"/>
      <c r="C36" s="36"/>
      <c r="D36" s="36"/>
      <c r="E36" s="36"/>
      <c r="F36" s="36"/>
      <c r="G36" s="36"/>
      <c r="H36" s="36"/>
      <c r="I36" s="36"/>
      <c r="J36" s="36"/>
    </row>
    <row r="37" customFormat="false" ht="13.5" hidden="false" customHeight="true" outlineLevel="0" collapsed="false">
      <c r="A37" s="20" t="s">
        <v>137</v>
      </c>
      <c r="B37" s="20" t="s">
        <v>138</v>
      </c>
      <c r="C37" s="21" t="s">
        <v>139</v>
      </c>
      <c r="D37" s="20" t="s">
        <v>73</v>
      </c>
      <c r="E37" s="22" t="n">
        <f aca="false">IFERROR('Rates Reference Table'!I34*$E$5,0)</f>
        <v>47</v>
      </c>
      <c r="F37" s="22" t="n">
        <f aca="false">IFERROR(E37*(1-$H$5/2),0)</f>
        <v>41.83</v>
      </c>
      <c r="G37" s="22" t="n">
        <f aca="false">IFERROR(E37*(1+$H$5/2),0)</f>
        <v>52.17</v>
      </c>
      <c r="H37" s="22" t="n">
        <f aca="false">IFERROR(F37*$B$5,0)</f>
        <v>20915</v>
      </c>
      <c r="I37" s="22" t="n">
        <f aca="false">IFERROR(G37*$B$5,0)</f>
        <v>26085</v>
      </c>
      <c r="J37" s="21" t="s">
        <v>140</v>
      </c>
    </row>
    <row r="38" customFormat="false" ht="13.5" hidden="false" customHeight="true" outlineLevel="0" collapsed="false">
      <c r="A38" s="24" t="s">
        <v>137</v>
      </c>
      <c r="B38" s="24" t="s">
        <v>141</v>
      </c>
      <c r="C38" s="25" t="s">
        <v>142</v>
      </c>
      <c r="D38" s="24" t="s">
        <v>73</v>
      </c>
      <c r="E38" s="26" t="n">
        <f aca="false">IFERROR('Rates Reference Table'!I35*$E$5,0)</f>
        <v>65.8</v>
      </c>
      <c r="F38" s="26" t="n">
        <f aca="false">IFERROR(E38*(1-$H$5/2),0)</f>
        <v>58.562</v>
      </c>
      <c r="G38" s="26" t="n">
        <f aca="false">IFERROR(E38*(1+$H$5/2),0)</f>
        <v>73.038</v>
      </c>
      <c r="H38" s="26" t="n">
        <f aca="false">IFERROR(F38*$B$5,0)</f>
        <v>29281</v>
      </c>
      <c r="I38" s="26" t="n">
        <f aca="false">IFERROR(G38*$B$5,0)</f>
        <v>36519</v>
      </c>
      <c r="J38" s="25" t="s">
        <v>143</v>
      </c>
    </row>
    <row r="39" customFormat="false" ht="13.5" hidden="false" customHeight="true" outlineLevel="0" collapsed="false">
      <c r="A39" s="20" t="s">
        <v>137</v>
      </c>
      <c r="B39" s="20" t="s">
        <v>144</v>
      </c>
      <c r="C39" s="21" t="s">
        <v>145</v>
      </c>
      <c r="D39" s="20" t="s">
        <v>73</v>
      </c>
      <c r="E39" s="22" t="n">
        <f aca="false">IFERROR('Rates Reference Table'!I36*$E$5,0)</f>
        <v>65.8</v>
      </c>
      <c r="F39" s="22" t="n">
        <f aca="false">IFERROR(E39*(1-$H$5/2),0)</f>
        <v>58.562</v>
      </c>
      <c r="G39" s="22" t="n">
        <f aca="false">IFERROR(E39*(1+$H$5/2),0)</f>
        <v>73.038</v>
      </c>
      <c r="H39" s="22" t="n">
        <f aca="false">IFERROR(F39*$B$5,0)</f>
        <v>29281</v>
      </c>
      <c r="I39" s="22" t="n">
        <f aca="false">IFERROR(G39*$B$5,0)</f>
        <v>36519</v>
      </c>
      <c r="J39" s="21" t="s">
        <v>146</v>
      </c>
    </row>
    <row r="40" customFormat="false" ht="13.5" hidden="false" customHeight="true" outlineLevel="0" collapsed="false">
      <c r="A40" s="24" t="s">
        <v>137</v>
      </c>
      <c r="B40" s="24" t="s">
        <v>147</v>
      </c>
      <c r="C40" s="25" t="s">
        <v>148</v>
      </c>
      <c r="D40" s="24" t="s">
        <v>73</v>
      </c>
      <c r="E40" s="26" t="n">
        <f aca="false">IFERROR('Rates Reference Table'!I37*$E$5,0)</f>
        <v>51.7</v>
      </c>
      <c r="F40" s="26" t="n">
        <f aca="false">IFERROR(E40*(1-$H$5/2),0)</f>
        <v>46.013</v>
      </c>
      <c r="G40" s="26" t="n">
        <f aca="false">IFERROR(E40*(1+$H$5/2),0)</f>
        <v>57.387</v>
      </c>
      <c r="H40" s="26" t="n">
        <f aca="false">IFERROR(F40*$B$5,0)</f>
        <v>23006.5</v>
      </c>
      <c r="I40" s="26" t="n">
        <f aca="false">IFERROR(G40*$B$5,0)</f>
        <v>28693.5</v>
      </c>
      <c r="J40" s="25" t="s">
        <v>149</v>
      </c>
    </row>
    <row r="41" customFormat="false" ht="13.5" hidden="false" customHeight="true" outlineLevel="0" collapsed="false">
      <c r="A41" s="20" t="s">
        <v>137</v>
      </c>
      <c r="B41" s="20" t="s">
        <v>150</v>
      </c>
      <c r="C41" s="21" t="s">
        <v>151</v>
      </c>
      <c r="D41" s="20" t="s">
        <v>58</v>
      </c>
      <c r="E41" s="22" t="n">
        <f aca="false">IFERROR('Rates Reference Table'!I38*$E$5,0)</f>
        <v>14.1</v>
      </c>
      <c r="F41" s="22" t="n">
        <f aca="false">IFERROR(E41*(1-$H$5/2),0)</f>
        <v>12.549</v>
      </c>
      <c r="G41" s="22" t="n">
        <f aca="false">IFERROR(E41*(1+$H$5/2),0)</f>
        <v>15.651</v>
      </c>
      <c r="H41" s="22" t="n">
        <f aca="false">IFERROR(F41*$B$5,0)</f>
        <v>6274.5</v>
      </c>
      <c r="I41" s="22" t="n">
        <f aca="false">IFERROR(G41*$B$5,0)</f>
        <v>7825.5</v>
      </c>
      <c r="J41" s="21" t="s">
        <v>152</v>
      </c>
    </row>
    <row r="42" customFormat="false" ht="13.5" hidden="false" customHeight="true" outlineLevel="0" collapsed="false">
      <c r="A42" s="24" t="s">
        <v>137</v>
      </c>
      <c r="B42" s="24" t="s">
        <v>153</v>
      </c>
      <c r="C42" s="25" t="s">
        <v>154</v>
      </c>
      <c r="D42" s="24" t="s">
        <v>73</v>
      </c>
      <c r="E42" s="26" t="n">
        <f aca="false">IFERROR('Rates Reference Table'!I39*$E$5,0)</f>
        <v>23.5</v>
      </c>
      <c r="F42" s="26" t="n">
        <f aca="false">IFERROR(E42*(1-$H$5/2),0)</f>
        <v>20.915</v>
      </c>
      <c r="G42" s="26" t="n">
        <f aca="false">IFERROR(E42*(1+$H$5/2),0)</f>
        <v>26.085</v>
      </c>
      <c r="H42" s="26" t="n">
        <f aca="false">IFERROR(F42*$B$5,0)</f>
        <v>10457.5</v>
      </c>
      <c r="I42" s="26" t="n">
        <f aca="false">IFERROR(G42*$B$5,0)</f>
        <v>13042.5</v>
      </c>
      <c r="J42" s="25" t="s">
        <v>155</v>
      </c>
    </row>
    <row r="43" customFormat="false" ht="13.5" hidden="false" customHeight="true" outlineLevel="0" collapsed="false">
      <c r="A43" s="20" t="s">
        <v>137</v>
      </c>
      <c r="B43" s="20" t="s">
        <v>156</v>
      </c>
      <c r="C43" s="21" t="s">
        <v>157</v>
      </c>
      <c r="D43" s="20" t="s">
        <v>73</v>
      </c>
      <c r="E43" s="22" t="n">
        <f aca="false">IFERROR('Rates Reference Table'!I40*$E$5,0)</f>
        <v>42.3</v>
      </c>
      <c r="F43" s="22" t="n">
        <f aca="false">IFERROR(E43*(1-$H$5/2),0)</f>
        <v>37.647</v>
      </c>
      <c r="G43" s="22" t="n">
        <f aca="false">IFERROR(E43*(1+$H$5/2),0)</f>
        <v>46.953</v>
      </c>
      <c r="H43" s="22" t="n">
        <f aca="false">IFERROR(F43*$B$5,0)</f>
        <v>18823.5</v>
      </c>
      <c r="I43" s="22" t="n">
        <f aca="false">IFERROR(G43*$B$5,0)</f>
        <v>23476.5</v>
      </c>
      <c r="J43" s="21" t="s">
        <v>158</v>
      </c>
    </row>
    <row r="44" customFormat="false" ht="13.5" hidden="false" customHeight="true" outlineLevel="0" collapsed="false">
      <c r="A44" s="24" t="s">
        <v>137</v>
      </c>
      <c r="B44" s="24" t="s">
        <v>159</v>
      </c>
      <c r="C44" s="25" t="s">
        <v>160</v>
      </c>
      <c r="D44" s="24" t="s">
        <v>73</v>
      </c>
      <c r="E44" s="26" t="n">
        <f aca="false">IFERROR('Rates Reference Table'!I41*$E$5,0)</f>
        <v>56.4</v>
      </c>
      <c r="F44" s="26" t="n">
        <f aca="false">IFERROR(E44*(1-$H$5/2),0)</f>
        <v>50.196</v>
      </c>
      <c r="G44" s="26" t="n">
        <f aca="false">IFERROR(E44*(1+$H$5/2),0)</f>
        <v>62.604</v>
      </c>
      <c r="H44" s="26" t="n">
        <f aca="false">IFERROR(F44*$B$5,0)</f>
        <v>25098</v>
      </c>
      <c r="I44" s="26" t="n">
        <f aca="false">IFERROR(G44*$B$5,0)</f>
        <v>31302</v>
      </c>
      <c r="J44" s="25" t="s">
        <v>161</v>
      </c>
    </row>
    <row r="45" customFormat="false" ht="13.5" hidden="false" customHeight="true" outlineLevel="0" collapsed="false">
      <c r="A45" s="20" t="s">
        <v>137</v>
      </c>
      <c r="B45" s="20" t="s">
        <v>162</v>
      </c>
      <c r="C45" s="21" t="s">
        <v>163</v>
      </c>
      <c r="D45" s="20" t="s">
        <v>73</v>
      </c>
      <c r="E45" s="22" t="n">
        <f aca="false">IFERROR('Rates Reference Table'!I42*$E$5,0)</f>
        <v>23.5</v>
      </c>
      <c r="F45" s="22" t="n">
        <f aca="false">IFERROR(E45*(1-$H$5/2),0)</f>
        <v>20.915</v>
      </c>
      <c r="G45" s="22" t="n">
        <f aca="false">IFERROR(E45*(1+$H$5/2),0)</f>
        <v>26.085</v>
      </c>
      <c r="H45" s="22" t="n">
        <f aca="false">IFERROR(F45*$B$5,0)</f>
        <v>10457.5</v>
      </c>
      <c r="I45" s="22" t="n">
        <f aca="false">IFERROR(G45*$B$5,0)</f>
        <v>13042.5</v>
      </c>
      <c r="J45" s="21" t="s">
        <v>164</v>
      </c>
    </row>
    <row r="46" customFormat="false" ht="13.5" hidden="false" customHeight="true" outlineLevel="0" collapsed="false">
      <c r="A46" s="24" t="s">
        <v>137</v>
      </c>
      <c r="B46" s="24" t="s">
        <v>165</v>
      </c>
      <c r="C46" s="25" t="s">
        <v>166</v>
      </c>
      <c r="D46" s="24" t="s">
        <v>58</v>
      </c>
      <c r="E46" s="26" t="n">
        <f aca="false">IFERROR('Rates Reference Table'!I43*$E$5,0)</f>
        <v>11.28</v>
      </c>
      <c r="F46" s="26" t="n">
        <f aca="false">IFERROR(E46*(1-$H$5/2),0)</f>
        <v>10.0392</v>
      </c>
      <c r="G46" s="26" t="n">
        <f aca="false">IFERROR(E46*(1+$H$5/2),0)</f>
        <v>12.5208</v>
      </c>
      <c r="H46" s="26" t="n">
        <f aca="false">IFERROR(F46*$B$5,0)</f>
        <v>5019.6</v>
      </c>
      <c r="I46" s="26" t="n">
        <f aca="false">IFERROR(G46*$B$5,0)</f>
        <v>6260.4</v>
      </c>
      <c r="J46" s="25" t="s">
        <v>167</v>
      </c>
    </row>
    <row r="47" customFormat="false" ht="13.5" hidden="false" customHeight="true" outlineLevel="0" collapsed="false">
      <c r="A47" s="20" t="s">
        <v>137</v>
      </c>
      <c r="B47" s="20" t="s">
        <v>168</v>
      </c>
      <c r="C47" s="21" t="s">
        <v>169</v>
      </c>
      <c r="D47" s="20" t="s">
        <v>170</v>
      </c>
      <c r="E47" s="22" t="n">
        <f aca="false">IFERROR('Rates Reference Table'!I44*$E$5,0)</f>
        <v>1128</v>
      </c>
      <c r="F47" s="22" t="n">
        <f aca="false">IFERROR(E47*(1-$H$5/2),0)</f>
        <v>1003.92</v>
      </c>
      <c r="G47" s="22" t="n">
        <f aca="false">IFERROR(E47*(1+$H$5/2),0)</f>
        <v>1252.08</v>
      </c>
      <c r="H47" s="22" t="n">
        <f aca="false">IFERROR(F47*$B$5,0)</f>
        <v>501960</v>
      </c>
      <c r="I47" s="22" t="n">
        <f aca="false">IFERROR(G47*$B$5,0)</f>
        <v>626040</v>
      </c>
      <c r="J47" s="21" t="s">
        <v>171</v>
      </c>
    </row>
    <row r="48" customFormat="false" ht="13.5" hidden="false" customHeight="true" outlineLevel="0" collapsed="false">
      <c r="A48" s="24" t="s">
        <v>137</v>
      </c>
      <c r="B48" s="24" t="s">
        <v>172</v>
      </c>
      <c r="C48" s="25" t="s">
        <v>173</v>
      </c>
      <c r="D48" s="24" t="s">
        <v>109</v>
      </c>
      <c r="E48" s="26" t="n">
        <f aca="false">IFERROR('Rates Reference Table'!I45*$E$5,0)</f>
        <v>2350</v>
      </c>
      <c r="F48" s="26" t="n">
        <f aca="false">IFERROR(E48*(1-$H$5/2),0)</f>
        <v>2091.5</v>
      </c>
      <c r="G48" s="26" t="n">
        <f aca="false">IFERROR(E48*(1+$H$5/2),0)</f>
        <v>2608.5</v>
      </c>
      <c r="H48" s="26" t="n">
        <f aca="false">IFERROR(F48*$B$5,0)</f>
        <v>1045750</v>
      </c>
      <c r="I48" s="26" t="n">
        <f aca="false">IFERROR(G48*$B$5,0)</f>
        <v>1304250</v>
      </c>
      <c r="J48" s="25" t="s">
        <v>174</v>
      </c>
    </row>
    <row r="49" customFormat="false" ht="13.5" hidden="false" customHeight="true" outlineLevel="0" collapsed="false">
      <c r="A49" s="20" t="s">
        <v>137</v>
      </c>
      <c r="B49" s="20" t="s">
        <v>175</v>
      </c>
      <c r="C49" s="21" t="s">
        <v>176</v>
      </c>
      <c r="D49" s="20" t="s">
        <v>73</v>
      </c>
      <c r="E49" s="22" t="n">
        <f aca="false">IFERROR('Rates Reference Table'!I46*$E$5,0)</f>
        <v>23.5</v>
      </c>
      <c r="F49" s="22" t="n">
        <f aca="false">IFERROR(E49*(1-$H$5/2),0)</f>
        <v>20.915</v>
      </c>
      <c r="G49" s="22" t="n">
        <f aca="false">IFERROR(E49*(1+$H$5/2),0)</f>
        <v>26.085</v>
      </c>
      <c r="H49" s="22" t="n">
        <f aca="false">IFERROR(F49*$B$5,0)</f>
        <v>10457.5</v>
      </c>
      <c r="I49" s="22" t="n">
        <f aca="false">IFERROR(G49*$B$5,0)</f>
        <v>13042.5</v>
      </c>
      <c r="J49" s="21" t="s">
        <v>177</v>
      </c>
    </row>
    <row r="50" customFormat="false" ht="13.5" hidden="false" customHeight="true" outlineLevel="0" collapsed="false">
      <c r="A50" s="24" t="s">
        <v>137</v>
      </c>
      <c r="B50" s="24" t="s">
        <v>178</v>
      </c>
      <c r="C50" s="25" t="s">
        <v>179</v>
      </c>
      <c r="D50" s="24" t="s">
        <v>58</v>
      </c>
      <c r="E50" s="26" t="n">
        <f aca="false">IFERROR('Rates Reference Table'!I47*$E$5,0)</f>
        <v>37.6</v>
      </c>
      <c r="F50" s="26" t="n">
        <f aca="false">IFERROR(E50*(1-$H$5/2),0)</f>
        <v>33.464</v>
      </c>
      <c r="G50" s="26" t="n">
        <f aca="false">IFERROR(E50*(1+$H$5/2),0)</f>
        <v>41.736</v>
      </c>
      <c r="H50" s="26" t="n">
        <f aca="false">IFERROR(F50*$B$5,0)</f>
        <v>16732</v>
      </c>
      <c r="I50" s="26" t="n">
        <f aca="false">IFERROR(G50*$B$5,0)</f>
        <v>20868</v>
      </c>
      <c r="J50" s="25" t="s">
        <v>180</v>
      </c>
    </row>
    <row r="51" customFormat="false" ht="13.5" hidden="false" customHeight="true" outlineLevel="0" collapsed="false">
      <c r="A51" s="20" t="s">
        <v>137</v>
      </c>
      <c r="B51" s="20" t="s">
        <v>181</v>
      </c>
      <c r="C51" s="21" t="s">
        <v>182</v>
      </c>
      <c r="D51" s="20" t="s">
        <v>73</v>
      </c>
      <c r="E51" s="22" t="n">
        <f aca="false">IFERROR('Rates Reference Table'!I48*$E$5,0)</f>
        <v>18.8</v>
      </c>
      <c r="F51" s="22" t="n">
        <f aca="false">IFERROR(E51*(1-$H$5/2),0)</f>
        <v>16.732</v>
      </c>
      <c r="G51" s="22" t="n">
        <f aca="false">IFERROR(E51*(1+$H$5/2),0)</f>
        <v>20.868</v>
      </c>
      <c r="H51" s="22" t="n">
        <f aca="false">IFERROR(F51*$B$5,0)</f>
        <v>8366</v>
      </c>
      <c r="I51" s="22" t="n">
        <f aca="false">IFERROR(G51*$B$5,0)</f>
        <v>10434</v>
      </c>
      <c r="J51" s="21" t="s">
        <v>183</v>
      </c>
    </row>
    <row r="52" customFormat="false" ht="13.5" hidden="false" customHeight="true" outlineLevel="0" collapsed="false">
      <c r="A52" s="24" t="s">
        <v>137</v>
      </c>
      <c r="B52" s="24" t="s">
        <v>184</v>
      </c>
      <c r="C52" s="25" t="s">
        <v>185</v>
      </c>
      <c r="D52" s="24" t="s">
        <v>109</v>
      </c>
      <c r="E52" s="26" t="n">
        <f aca="false">IFERROR('Rates Reference Table'!I49*$E$5,0)</f>
        <v>94</v>
      </c>
      <c r="F52" s="26" t="n">
        <f aca="false">IFERROR(E52*(1-$H$5/2),0)</f>
        <v>83.66</v>
      </c>
      <c r="G52" s="26" t="n">
        <f aca="false">IFERROR(E52*(1+$H$5/2),0)</f>
        <v>104.34</v>
      </c>
      <c r="H52" s="26" t="n">
        <f aca="false">IFERROR(F52*$B$5,0)</f>
        <v>41830</v>
      </c>
      <c r="I52" s="26" t="n">
        <f aca="false">IFERROR(G52*$B$5,0)</f>
        <v>52170</v>
      </c>
      <c r="J52" s="25" t="s">
        <v>186</v>
      </c>
    </row>
    <row r="53" customFormat="false" ht="13.5" hidden="false" customHeight="true" outlineLevel="0" collapsed="false">
      <c r="A53" s="20" t="s">
        <v>137</v>
      </c>
      <c r="B53" s="20" t="s">
        <v>187</v>
      </c>
      <c r="C53" s="21" t="s">
        <v>188</v>
      </c>
      <c r="D53" s="20" t="s">
        <v>73</v>
      </c>
      <c r="E53" s="22" t="n">
        <f aca="false">IFERROR('Rates Reference Table'!I50*$E$5,0)</f>
        <v>16.92</v>
      </c>
      <c r="F53" s="22" t="n">
        <f aca="false">IFERROR(E53*(1-$H$5/2),0)</f>
        <v>15.0588</v>
      </c>
      <c r="G53" s="22" t="n">
        <f aca="false">IFERROR(E53*(1+$H$5/2),0)</f>
        <v>18.7812</v>
      </c>
      <c r="H53" s="22" t="n">
        <f aca="false">IFERROR(F53*$B$5,0)</f>
        <v>7529.4</v>
      </c>
      <c r="I53" s="22" t="n">
        <f aca="false">IFERROR(G53*$B$5,0)</f>
        <v>9390.6</v>
      </c>
      <c r="J53" s="21" t="s">
        <v>189</v>
      </c>
    </row>
    <row r="54" customFormat="false" ht="15.75" hidden="false" customHeight="true" outlineLevel="0" collapsed="false">
      <c r="A54" s="36" t="s">
        <v>267</v>
      </c>
      <c r="B54" s="36"/>
      <c r="C54" s="36"/>
      <c r="D54" s="36"/>
      <c r="E54" s="36"/>
      <c r="F54" s="36"/>
      <c r="G54" s="36"/>
      <c r="H54" s="36"/>
      <c r="I54" s="36"/>
      <c r="J54" s="36"/>
    </row>
    <row r="55" customFormat="false" ht="13.5" hidden="false" customHeight="true" outlineLevel="0" collapsed="false">
      <c r="A55" s="20" t="s">
        <v>191</v>
      </c>
      <c r="B55" s="20" t="s">
        <v>192</v>
      </c>
      <c r="C55" s="21" t="s">
        <v>193</v>
      </c>
      <c r="D55" s="20" t="s">
        <v>58</v>
      </c>
      <c r="E55" s="22" t="n">
        <f aca="false">IFERROR('Rates Reference Table'!I52*$E$5,0)</f>
        <v>141</v>
      </c>
      <c r="F55" s="22" t="n">
        <f aca="false">IFERROR(E55*(1-$H$5/2),0)</f>
        <v>125.49</v>
      </c>
      <c r="G55" s="22" t="n">
        <f aca="false">IFERROR(E55*(1+$H$5/2),0)</f>
        <v>156.51</v>
      </c>
      <c r="H55" s="22" t="n">
        <f aca="false">IFERROR(F55*$B$5,0)</f>
        <v>62745</v>
      </c>
      <c r="I55" s="22" t="n">
        <f aca="false">IFERROR(G55*$B$5,0)</f>
        <v>78255</v>
      </c>
      <c r="J55" s="21" t="s">
        <v>194</v>
      </c>
    </row>
    <row r="56" customFormat="false" ht="13.5" hidden="false" customHeight="true" outlineLevel="0" collapsed="false">
      <c r="A56" s="24" t="s">
        <v>191</v>
      </c>
      <c r="B56" s="24" t="s">
        <v>195</v>
      </c>
      <c r="C56" s="25" t="s">
        <v>196</v>
      </c>
      <c r="D56" s="24" t="s">
        <v>58</v>
      </c>
      <c r="E56" s="26" t="n">
        <f aca="false">IFERROR('Rates Reference Table'!I53*$E$5,0)</f>
        <v>75.2</v>
      </c>
      <c r="F56" s="26" t="n">
        <f aca="false">IFERROR(E56*(1-$H$5/2),0)</f>
        <v>66.928</v>
      </c>
      <c r="G56" s="26" t="n">
        <f aca="false">IFERROR(E56*(1+$H$5/2),0)</f>
        <v>83.472</v>
      </c>
      <c r="H56" s="26" t="n">
        <f aca="false">IFERROR(F56*$B$5,0)</f>
        <v>33464</v>
      </c>
      <c r="I56" s="26" t="n">
        <f aca="false">IFERROR(G56*$B$5,0)</f>
        <v>41736</v>
      </c>
      <c r="J56" s="25" t="s">
        <v>197</v>
      </c>
    </row>
    <row r="57" customFormat="false" ht="15.75" hidden="false" customHeight="true" outlineLevel="0" collapsed="false">
      <c r="A57" s="37" t="s">
        <v>268</v>
      </c>
      <c r="B57" s="37"/>
      <c r="C57" s="37"/>
      <c r="D57" s="37"/>
      <c r="E57" s="37"/>
      <c r="F57" s="37"/>
      <c r="G57" s="37"/>
      <c r="H57" s="37"/>
      <c r="I57" s="37"/>
      <c r="J57" s="37"/>
    </row>
    <row r="58" customFormat="false" ht="13.5" hidden="false" customHeight="true" outlineLevel="0" collapsed="false">
      <c r="A58" s="38" t="s">
        <v>199</v>
      </c>
      <c r="B58" s="38" t="s">
        <v>200</v>
      </c>
      <c r="C58" s="39" t="s">
        <v>201</v>
      </c>
      <c r="D58" s="38" t="s">
        <v>58</v>
      </c>
      <c r="E58" s="40" t="s">
        <v>262</v>
      </c>
      <c r="F58" s="40" t="s">
        <v>262</v>
      </c>
      <c r="G58" s="40" t="s">
        <v>262</v>
      </c>
      <c r="H58" s="41" t="n">
        <v>0</v>
      </c>
      <c r="I58" s="41" t="n">
        <v>0</v>
      </c>
      <c r="J58" s="39" t="s">
        <v>202</v>
      </c>
    </row>
    <row r="59" customFormat="false" ht="13.5" hidden="false" customHeight="true" outlineLevel="0" collapsed="false">
      <c r="A59" s="38" t="s">
        <v>199</v>
      </c>
      <c r="B59" s="38" t="s">
        <v>203</v>
      </c>
      <c r="C59" s="39" t="s">
        <v>204</v>
      </c>
      <c r="D59" s="38" t="s">
        <v>58</v>
      </c>
      <c r="E59" s="40" t="s">
        <v>262</v>
      </c>
      <c r="F59" s="40" t="s">
        <v>262</v>
      </c>
      <c r="G59" s="40" t="s">
        <v>262</v>
      </c>
      <c r="H59" s="41" t="n">
        <v>0</v>
      </c>
      <c r="I59" s="41" t="n">
        <v>0</v>
      </c>
      <c r="J59" s="39" t="s">
        <v>205</v>
      </c>
    </row>
    <row r="60" customFormat="false" ht="13.5" hidden="false" customHeight="true" outlineLevel="0" collapsed="false">
      <c r="A60" s="38" t="s">
        <v>199</v>
      </c>
      <c r="B60" s="38" t="s">
        <v>206</v>
      </c>
      <c r="C60" s="39" t="s">
        <v>207</v>
      </c>
      <c r="D60" s="38" t="s">
        <v>58</v>
      </c>
      <c r="E60" s="40" t="s">
        <v>262</v>
      </c>
      <c r="F60" s="40" t="s">
        <v>262</v>
      </c>
      <c r="G60" s="40" t="s">
        <v>262</v>
      </c>
      <c r="H60" s="41" t="n">
        <v>0</v>
      </c>
      <c r="I60" s="41" t="n">
        <v>0</v>
      </c>
      <c r="J60" s="39" t="s">
        <v>208</v>
      </c>
    </row>
    <row r="61" customFormat="false" ht="13.5" hidden="false" customHeight="true" outlineLevel="0" collapsed="false">
      <c r="A61" s="38" t="s">
        <v>199</v>
      </c>
      <c r="B61" s="38" t="s">
        <v>209</v>
      </c>
      <c r="C61" s="39" t="s">
        <v>210</v>
      </c>
      <c r="D61" s="38" t="s">
        <v>58</v>
      </c>
      <c r="E61" s="40" t="s">
        <v>262</v>
      </c>
      <c r="F61" s="40" t="s">
        <v>262</v>
      </c>
      <c r="G61" s="40" t="s">
        <v>262</v>
      </c>
      <c r="H61" s="41" t="n">
        <v>0</v>
      </c>
      <c r="I61" s="41" t="n">
        <v>0</v>
      </c>
      <c r="J61" s="39" t="s">
        <v>211</v>
      </c>
    </row>
    <row r="62" customFormat="false" ht="13.5" hidden="false" customHeight="true" outlineLevel="0" collapsed="false">
      <c r="A62" s="38" t="s">
        <v>199</v>
      </c>
      <c r="B62" s="38" t="s">
        <v>212</v>
      </c>
      <c r="C62" s="39" t="s">
        <v>213</v>
      </c>
      <c r="D62" s="38" t="s">
        <v>58</v>
      </c>
      <c r="E62" s="40" t="s">
        <v>262</v>
      </c>
      <c r="F62" s="40" t="s">
        <v>262</v>
      </c>
      <c r="G62" s="40" t="s">
        <v>262</v>
      </c>
      <c r="H62" s="41" t="n">
        <v>0</v>
      </c>
      <c r="I62" s="41" t="n">
        <v>0</v>
      </c>
      <c r="J62" s="39" t="s">
        <v>214</v>
      </c>
    </row>
    <row r="63" customFormat="false" ht="15.75" hidden="false" customHeight="true" outlineLevel="0" collapsed="false">
      <c r="A63" s="36" t="s">
        <v>269</v>
      </c>
      <c r="B63" s="36"/>
      <c r="C63" s="36"/>
      <c r="D63" s="36"/>
      <c r="E63" s="36"/>
      <c r="F63" s="36"/>
      <c r="G63" s="36"/>
      <c r="H63" s="36"/>
      <c r="I63" s="36"/>
      <c r="J63" s="36"/>
    </row>
    <row r="64" customFormat="false" ht="13.5" hidden="false" customHeight="true" outlineLevel="0" collapsed="false">
      <c r="A64" s="20" t="s">
        <v>216</v>
      </c>
      <c r="B64" s="20" t="s">
        <v>217</v>
      </c>
      <c r="C64" s="21" t="s">
        <v>218</v>
      </c>
      <c r="D64" s="20" t="s">
        <v>58</v>
      </c>
      <c r="E64" s="22" t="n">
        <f aca="false">IFERROR('Rates Reference Table'!I61*$E$5,0)</f>
        <v>16.92</v>
      </c>
      <c r="F64" s="22" t="n">
        <f aca="false">IFERROR(E64*(1-$H$5/2),0)</f>
        <v>15.0588</v>
      </c>
      <c r="G64" s="22" t="n">
        <f aca="false">IFERROR(E64*(1+$H$5/2),0)</f>
        <v>18.7812</v>
      </c>
      <c r="H64" s="22" t="n">
        <f aca="false">IFERROR(F64*$B$5,0)</f>
        <v>7529.4</v>
      </c>
      <c r="I64" s="22" t="n">
        <f aca="false">IFERROR(G64*$B$5,0)</f>
        <v>9390.6</v>
      </c>
      <c r="J64" s="21" t="s">
        <v>219</v>
      </c>
    </row>
    <row r="65" customFormat="false" ht="13.5" hidden="false" customHeight="true" outlineLevel="0" collapsed="false">
      <c r="A65" s="24" t="s">
        <v>216</v>
      </c>
      <c r="B65" s="24" t="s">
        <v>220</v>
      </c>
      <c r="C65" s="25" t="s">
        <v>221</v>
      </c>
      <c r="D65" s="24" t="s">
        <v>73</v>
      </c>
      <c r="E65" s="26" t="n">
        <f aca="false">IFERROR('Rates Reference Table'!I62*$E$5,0)</f>
        <v>32.9</v>
      </c>
      <c r="F65" s="26" t="n">
        <f aca="false">IFERROR(E65*(1-$H$5/2),0)</f>
        <v>29.281</v>
      </c>
      <c r="G65" s="26" t="n">
        <f aca="false">IFERROR(E65*(1+$H$5/2),0)</f>
        <v>36.519</v>
      </c>
      <c r="H65" s="26" t="n">
        <f aca="false">IFERROR(F65*$B$5,0)</f>
        <v>14640.5</v>
      </c>
      <c r="I65" s="26" t="n">
        <f aca="false">IFERROR(G65*$B$5,0)</f>
        <v>18259.5</v>
      </c>
      <c r="J65" s="25" t="s">
        <v>222</v>
      </c>
    </row>
    <row r="66" customFormat="false" ht="13.5" hidden="false" customHeight="true" outlineLevel="0" collapsed="false">
      <c r="A66" s="20" t="s">
        <v>216</v>
      </c>
      <c r="B66" s="20" t="s">
        <v>223</v>
      </c>
      <c r="C66" s="21" t="s">
        <v>224</v>
      </c>
      <c r="D66" s="20" t="s">
        <v>109</v>
      </c>
      <c r="E66" s="22" t="n">
        <f aca="false">IFERROR('Rates Reference Table'!I63*$E$5,0)</f>
        <v>11.28</v>
      </c>
      <c r="F66" s="22" t="n">
        <f aca="false">IFERROR(E66*(1-$H$5/2),0)</f>
        <v>10.0392</v>
      </c>
      <c r="G66" s="22" t="n">
        <f aca="false">IFERROR(E66*(1+$H$5/2),0)</f>
        <v>12.5208</v>
      </c>
      <c r="H66" s="22" t="n">
        <f aca="false">IFERROR(F66*$B$5,0)</f>
        <v>5019.6</v>
      </c>
      <c r="I66" s="22" t="n">
        <f aca="false">IFERROR(G66*$B$5,0)</f>
        <v>6260.4</v>
      </c>
      <c r="J66" s="21" t="s">
        <v>225</v>
      </c>
    </row>
    <row r="67" customFormat="false" ht="13.5" hidden="false" customHeight="true" outlineLevel="0" collapsed="false">
      <c r="A67" s="24" t="s">
        <v>216</v>
      </c>
      <c r="B67" s="24" t="s">
        <v>226</v>
      </c>
      <c r="C67" s="25" t="s">
        <v>227</v>
      </c>
      <c r="D67" s="24" t="s">
        <v>58</v>
      </c>
      <c r="E67" s="26" t="n">
        <f aca="false">IFERROR('Rates Reference Table'!I64*$E$5,0)</f>
        <v>18.8</v>
      </c>
      <c r="F67" s="26" t="n">
        <f aca="false">IFERROR(E67*(1-$H$5/2),0)</f>
        <v>16.732</v>
      </c>
      <c r="G67" s="26" t="n">
        <f aca="false">IFERROR(E67*(1+$H$5/2),0)</f>
        <v>20.868</v>
      </c>
      <c r="H67" s="26" t="n">
        <f aca="false">IFERROR(F67*$B$5,0)</f>
        <v>8366</v>
      </c>
      <c r="I67" s="26" t="n">
        <f aca="false">IFERROR(G67*$B$5,0)</f>
        <v>10434</v>
      </c>
      <c r="J67" s="25" t="s">
        <v>228</v>
      </c>
    </row>
    <row r="68" customFormat="false" ht="13.5" hidden="false" customHeight="true" outlineLevel="0" collapsed="false">
      <c r="A68" s="20" t="s">
        <v>216</v>
      </c>
      <c r="B68" s="20" t="s">
        <v>229</v>
      </c>
      <c r="C68" s="21" t="s">
        <v>230</v>
      </c>
      <c r="D68" s="20" t="s">
        <v>58</v>
      </c>
      <c r="E68" s="22" t="n">
        <f aca="false">IFERROR('Rates Reference Table'!I65*$E$5,0)</f>
        <v>14.1</v>
      </c>
      <c r="F68" s="22" t="n">
        <f aca="false">IFERROR(E68*(1-$H$5/2),0)</f>
        <v>12.549</v>
      </c>
      <c r="G68" s="22" t="n">
        <f aca="false">IFERROR(E68*(1+$H$5/2),0)</f>
        <v>15.651</v>
      </c>
      <c r="H68" s="22" t="n">
        <f aca="false">IFERROR(F68*$B$5,0)</f>
        <v>6274.5</v>
      </c>
      <c r="I68" s="22" t="n">
        <f aca="false">IFERROR(G68*$B$5,0)</f>
        <v>7825.5</v>
      </c>
      <c r="J68" s="21" t="s">
        <v>231</v>
      </c>
    </row>
    <row r="69" customFormat="false" ht="13.5" hidden="false" customHeight="true" outlineLevel="0" collapsed="false">
      <c r="A69" s="24" t="s">
        <v>216</v>
      </c>
      <c r="B69" s="24" t="s">
        <v>232</v>
      </c>
      <c r="C69" s="25" t="s">
        <v>233</v>
      </c>
      <c r="D69" s="24" t="s">
        <v>58</v>
      </c>
      <c r="E69" s="26" t="n">
        <f aca="false">IFERROR('Rates Reference Table'!I66*$E$5,0)</f>
        <v>18.8</v>
      </c>
      <c r="F69" s="26" t="n">
        <f aca="false">IFERROR(E69*(1-$H$5/2),0)</f>
        <v>16.732</v>
      </c>
      <c r="G69" s="26" t="n">
        <f aca="false">IFERROR(E69*(1+$H$5/2),0)</f>
        <v>20.868</v>
      </c>
      <c r="H69" s="26" t="n">
        <f aca="false">IFERROR(F69*$B$5,0)</f>
        <v>8366</v>
      </c>
      <c r="I69" s="26" t="n">
        <f aca="false">IFERROR(G69*$B$5,0)</f>
        <v>10434</v>
      </c>
      <c r="J69" s="25" t="s">
        <v>234</v>
      </c>
    </row>
    <row r="70" customFormat="false" ht="13.5" hidden="false" customHeight="true" outlineLevel="0" collapsed="false">
      <c r="A70" s="20" t="s">
        <v>216</v>
      </c>
      <c r="B70" s="20" t="s">
        <v>235</v>
      </c>
      <c r="C70" s="21" t="s">
        <v>236</v>
      </c>
      <c r="D70" s="20" t="s">
        <v>73</v>
      </c>
      <c r="E70" s="22" t="n">
        <f aca="false">IFERROR('Rates Reference Table'!I67*$E$5,0)</f>
        <v>11.28</v>
      </c>
      <c r="F70" s="22" t="n">
        <f aca="false">IFERROR(E70*(1-$H$5/2),0)</f>
        <v>10.0392</v>
      </c>
      <c r="G70" s="22" t="n">
        <f aca="false">IFERROR(E70*(1+$H$5/2),0)</f>
        <v>12.5208</v>
      </c>
      <c r="H70" s="22" t="n">
        <f aca="false">IFERROR(F70*$B$5,0)</f>
        <v>5019.6</v>
      </c>
      <c r="I70" s="22" t="n">
        <f aca="false">IFERROR(G70*$B$5,0)</f>
        <v>6260.4</v>
      </c>
      <c r="J70" s="21" t="s">
        <v>237</v>
      </c>
    </row>
    <row r="71" customFormat="false" ht="13.5" hidden="false" customHeight="true" outlineLevel="0" collapsed="false">
      <c r="A71" s="24" t="s">
        <v>216</v>
      </c>
      <c r="B71" s="24" t="s">
        <v>238</v>
      </c>
      <c r="C71" s="25" t="s">
        <v>239</v>
      </c>
      <c r="D71" s="24" t="s">
        <v>58</v>
      </c>
      <c r="E71" s="26" t="n">
        <f aca="false">IFERROR('Rates Reference Table'!I68*$E$5,0)</f>
        <v>9.4</v>
      </c>
      <c r="F71" s="26" t="n">
        <f aca="false">IFERROR(E71*(1-$H$5/2),0)</f>
        <v>8.366</v>
      </c>
      <c r="G71" s="26" t="n">
        <f aca="false">IFERROR(E71*(1+$H$5/2),0)</f>
        <v>10.434</v>
      </c>
      <c r="H71" s="26" t="n">
        <f aca="false">IFERROR(F71*$B$5,0)</f>
        <v>4183</v>
      </c>
      <c r="I71" s="26" t="n">
        <f aca="false">IFERROR(G71*$B$5,0)</f>
        <v>5217</v>
      </c>
      <c r="J71" s="25" t="s">
        <v>240</v>
      </c>
    </row>
    <row r="72" customFormat="false" ht="13.5" hidden="false" customHeight="true" outlineLevel="0" collapsed="false">
      <c r="A72" s="20" t="s">
        <v>216</v>
      </c>
      <c r="B72" s="20" t="s">
        <v>241</v>
      </c>
      <c r="C72" s="21" t="s">
        <v>166</v>
      </c>
      <c r="D72" s="20" t="s">
        <v>58</v>
      </c>
      <c r="E72" s="22" t="n">
        <f aca="false">IFERROR('Rates Reference Table'!I69*$E$5,0)</f>
        <v>7.52</v>
      </c>
      <c r="F72" s="22" t="n">
        <f aca="false">IFERROR(E72*(1-$H$5/2),0)</f>
        <v>6.6928</v>
      </c>
      <c r="G72" s="22" t="n">
        <f aca="false">IFERROR(E72*(1+$H$5/2),0)</f>
        <v>8.3472</v>
      </c>
      <c r="H72" s="22" t="n">
        <f aca="false">IFERROR(F72*$B$5,0)</f>
        <v>3346.4</v>
      </c>
      <c r="I72" s="22" t="n">
        <f aca="false">IFERROR(G72*$B$5,0)</f>
        <v>4173.6</v>
      </c>
      <c r="J72" s="21" t="s">
        <v>242</v>
      </c>
    </row>
    <row r="73" customFormat="false" ht="18" hidden="false" customHeight="true" outlineLevel="0" collapsed="false">
      <c r="A73" s="42" t="s">
        <v>270</v>
      </c>
      <c r="B73" s="42"/>
      <c r="C73" s="42"/>
      <c r="D73" s="42"/>
      <c r="E73" s="42"/>
      <c r="F73" s="42"/>
      <c r="G73" s="42"/>
      <c r="H73" s="43" t="n">
        <f aca="false">SUMPRODUCT((H8:H72&gt;0)*H8:H72)</f>
        <v>2719786.6</v>
      </c>
      <c r="I73" s="43" t="n">
        <f aca="false">SUMPRODUCT((I8:I72&gt;0)*I8:I72)</f>
        <v>3392093.4</v>
      </c>
    </row>
    <row r="74" customFormat="false" ht="7.5" hidden="false" customHeight="true" outlineLevel="0" collapsed="false"/>
    <row r="75" customFormat="false" ht="15" hidden="false" customHeight="true" outlineLevel="0" collapsed="false">
      <c r="A75" s="44" t="s">
        <v>271</v>
      </c>
      <c r="B75" s="44"/>
      <c r="C75" s="44"/>
      <c r="D75" s="44"/>
      <c r="E75" s="44"/>
      <c r="F75" s="44"/>
      <c r="G75" s="44"/>
      <c r="H75" s="44"/>
      <c r="I75" s="44"/>
      <c r="J75" s="44"/>
    </row>
    <row r="76" customFormat="false" ht="15" hidden="false" customHeight="true" outlineLevel="0" collapsed="false">
      <c r="A76" s="45" t="s">
        <v>272</v>
      </c>
      <c r="B76" s="45"/>
      <c r="C76" s="45"/>
      <c r="D76" s="45" t="s">
        <v>273</v>
      </c>
      <c r="E76" s="45" t="s">
        <v>274</v>
      </c>
      <c r="F76" s="45" t="s">
        <v>275</v>
      </c>
      <c r="G76" s="45" t="s">
        <v>276</v>
      </c>
      <c r="H76" s="45" t="s">
        <v>277</v>
      </c>
      <c r="I76" s="45" t="s">
        <v>278</v>
      </c>
      <c r="J76" s="45" t="s">
        <v>279</v>
      </c>
    </row>
    <row r="77" customFormat="false" ht="15.75" hidden="false" customHeight="true" outlineLevel="0" collapsed="false">
      <c r="A77" s="20" t="s">
        <v>280</v>
      </c>
      <c r="B77" s="21"/>
      <c r="C77" s="21"/>
      <c r="D77" s="21" t="s">
        <v>281</v>
      </c>
      <c r="E77" s="20" t="s">
        <v>282</v>
      </c>
      <c r="F77" s="46" t="n">
        <v>0.08</v>
      </c>
      <c r="G77" s="46" t="n">
        <v>0.1</v>
      </c>
      <c r="H77" s="22" t="n">
        <f aca="false">IFERROR(F77*H73,0)</f>
        <v>217582.928</v>
      </c>
      <c r="I77" s="22" t="n">
        <f aca="false">IFERROR(G77*I73,0)</f>
        <v>339209.34</v>
      </c>
      <c r="J77" s="21" t="s">
        <v>283</v>
      </c>
    </row>
    <row r="78" customFormat="false" ht="15.75" hidden="false" customHeight="true" outlineLevel="0" collapsed="false">
      <c r="A78" s="24" t="s">
        <v>284</v>
      </c>
      <c r="B78" s="25"/>
      <c r="C78" s="25"/>
      <c r="D78" s="25" t="s">
        <v>285</v>
      </c>
      <c r="E78" s="24" t="s">
        <v>282</v>
      </c>
      <c r="F78" s="47" t="n">
        <v>0.08</v>
      </c>
      <c r="G78" s="47" t="n">
        <v>0.12</v>
      </c>
      <c r="H78" s="26" t="n">
        <f aca="false">IFERROR(F78*H73,0)</f>
        <v>217582.928</v>
      </c>
      <c r="I78" s="26" t="n">
        <f aca="false">IFERROR(G78*I73,0)</f>
        <v>407051.208</v>
      </c>
      <c r="J78" s="25" t="s">
        <v>286</v>
      </c>
    </row>
    <row r="79" customFormat="false" ht="18" hidden="false" customHeight="true" outlineLevel="0" collapsed="false">
      <c r="A79" s="42" t="s">
        <v>287</v>
      </c>
      <c r="B79" s="42"/>
      <c r="C79" s="42"/>
      <c r="D79" s="42"/>
      <c r="E79" s="42"/>
      <c r="F79" s="42"/>
      <c r="G79" s="42"/>
      <c r="H79" s="43" t="n">
        <f aca="false">H73+H77+H78</f>
        <v>3154952.456</v>
      </c>
      <c r="I79" s="43" t="n">
        <f aca="false">I73+I77+I78</f>
        <v>4138353.948</v>
      </c>
    </row>
    <row r="80" customFormat="false" ht="15.75" hidden="false" customHeight="true" outlineLevel="0" collapsed="false">
      <c r="A80" s="24" t="s">
        <v>288</v>
      </c>
      <c r="B80" s="25"/>
      <c r="C80" s="25"/>
      <c r="D80" s="25" t="s">
        <v>289</v>
      </c>
      <c r="E80" s="24" t="s">
        <v>290</v>
      </c>
      <c r="F80" s="47" t="n">
        <v>0.05</v>
      </c>
      <c r="G80" s="47" t="n">
        <v>0.15</v>
      </c>
      <c r="H80" s="26" t="n">
        <f aca="false">IFERROR(F80*H79,0)</f>
        <v>157747.6228</v>
      </c>
      <c r="I80" s="26" t="n">
        <f aca="false">IFERROR(G80*I79,0)</f>
        <v>620753.0922</v>
      </c>
      <c r="J80" s="25" t="s">
        <v>291</v>
      </c>
    </row>
    <row r="81" customFormat="false" ht="15.75" hidden="false" customHeight="true" outlineLevel="0" collapsed="false">
      <c r="A81" s="20" t="s">
        <v>292</v>
      </c>
      <c r="B81" s="21"/>
      <c r="C81" s="21"/>
      <c r="D81" s="21" t="s">
        <v>293</v>
      </c>
      <c r="E81" s="20" t="s">
        <v>290</v>
      </c>
      <c r="F81" s="46" t="n">
        <v>0.02</v>
      </c>
      <c r="G81" s="46" t="n">
        <v>0.04</v>
      </c>
      <c r="H81" s="22" t="n">
        <f aca="false">IFERROR(F81*H79,0)</f>
        <v>63099.04912</v>
      </c>
      <c r="I81" s="22" t="n">
        <f aca="false">IFERROR(G81*I79,0)</f>
        <v>165534.15792</v>
      </c>
      <c r="J81" s="21" t="s">
        <v>294</v>
      </c>
    </row>
    <row r="82" customFormat="false" ht="15.75" hidden="false" customHeight="true" outlineLevel="0" collapsed="false">
      <c r="A82" s="48" t="s">
        <v>295</v>
      </c>
      <c r="B82" s="49"/>
      <c r="C82" s="49"/>
      <c r="D82" s="49" t="s">
        <v>296</v>
      </c>
      <c r="E82" s="48" t="s">
        <v>282</v>
      </c>
      <c r="F82" s="50" t="n">
        <v>0.05</v>
      </c>
      <c r="G82" s="50" t="n">
        <v>0.1</v>
      </c>
      <c r="H82" s="51" t="n">
        <f aca="false">IFERROR(F82*H73,0)</f>
        <v>135989.33</v>
      </c>
      <c r="I82" s="51" t="n">
        <f aca="false">IFERROR(G82*I73,0)</f>
        <v>339209.34</v>
      </c>
      <c r="J82" s="49" t="s">
        <v>297</v>
      </c>
    </row>
    <row r="83" customFormat="false" ht="15.75" hidden="false" customHeight="true" outlineLevel="0" collapsed="false">
      <c r="A83" s="52" t="s">
        <v>298</v>
      </c>
      <c r="B83" s="53"/>
      <c r="C83" s="53"/>
      <c r="D83" s="53" t="s">
        <v>299</v>
      </c>
      <c r="E83" s="52" t="s">
        <v>282</v>
      </c>
      <c r="F83" s="54" t="n">
        <v>0.05</v>
      </c>
      <c r="G83" s="54" t="n">
        <v>0.05</v>
      </c>
      <c r="H83" s="55" t="n">
        <f aca="false">IFERROR(0.05*H73,0)</f>
        <v>135989.33</v>
      </c>
      <c r="I83" s="55" t="n">
        <f aca="false">IFERROR(0.05*I73,0)</f>
        <v>169604.67</v>
      </c>
      <c r="J83" s="53" t="s">
        <v>300</v>
      </c>
    </row>
    <row r="84" customFormat="false" ht="15.75" hidden="false" customHeight="true" outlineLevel="0" collapsed="false">
      <c r="A84" s="24" t="s">
        <v>301</v>
      </c>
      <c r="B84" s="25"/>
      <c r="C84" s="25"/>
      <c r="D84" s="25" t="s">
        <v>302</v>
      </c>
      <c r="E84" s="24" t="s">
        <v>282</v>
      </c>
      <c r="F84" s="47" t="n">
        <v>0.02</v>
      </c>
      <c r="G84" s="47" t="n">
        <v>0.12</v>
      </c>
      <c r="H84" s="26" t="n">
        <f aca="false">IFERROR(F84*H73,0)</f>
        <v>54395.732</v>
      </c>
      <c r="I84" s="26" t="n">
        <f aca="false">IFERROR(G84*I73,0)</f>
        <v>407051.208</v>
      </c>
      <c r="J84" s="25" t="s">
        <v>303</v>
      </c>
    </row>
    <row r="85" customFormat="false" ht="21.75" hidden="false" customHeight="true" outlineLevel="0" collapsed="false">
      <c r="A85" s="56" t="s">
        <v>304</v>
      </c>
      <c r="B85" s="56"/>
      <c r="C85" s="56"/>
      <c r="D85" s="56"/>
      <c r="E85" s="56"/>
      <c r="F85" s="56"/>
      <c r="G85" s="56"/>
      <c r="H85" s="57" t="n">
        <f aca="false">H79+H80+H81+H82+H83+H84</f>
        <v>3702173.51992</v>
      </c>
      <c r="I85" s="57" t="n">
        <f aca="false">I79+I80+I81+I82+I83+I84</f>
        <v>5840506.41612</v>
      </c>
    </row>
    <row r="86" customFormat="false" ht="15.75" hidden="false" customHeight="true" outlineLevel="0" collapsed="false">
      <c r="A86" s="58" t="s">
        <v>305</v>
      </c>
      <c r="B86" s="59"/>
      <c r="C86" s="59"/>
      <c r="D86" s="59" t="s">
        <v>306</v>
      </c>
      <c r="E86" s="58" t="s">
        <v>307</v>
      </c>
      <c r="F86" s="60" t="n">
        <v>0.2</v>
      </c>
      <c r="G86" s="60" t="n">
        <v>0.2</v>
      </c>
      <c r="H86" s="61" t="n">
        <f aca="false">IFERROR(0.2*H85,0)</f>
        <v>740434.703984</v>
      </c>
      <c r="I86" s="61" t="n">
        <f aca="false">IFERROR(0.2*I85,0)</f>
        <v>1168101.283224</v>
      </c>
      <c r="J86" s="59" t="s">
        <v>308</v>
      </c>
    </row>
    <row r="87" customFormat="false" ht="7.5" hidden="false" customHeight="true" outlineLevel="0" collapsed="false"/>
    <row r="88" customFormat="false" ht="15.75" hidden="false" customHeight="true" outlineLevel="0" collapsed="false">
      <c r="A88" s="62" t="s">
        <v>309</v>
      </c>
      <c r="B88" s="62"/>
      <c r="C88" s="62"/>
      <c r="D88" s="62"/>
      <c r="E88" s="63" t="n">
        <f aca="false">IFERROR(H73/$B$5,0)</f>
        <v>5439.5732</v>
      </c>
      <c r="F88" s="64"/>
      <c r="G88" s="65" t="n">
        <f aca="false">IFERROR(I73/$B$5,0)</f>
        <v>6784.1868</v>
      </c>
      <c r="H88" s="64"/>
      <c r="I88" s="64"/>
      <c r="J88" s="64"/>
    </row>
    <row r="89" customFormat="false" ht="7.5" hidden="false" customHeight="true" outlineLevel="0" collapsed="false"/>
    <row r="90" customFormat="false" ht="27.75" hidden="false" customHeight="true" outlineLevel="0" collapsed="false">
      <c r="A90" s="66" t="s">
        <v>310</v>
      </c>
      <c r="B90" s="66"/>
      <c r="C90" s="66"/>
      <c r="D90" s="66"/>
      <c r="E90" s="66"/>
      <c r="F90" s="66"/>
      <c r="G90" s="66"/>
      <c r="H90" s="66"/>
      <c r="I90" s="66"/>
      <c r="J90" s="66"/>
    </row>
  </sheetData>
  <mergeCells count="17">
    <mergeCell ref="A1:I1"/>
    <mergeCell ref="A2:I2"/>
    <mergeCell ref="A8:J8"/>
    <mergeCell ref="A13:J13"/>
    <mergeCell ref="A18:J18"/>
    <mergeCell ref="A27:J27"/>
    <mergeCell ref="A31:J31"/>
    <mergeCell ref="A36:J36"/>
    <mergeCell ref="A54:J54"/>
    <mergeCell ref="A57:J57"/>
    <mergeCell ref="A63:J63"/>
    <mergeCell ref="A73:G73"/>
    <mergeCell ref="A75:J75"/>
    <mergeCell ref="A79:G79"/>
    <mergeCell ref="A85:G85"/>
    <mergeCell ref="A88:D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50"/>
    <col collapsed="false" customWidth="true" hidden="false" outlineLevel="0" max="4" min="4" style="1" width="8"/>
    <col collapsed="false" customWidth="true" hidden="false" outlineLevel="0" max="7" min="5" style="1" width="14"/>
    <col collapsed="false" customWidth="true" hidden="false" outlineLevel="0" max="9" min="8" style="1" width="17"/>
    <col collapsed="false" customWidth="true" hidden="false" outlineLevel="0" max="10" min="10" style="1" width="40"/>
  </cols>
  <sheetData>
    <row r="1" customFormat="false" ht="21.75" hidden="false" customHeight="true" outlineLevel="0" collapsed="false">
      <c r="A1" s="29" t="s">
        <v>323</v>
      </c>
      <c r="B1" s="29"/>
      <c r="C1" s="29"/>
      <c r="D1" s="29"/>
      <c r="E1" s="29"/>
      <c r="F1" s="29"/>
      <c r="G1" s="29"/>
      <c r="H1" s="29"/>
      <c r="I1" s="29"/>
    </row>
    <row r="2" customFormat="false" ht="19.5" hidden="false" customHeight="true" outlineLevel="0" collapsed="false">
      <c r="A2" s="30" t="s">
        <v>324</v>
      </c>
      <c r="B2" s="30"/>
      <c r="C2" s="30"/>
      <c r="D2" s="30"/>
      <c r="E2" s="30"/>
      <c r="F2" s="30"/>
      <c r="G2" s="30"/>
      <c r="H2" s="30"/>
      <c r="I2" s="30"/>
    </row>
    <row r="3" customFormat="false" ht="6" hidden="false" customHeight="true" outlineLevel="0" collapsed="false"/>
    <row r="4" customFormat="false" ht="15" hidden="false" customHeight="true" outlineLevel="0" collapsed="false">
      <c r="A4" s="31" t="s">
        <v>246</v>
      </c>
      <c r="B4" s="32" t="s">
        <v>325</v>
      </c>
      <c r="D4" s="31" t="s">
        <v>248</v>
      </c>
      <c r="E4" s="32" t="s">
        <v>320</v>
      </c>
      <c r="G4" s="31" t="s">
        <v>250</v>
      </c>
      <c r="H4" s="33" t="s">
        <v>251</v>
      </c>
    </row>
    <row r="5" customFormat="false" ht="18" hidden="false" customHeight="true" outlineLevel="0" collapsed="false">
      <c r="A5" s="31" t="s">
        <v>252</v>
      </c>
      <c r="B5" s="34" t="n">
        <v>250</v>
      </c>
      <c r="D5" s="31" t="s">
        <v>253</v>
      </c>
      <c r="E5" s="35" t="n">
        <v>0.94</v>
      </c>
      <c r="G5" s="31" t="s">
        <v>254</v>
      </c>
      <c r="H5" s="35" t="n">
        <v>0.22</v>
      </c>
    </row>
    <row r="6" customFormat="false" ht="6" hidden="false" customHeight="true" outlineLevel="0" collapsed="false"/>
    <row r="7" customFormat="false" ht="27.75" hidden="false" customHeight="true" outlineLevel="0" collapsed="false">
      <c r="A7" s="18" t="s">
        <v>41</v>
      </c>
      <c r="B7" s="18" t="s">
        <v>42</v>
      </c>
      <c r="C7" s="18" t="s">
        <v>43</v>
      </c>
      <c r="D7" s="18" t="s">
        <v>44</v>
      </c>
      <c r="E7" s="18" t="s">
        <v>255</v>
      </c>
      <c r="F7" s="18" t="s">
        <v>256</v>
      </c>
      <c r="G7" s="18" t="s">
        <v>257</v>
      </c>
      <c r="H7" s="18" t="s">
        <v>258</v>
      </c>
      <c r="I7" s="18" t="s">
        <v>259</v>
      </c>
      <c r="J7" s="18" t="s">
        <v>53</v>
      </c>
    </row>
    <row r="8" customFormat="false" ht="15.75" hidden="false" customHeight="true" outlineLevel="0" collapsed="false">
      <c r="A8" s="36" t="s">
        <v>260</v>
      </c>
      <c r="B8" s="36"/>
      <c r="C8" s="36"/>
      <c r="D8" s="36"/>
      <c r="E8" s="36"/>
      <c r="F8" s="36"/>
      <c r="G8" s="36"/>
      <c r="H8" s="36"/>
      <c r="I8" s="36"/>
      <c r="J8" s="36"/>
    </row>
    <row r="9" customFormat="false" ht="13.5" hidden="false" customHeight="true" outlineLevel="0" collapsed="false">
      <c r="A9" s="20" t="s">
        <v>55</v>
      </c>
      <c r="B9" s="20" t="s">
        <v>56</v>
      </c>
      <c r="C9" s="21" t="s">
        <v>57</v>
      </c>
      <c r="D9" s="20" t="s">
        <v>58</v>
      </c>
      <c r="E9" s="22" t="n">
        <f aca="false">IFERROR('Rates Reference Table'!J6*$E$5,0)</f>
        <v>9.4</v>
      </c>
      <c r="F9" s="22" t="n">
        <f aca="false">IFERROR(E9*(1-$H$5/2),0)</f>
        <v>8.366</v>
      </c>
      <c r="G9" s="22" t="n">
        <f aca="false">IFERROR(E9*(1+$H$5/2),0)</f>
        <v>10.434</v>
      </c>
      <c r="H9" s="22" t="n">
        <f aca="false">IFERROR(F9*$B$5,0)</f>
        <v>2091.5</v>
      </c>
      <c r="I9" s="22" t="n">
        <f aca="false">IFERROR(G9*$B$5,0)</f>
        <v>2608.5</v>
      </c>
      <c r="J9" s="21" t="s">
        <v>59</v>
      </c>
    </row>
    <row r="10" customFormat="false" ht="13.5" hidden="false" customHeight="true" outlineLevel="0" collapsed="false">
      <c r="A10" s="24" t="s">
        <v>55</v>
      </c>
      <c r="B10" s="24" t="s">
        <v>60</v>
      </c>
      <c r="C10" s="25" t="s">
        <v>61</v>
      </c>
      <c r="D10" s="24" t="s">
        <v>58</v>
      </c>
      <c r="E10" s="26" t="n">
        <f aca="false">IFERROR('Rates Reference Table'!J7*$E$5,0)</f>
        <v>18.8</v>
      </c>
      <c r="F10" s="26" t="n">
        <f aca="false">IFERROR(E10*(1-$H$5/2),0)</f>
        <v>16.732</v>
      </c>
      <c r="G10" s="26" t="n">
        <f aca="false">IFERROR(E10*(1+$H$5/2),0)</f>
        <v>20.868</v>
      </c>
      <c r="H10" s="26" t="n">
        <f aca="false">IFERROR(F10*$B$5,0)</f>
        <v>4183</v>
      </c>
      <c r="I10" s="26" t="n">
        <f aca="false">IFERROR(G10*$B$5,0)</f>
        <v>5217</v>
      </c>
      <c r="J10" s="25" t="s">
        <v>62</v>
      </c>
    </row>
    <row r="11" customFormat="false" ht="13.5" hidden="false" customHeight="true" outlineLevel="0" collapsed="false">
      <c r="A11" s="20" t="s">
        <v>55</v>
      </c>
      <c r="B11" s="20" t="s">
        <v>63</v>
      </c>
      <c r="C11" s="21" t="s">
        <v>64</v>
      </c>
      <c r="D11" s="20" t="s">
        <v>58</v>
      </c>
      <c r="E11" s="22" t="n">
        <f aca="false">IFERROR('Rates Reference Table'!J8*$E$5,0)</f>
        <v>4.7</v>
      </c>
      <c r="F11" s="22" t="n">
        <f aca="false">IFERROR(E11*(1-$H$5/2),0)</f>
        <v>4.183</v>
      </c>
      <c r="G11" s="22" t="n">
        <f aca="false">IFERROR(E11*(1+$H$5/2),0)</f>
        <v>5.217</v>
      </c>
      <c r="H11" s="22" t="n">
        <f aca="false">IFERROR(F11*$B$5,0)</f>
        <v>1045.75</v>
      </c>
      <c r="I11" s="22" t="n">
        <f aca="false">IFERROR(G11*$B$5,0)</f>
        <v>1304.25</v>
      </c>
      <c r="J11" s="21" t="s">
        <v>65</v>
      </c>
    </row>
    <row r="12" customFormat="false" ht="13.5" hidden="false" customHeight="true" outlineLevel="0" collapsed="false">
      <c r="A12" s="24" t="s">
        <v>55</v>
      </c>
      <c r="B12" s="24" t="s">
        <v>66</v>
      </c>
      <c r="C12" s="25" t="s">
        <v>67</v>
      </c>
      <c r="D12" s="24" t="s">
        <v>58</v>
      </c>
      <c r="E12" s="26" t="n">
        <f aca="false">IFERROR('Rates Reference Table'!J9*$E$5,0)</f>
        <v>4.7</v>
      </c>
      <c r="F12" s="26" t="n">
        <f aca="false">IFERROR(E12*(1-$H$5/2),0)</f>
        <v>4.183</v>
      </c>
      <c r="G12" s="26" t="n">
        <f aca="false">IFERROR(E12*(1+$H$5/2),0)</f>
        <v>5.217</v>
      </c>
      <c r="H12" s="26" t="n">
        <f aca="false">IFERROR(F12*$B$5,0)</f>
        <v>1045.75</v>
      </c>
      <c r="I12" s="26" t="n">
        <f aca="false">IFERROR(G12*$B$5,0)</f>
        <v>1304.25</v>
      </c>
      <c r="J12" s="25" t="s">
        <v>68</v>
      </c>
    </row>
    <row r="13" customFormat="false" ht="15.75" hidden="false" customHeight="true" outlineLevel="0" collapsed="false">
      <c r="A13" s="36" t="s">
        <v>261</v>
      </c>
      <c r="B13" s="36"/>
      <c r="C13" s="36"/>
      <c r="D13" s="36"/>
      <c r="E13" s="36"/>
      <c r="F13" s="36"/>
      <c r="G13" s="36"/>
      <c r="H13" s="36"/>
      <c r="I13" s="36"/>
      <c r="J13" s="36"/>
    </row>
    <row r="14" customFormat="false" ht="13.5" hidden="false" customHeight="true" outlineLevel="0" collapsed="false">
      <c r="A14" s="20" t="s">
        <v>70</v>
      </c>
      <c r="B14" s="20" t="s">
        <v>71</v>
      </c>
      <c r="C14" s="21" t="s">
        <v>72</v>
      </c>
      <c r="D14" s="20" t="s">
        <v>73</v>
      </c>
      <c r="E14" s="22" t="n">
        <f aca="false">IFERROR('Rates Reference Table'!J11*$E$5,0)</f>
        <v>51.7</v>
      </c>
      <c r="F14" s="22" t="n">
        <f aca="false">IFERROR(E14*(1-$H$5/2),0)</f>
        <v>46.013</v>
      </c>
      <c r="G14" s="22" t="n">
        <f aca="false">IFERROR(E14*(1+$H$5/2),0)</f>
        <v>57.387</v>
      </c>
      <c r="H14" s="22" t="n">
        <f aca="false">IFERROR(F14*$B$5,0)</f>
        <v>11503.25</v>
      </c>
      <c r="I14" s="22" t="n">
        <f aca="false">IFERROR(G14*$B$5,0)</f>
        <v>14346.75</v>
      </c>
      <c r="J14" s="21" t="s">
        <v>74</v>
      </c>
    </row>
    <row r="15" customFormat="false" ht="13.5" hidden="false" customHeight="true" outlineLevel="0" collapsed="false">
      <c r="A15" s="24" t="s">
        <v>70</v>
      </c>
      <c r="B15" s="24" t="s">
        <v>75</v>
      </c>
      <c r="C15" s="25" t="s">
        <v>76</v>
      </c>
      <c r="D15" s="24" t="s">
        <v>73</v>
      </c>
      <c r="E15" s="26" t="n">
        <f aca="false">IFERROR('Rates Reference Table'!J12*$E$5,0)</f>
        <v>37.6</v>
      </c>
      <c r="F15" s="26" t="n">
        <f aca="false">IFERROR(E15*(1-$H$5/2),0)</f>
        <v>33.464</v>
      </c>
      <c r="G15" s="26" t="n">
        <f aca="false">IFERROR(E15*(1+$H$5/2),0)</f>
        <v>41.736</v>
      </c>
      <c r="H15" s="26" t="n">
        <f aca="false">IFERROR(F15*$B$5,0)</f>
        <v>8366</v>
      </c>
      <c r="I15" s="26" t="n">
        <f aca="false">IFERROR(G15*$B$5,0)</f>
        <v>10434</v>
      </c>
      <c r="J15" s="25" t="s">
        <v>77</v>
      </c>
    </row>
    <row r="16" customFormat="false" ht="13.5" hidden="false" customHeight="true" outlineLevel="0" collapsed="false">
      <c r="A16" s="20" t="s">
        <v>70</v>
      </c>
      <c r="B16" s="20" t="s">
        <v>78</v>
      </c>
      <c r="C16" s="21" t="s">
        <v>79</v>
      </c>
      <c r="D16" s="20" t="s">
        <v>73</v>
      </c>
      <c r="E16" s="22" t="n">
        <f aca="false">IFERROR('Rates Reference Table'!J13*$E$5,0)</f>
        <v>32.9</v>
      </c>
      <c r="F16" s="22" t="n">
        <f aca="false">IFERROR(E16*(1-$H$5/2),0)</f>
        <v>29.281</v>
      </c>
      <c r="G16" s="22" t="n">
        <f aca="false">IFERROR(E16*(1+$H$5/2),0)</f>
        <v>36.519</v>
      </c>
      <c r="H16" s="22" t="n">
        <f aca="false">IFERROR(F16*$B$5,0)</f>
        <v>7320.25</v>
      </c>
      <c r="I16" s="22" t="n">
        <f aca="false">IFERROR(G16*$B$5,0)</f>
        <v>9129.75</v>
      </c>
      <c r="J16" s="21" t="s">
        <v>80</v>
      </c>
    </row>
    <row r="17" customFormat="false" ht="13.5" hidden="false" customHeight="true" outlineLevel="0" collapsed="false">
      <c r="A17" s="24" t="s">
        <v>70</v>
      </c>
      <c r="B17" s="24" t="s">
        <v>81</v>
      </c>
      <c r="C17" s="25" t="s">
        <v>82</v>
      </c>
      <c r="D17" s="24" t="s">
        <v>58</v>
      </c>
      <c r="E17" s="26" t="n">
        <f aca="false">IFERROR('Rates Reference Table'!J14*$E$5,0)</f>
        <v>75.2</v>
      </c>
      <c r="F17" s="26" t="n">
        <f aca="false">IFERROR(E17*(1-$H$5/2),0)</f>
        <v>66.928</v>
      </c>
      <c r="G17" s="26" t="n">
        <f aca="false">IFERROR(E17*(1+$H$5/2),0)</f>
        <v>83.472</v>
      </c>
      <c r="H17" s="26" t="n">
        <f aca="false">IFERROR(F17*$B$5,0)</f>
        <v>16732</v>
      </c>
      <c r="I17" s="26" t="n">
        <f aca="false">IFERROR(G17*$B$5,0)</f>
        <v>20868</v>
      </c>
      <c r="J17" s="25" t="s">
        <v>83</v>
      </c>
    </row>
    <row r="18" customFormat="false" ht="15.75" hidden="false" customHeight="true" outlineLevel="0" collapsed="false">
      <c r="A18" s="36" t="s">
        <v>263</v>
      </c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13.5" hidden="false" customHeight="true" outlineLevel="0" collapsed="false">
      <c r="A19" s="20" t="s">
        <v>85</v>
      </c>
      <c r="B19" s="20" t="s">
        <v>86</v>
      </c>
      <c r="C19" s="21" t="s">
        <v>87</v>
      </c>
      <c r="D19" s="20" t="s">
        <v>73</v>
      </c>
      <c r="E19" s="22" t="n">
        <f aca="false">IFERROR('Rates Reference Table'!J16*$E$5,0)</f>
        <v>122.2</v>
      </c>
      <c r="F19" s="22" t="n">
        <f aca="false">IFERROR(E19*(1-$H$5/2),0)</f>
        <v>108.758</v>
      </c>
      <c r="G19" s="22" t="n">
        <f aca="false">IFERROR(E19*(1+$H$5/2),0)</f>
        <v>135.642</v>
      </c>
      <c r="H19" s="22" t="n">
        <f aca="false">IFERROR(F19*$B$5,0)</f>
        <v>27189.5</v>
      </c>
      <c r="I19" s="22" t="n">
        <f aca="false">IFERROR(G19*$B$5,0)</f>
        <v>33910.5</v>
      </c>
      <c r="J19" s="21" t="s">
        <v>88</v>
      </c>
    </row>
    <row r="20" customFormat="false" ht="13.5" hidden="false" customHeight="true" outlineLevel="0" collapsed="false">
      <c r="A20" s="24" t="s">
        <v>85</v>
      </c>
      <c r="B20" s="24" t="s">
        <v>89</v>
      </c>
      <c r="C20" s="25" t="s">
        <v>90</v>
      </c>
      <c r="D20" s="24" t="s">
        <v>73</v>
      </c>
      <c r="E20" s="26" t="n">
        <f aca="false">IFERROR('Rates Reference Table'!J17*$E$5,0)</f>
        <v>61.1</v>
      </c>
      <c r="F20" s="26" t="n">
        <f aca="false">IFERROR(E20*(1-$H$5/2),0)</f>
        <v>54.379</v>
      </c>
      <c r="G20" s="26" t="n">
        <f aca="false">IFERROR(E20*(1+$H$5/2),0)</f>
        <v>67.821</v>
      </c>
      <c r="H20" s="26" t="n">
        <f aca="false">IFERROR(F20*$B$5,0)</f>
        <v>13594.75</v>
      </c>
      <c r="I20" s="26" t="n">
        <f aca="false">IFERROR(G20*$B$5,0)</f>
        <v>16955.25</v>
      </c>
      <c r="J20" s="25" t="s">
        <v>91</v>
      </c>
    </row>
    <row r="21" customFormat="false" ht="13.5" hidden="false" customHeight="true" outlineLevel="0" collapsed="false">
      <c r="A21" s="20" t="s">
        <v>85</v>
      </c>
      <c r="B21" s="20" t="s">
        <v>92</v>
      </c>
      <c r="C21" s="21" t="s">
        <v>93</v>
      </c>
      <c r="D21" s="20" t="s">
        <v>73</v>
      </c>
      <c r="E21" s="22" t="n">
        <f aca="false">IFERROR('Rates Reference Table'!J18*$E$5,0)</f>
        <v>70.5</v>
      </c>
      <c r="F21" s="22" t="n">
        <f aca="false">IFERROR(E21*(1-$H$5/2),0)</f>
        <v>62.745</v>
      </c>
      <c r="G21" s="22" t="n">
        <f aca="false">IFERROR(E21*(1+$H$5/2),0)</f>
        <v>78.255</v>
      </c>
      <c r="H21" s="22" t="n">
        <f aca="false">IFERROR(F21*$B$5,0)</f>
        <v>15686.25</v>
      </c>
      <c r="I21" s="22" t="n">
        <f aca="false">IFERROR(G21*$B$5,0)</f>
        <v>19563.75</v>
      </c>
      <c r="J21" s="21" t="s">
        <v>94</v>
      </c>
    </row>
    <row r="22" customFormat="false" ht="13.5" hidden="false" customHeight="true" outlineLevel="0" collapsed="false">
      <c r="A22" s="24" t="s">
        <v>85</v>
      </c>
      <c r="B22" s="24" t="s">
        <v>95</v>
      </c>
      <c r="C22" s="25" t="s">
        <v>96</v>
      </c>
      <c r="D22" s="24" t="s">
        <v>58</v>
      </c>
      <c r="E22" s="26" t="n">
        <f aca="false">IFERROR('Rates Reference Table'!J19*$E$5,0)</f>
        <v>18.8</v>
      </c>
      <c r="F22" s="26" t="n">
        <f aca="false">IFERROR(E22*(1-$H$5/2),0)</f>
        <v>16.732</v>
      </c>
      <c r="G22" s="26" t="n">
        <f aca="false">IFERROR(E22*(1+$H$5/2),0)</f>
        <v>20.868</v>
      </c>
      <c r="H22" s="26" t="n">
        <f aca="false">IFERROR(F22*$B$5,0)</f>
        <v>4183</v>
      </c>
      <c r="I22" s="26" t="n">
        <f aca="false">IFERROR(G22*$B$5,0)</f>
        <v>5217</v>
      </c>
      <c r="J22" s="25" t="s">
        <v>97</v>
      </c>
    </row>
    <row r="23" customFormat="false" ht="13.5" hidden="false" customHeight="true" outlineLevel="0" collapsed="false">
      <c r="A23" s="20" t="s">
        <v>85</v>
      </c>
      <c r="B23" s="20" t="s">
        <v>98</v>
      </c>
      <c r="C23" s="21" t="s">
        <v>99</v>
      </c>
      <c r="D23" s="20" t="s">
        <v>73</v>
      </c>
      <c r="E23" s="22" t="n">
        <f aca="false">IFERROR('Rates Reference Table'!J20*$E$5,0)</f>
        <v>169.2</v>
      </c>
      <c r="F23" s="22" t="n">
        <f aca="false">IFERROR(E23*(1-$H$5/2),0)</f>
        <v>150.588</v>
      </c>
      <c r="G23" s="22" t="n">
        <f aca="false">IFERROR(E23*(1+$H$5/2),0)</f>
        <v>187.812</v>
      </c>
      <c r="H23" s="22" t="n">
        <f aca="false">IFERROR(F23*$B$5,0)</f>
        <v>37647</v>
      </c>
      <c r="I23" s="22" t="n">
        <f aca="false">IFERROR(G23*$B$5,0)</f>
        <v>46953</v>
      </c>
      <c r="J23" s="21" t="s">
        <v>100</v>
      </c>
    </row>
    <row r="24" customFormat="false" ht="13.5" hidden="false" customHeight="true" outlineLevel="0" collapsed="false">
      <c r="A24" s="24" t="s">
        <v>85</v>
      </c>
      <c r="B24" s="24" t="s">
        <v>101</v>
      </c>
      <c r="C24" s="25" t="s">
        <v>102</v>
      </c>
      <c r="D24" s="24" t="s">
        <v>73</v>
      </c>
      <c r="E24" s="26" t="n">
        <f aca="false">IFERROR('Rates Reference Table'!J21*$E$5,0)</f>
        <v>84.6</v>
      </c>
      <c r="F24" s="26" t="n">
        <f aca="false">IFERROR(E24*(1-$H$5/2),0)</f>
        <v>75.294</v>
      </c>
      <c r="G24" s="26" t="n">
        <f aca="false">IFERROR(E24*(1+$H$5/2),0)</f>
        <v>93.906</v>
      </c>
      <c r="H24" s="26" t="n">
        <f aca="false">IFERROR(F24*$B$5,0)</f>
        <v>18823.5</v>
      </c>
      <c r="I24" s="26" t="n">
        <f aca="false">IFERROR(G24*$B$5,0)</f>
        <v>23476.5</v>
      </c>
      <c r="J24" s="25" t="s">
        <v>103</v>
      </c>
    </row>
    <row r="25" customFormat="false" ht="13.5" hidden="false" customHeight="true" outlineLevel="0" collapsed="false">
      <c r="A25" s="20" t="s">
        <v>85</v>
      </c>
      <c r="B25" s="20" t="s">
        <v>104</v>
      </c>
      <c r="C25" s="21" t="s">
        <v>105</v>
      </c>
      <c r="D25" s="20" t="s">
        <v>73</v>
      </c>
      <c r="E25" s="22" t="n">
        <f aca="false">IFERROR('Rates Reference Table'!J22*$E$5,0)</f>
        <v>23.5</v>
      </c>
      <c r="F25" s="22" t="n">
        <f aca="false">IFERROR(E25*(1-$H$5/2),0)</f>
        <v>20.915</v>
      </c>
      <c r="G25" s="22" t="n">
        <f aca="false">IFERROR(E25*(1+$H$5/2),0)</f>
        <v>26.085</v>
      </c>
      <c r="H25" s="22" t="n">
        <f aca="false">IFERROR(F25*$B$5,0)</f>
        <v>5228.75</v>
      </c>
      <c r="I25" s="22" t="n">
        <f aca="false">IFERROR(G25*$B$5,0)</f>
        <v>6521.25</v>
      </c>
      <c r="J25" s="21" t="s">
        <v>106</v>
      </c>
    </row>
    <row r="26" customFormat="false" ht="13.5" hidden="false" customHeight="true" outlineLevel="0" collapsed="false">
      <c r="A26" s="24" t="s">
        <v>85</v>
      </c>
      <c r="B26" s="24" t="s">
        <v>107</v>
      </c>
      <c r="C26" s="25" t="s">
        <v>108</v>
      </c>
      <c r="D26" s="24" t="s">
        <v>109</v>
      </c>
      <c r="E26" s="26" t="n">
        <f aca="false">IFERROR('Rates Reference Table'!J23*$E$5,0)</f>
        <v>16.92</v>
      </c>
      <c r="F26" s="26" t="n">
        <f aca="false">IFERROR(E26*(1-$H$5/2),0)</f>
        <v>15.0588</v>
      </c>
      <c r="G26" s="26" t="n">
        <f aca="false">IFERROR(E26*(1+$H$5/2),0)</f>
        <v>18.7812</v>
      </c>
      <c r="H26" s="26" t="n">
        <f aca="false">IFERROR(F26*$B$5,0)</f>
        <v>3764.7</v>
      </c>
      <c r="I26" s="26" t="n">
        <f aca="false">IFERROR(G26*$B$5,0)</f>
        <v>4695.3</v>
      </c>
      <c r="J26" s="25" t="s">
        <v>110</v>
      </c>
    </row>
    <row r="27" customFormat="false" ht="15.75" hidden="false" customHeight="true" outlineLevel="0" collapsed="false">
      <c r="A27" s="36" t="s">
        <v>264</v>
      </c>
      <c r="B27" s="36"/>
      <c r="C27" s="36"/>
      <c r="D27" s="36"/>
      <c r="E27" s="36"/>
      <c r="F27" s="36"/>
      <c r="G27" s="36"/>
      <c r="H27" s="36"/>
      <c r="I27" s="36"/>
      <c r="J27" s="36"/>
    </row>
    <row r="28" customFormat="false" ht="13.5" hidden="false" customHeight="true" outlineLevel="0" collapsed="false">
      <c r="A28" s="20" t="s">
        <v>112</v>
      </c>
      <c r="B28" s="20" t="s">
        <v>113</v>
      </c>
      <c r="C28" s="21" t="s">
        <v>114</v>
      </c>
      <c r="D28" s="20" t="s">
        <v>73</v>
      </c>
      <c r="E28" s="22" t="n">
        <f aca="false">IFERROR('Rates Reference Table'!J25*$E$5,0)</f>
        <v>18.8</v>
      </c>
      <c r="F28" s="22" t="n">
        <f aca="false">IFERROR(E28*(1-$H$5/2),0)</f>
        <v>16.732</v>
      </c>
      <c r="G28" s="22" t="n">
        <f aca="false">IFERROR(E28*(1+$H$5/2),0)</f>
        <v>20.868</v>
      </c>
      <c r="H28" s="22" t="n">
        <f aca="false">IFERROR(F28*$B$5,0)</f>
        <v>4183</v>
      </c>
      <c r="I28" s="22" t="n">
        <f aca="false">IFERROR(G28*$B$5,0)</f>
        <v>5217</v>
      </c>
      <c r="J28" s="21" t="s">
        <v>115</v>
      </c>
    </row>
    <row r="29" customFormat="false" ht="13.5" hidden="false" customHeight="true" outlineLevel="0" collapsed="false">
      <c r="A29" s="24" t="s">
        <v>112</v>
      </c>
      <c r="B29" s="24" t="s">
        <v>116</v>
      </c>
      <c r="C29" s="25" t="s">
        <v>117</v>
      </c>
      <c r="D29" s="24" t="s">
        <v>73</v>
      </c>
      <c r="E29" s="26" t="n">
        <f aca="false">IFERROR('Rates Reference Table'!J26*$E$5,0)</f>
        <v>23.5</v>
      </c>
      <c r="F29" s="26" t="n">
        <f aca="false">IFERROR(E29*(1-$H$5/2),0)</f>
        <v>20.915</v>
      </c>
      <c r="G29" s="26" t="n">
        <f aca="false">IFERROR(E29*(1+$H$5/2),0)</f>
        <v>26.085</v>
      </c>
      <c r="H29" s="26" t="n">
        <f aca="false">IFERROR(F29*$B$5,0)</f>
        <v>5228.75</v>
      </c>
      <c r="I29" s="26" t="n">
        <f aca="false">IFERROR(G29*$B$5,0)</f>
        <v>6521.25</v>
      </c>
      <c r="J29" s="25" t="s">
        <v>118</v>
      </c>
    </row>
    <row r="30" customFormat="false" ht="13.5" hidden="false" customHeight="true" outlineLevel="0" collapsed="false">
      <c r="A30" s="20" t="s">
        <v>112</v>
      </c>
      <c r="B30" s="20" t="s">
        <v>119</v>
      </c>
      <c r="C30" s="21" t="s">
        <v>120</v>
      </c>
      <c r="D30" s="20" t="s">
        <v>73</v>
      </c>
      <c r="E30" s="22" t="n">
        <f aca="false">IFERROR('Rates Reference Table'!J27*$E$5,0)</f>
        <v>11.28</v>
      </c>
      <c r="F30" s="22" t="n">
        <f aca="false">IFERROR(E30*(1-$H$5/2),0)</f>
        <v>10.0392</v>
      </c>
      <c r="G30" s="22" t="n">
        <f aca="false">IFERROR(E30*(1+$H$5/2),0)</f>
        <v>12.5208</v>
      </c>
      <c r="H30" s="22" t="n">
        <f aca="false">IFERROR(F30*$B$5,0)</f>
        <v>2509.8</v>
      </c>
      <c r="I30" s="22" t="n">
        <f aca="false">IFERROR(G30*$B$5,0)</f>
        <v>3130.2</v>
      </c>
      <c r="J30" s="21" t="s">
        <v>121</v>
      </c>
    </row>
    <row r="31" customFormat="false" ht="15.75" hidden="false" customHeight="true" outlineLevel="0" collapsed="false">
      <c r="A31" s="36" t="s">
        <v>265</v>
      </c>
      <c r="B31" s="36"/>
      <c r="C31" s="36"/>
      <c r="D31" s="36"/>
      <c r="E31" s="36"/>
      <c r="F31" s="36"/>
      <c r="G31" s="36"/>
      <c r="H31" s="36"/>
      <c r="I31" s="36"/>
      <c r="J31" s="36"/>
    </row>
    <row r="32" customFormat="false" ht="13.5" hidden="false" customHeight="true" outlineLevel="0" collapsed="false">
      <c r="A32" s="20" t="s">
        <v>123</v>
      </c>
      <c r="B32" s="20" t="s">
        <v>124</v>
      </c>
      <c r="C32" s="21" t="s">
        <v>125</v>
      </c>
      <c r="D32" s="20" t="s">
        <v>58</v>
      </c>
      <c r="E32" s="22" t="n">
        <f aca="false">IFERROR('Rates Reference Table'!J29*$E$5,0)</f>
        <v>9.4</v>
      </c>
      <c r="F32" s="22" t="n">
        <f aca="false">IFERROR(E32*(1-$H$5/2),0)</f>
        <v>8.366</v>
      </c>
      <c r="G32" s="22" t="n">
        <f aca="false">IFERROR(E32*(1+$H$5/2),0)</f>
        <v>10.434</v>
      </c>
      <c r="H32" s="22" t="n">
        <f aca="false">IFERROR(F32*$B$5,0)</f>
        <v>2091.5</v>
      </c>
      <c r="I32" s="22" t="n">
        <f aca="false">IFERROR(G32*$B$5,0)</f>
        <v>2608.5</v>
      </c>
      <c r="J32" s="21" t="s">
        <v>126</v>
      </c>
    </row>
    <row r="33" customFormat="false" ht="13.5" hidden="false" customHeight="true" outlineLevel="0" collapsed="false">
      <c r="A33" s="24" t="s">
        <v>123</v>
      </c>
      <c r="B33" s="24" t="s">
        <v>127</v>
      </c>
      <c r="C33" s="25" t="s">
        <v>128</v>
      </c>
      <c r="D33" s="24" t="s">
        <v>109</v>
      </c>
      <c r="E33" s="26" t="n">
        <f aca="false">IFERROR('Rates Reference Table'!J30*$E$5,0)</f>
        <v>7.52</v>
      </c>
      <c r="F33" s="26" t="n">
        <f aca="false">IFERROR(E33*(1-$H$5/2),0)</f>
        <v>6.6928</v>
      </c>
      <c r="G33" s="26" t="n">
        <f aca="false">IFERROR(E33*(1+$H$5/2),0)</f>
        <v>8.3472</v>
      </c>
      <c r="H33" s="26" t="n">
        <f aca="false">IFERROR(F33*$B$5,0)</f>
        <v>1673.2</v>
      </c>
      <c r="I33" s="26" t="n">
        <f aca="false">IFERROR(G33*$B$5,0)</f>
        <v>2086.8</v>
      </c>
      <c r="J33" s="25" t="s">
        <v>129</v>
      </c>
    </row>
    <row r="34" customFormat="false" ht="13.5" hidden="false" customHeight="true" outlineLevel="0" collapsed="false">
      <c r="A34" s="20" t="s">
        <v>123</v>
      </c>
      <c r="B34" s="20" t="s">
        <v>130</v>
      </c>
      <c r="C34" s="21" t="s">
        <v>131</v>
      </c>
      <c r="D34" s="20" t="s">
        <v>58</v>
      </c>
      <c r="E34" s="22" t="n">
        <f aca="false">IFERROR('Rates Reference Table'!J31*$E$5,0)</f>
        <v>4.7</v>
      </c>
      <c r="F34" s="22" t="n">
        <f aca="false">IFERROR(E34*(1-$H$5/2),0)</f>
        <v>4.183</v>
      </c>
      <c r="G34" s="22" t="n">
        <f aca="false">IFERROR(E34*(1+$H$5/2),0)</f>
        <v>5.217</v>
      </c>
      <c r="H34" s="22" t="n">
        <f aca="false">IFERROR(F34*$B$5,0)</f>
        <v>1045.75</v>
      </c>
      <c r="I34" s="22" t="n">
        <f aca="false">IFERROR(G34*$B$5,0)</f>
        <v>1304.25</v>
      </c>
      <c r="J34" s="21" t="s">
        <v>132</v>
      </c>
    </row>
    <row r="35" customFormat="false" ht="13.5" hidden="false" customHeight="true" outlineLevel="0" collapsed="false">
      <c r="A35" s="24" t="s">
        <v>123</v>
      </c>
      <c r="B35" s="24" t="s">
        <v>133</v>
      </c>
      <c r="C35" s="25" t="s">
        <v>134</v>
      </c>
      <c r="D35" s="24" t="s">
        <v>58</v>
      </c>
      <c r="E35" s="26" t="n">
        <f aca="false">IFERROR('Rates Reference Table'!J32*$E$5,0)</f>
        <v>0</v>
      </c>
      <c r="F35" s="26" t="n">
        <f aca="false">IFERROR(E35*(1-$H$5/2),0)</f>
        <v>0</v>
      </c>
      <c r="G35" s="26" t="n">
        <f aca="false">IFERROR(E35*(1+$H$5/2),0)</f>
        <v>0</v>
      </c>
      <c r="H35" s="26" t="n">
        <f aca="false">IFERROR(F35*$B$5,0)</f>
        <v>0</v>
      </c>
      <c r="I35" s="26" t="n">
        <f aca="false">IFERROR(G35*$B$5,0)</f>
        <v>0</v>
      </c>
      <c r="J35" s="25" t="s">
        <v>135</v>
      </c>
    </row>
    <row r="36" customFormat="false" ht="15.75" hidden="false" customHeight="true" outlineLevel="0" collapsed="false">
      <c r="A36" s="36" t="s">
        <v>266</v>
      </c>
      <c r="B36" s="36"/>
      <c r="C36" s="36"/>
      <c r="D36" s="36"/>
      <c r="E36" s="36"/>
      <c r="F36" s="36"/>
      <c r="G36" s="36"/>
      <c r="H36" s="36"/>
      <c r="I36" s="36"/>
      <c r="J36" s="36"/>
    </row>
    <row r="37" customFormat="false" ht="13.5" hidden="false" customHeight="true" outlineLevel="0" collapsed="false">
      <c r="A37" s="20" t="s">
        <v>137</v>
      </c>
      <c r="B37" s="20" t="s">
        <v>138</v>
      </c>
      <c r="C37" s="21" t="s">
        <v>139</v>
      </c>
      <c r="D37" s="20" t="s">
        <v>73</v>
      </c>
      <c r="E37" s="22" t="n">
        <f aca="false">IFERROR('Rates Reference Table'!J34*$E$5,0)</f>
        <v>18.8</v>
      </c>
      <c r="F37" s="22" t="n">
        <f aca="false">IFERROR(E37*(1-$H$5/2),0)</f>
        <v>16.732</v>
      </c>
      <c r="G37" s="22" t="n">
        <f aca="false">IFERROR(E37*(1+$H$5/2),0)</f>
        <v>20.868</v>
      </c>
      <c r="H37" s="22" t="n">
        <f aca="false">IFERROR(F37*$B$5,0)</f>
        <v>4183</v>
      </c>
      <c r="I37" s="22" t="n">
        <f aca="false">IFERROR(G37*$B$5,0)</f>
        <v>5217</v>
      </c>
      <c r="J37" s="21" t="s">
        <v>140</v>
      </c>
    </row>
    <row r="38" customFormat="false" ht="13.5" hidden="false" customHeight="true" outlineLevel="0" collapsed="false">
      <c r="A38" s="24" t="s">
        <v>137</v>
      </c>
      <c r="B38" s="24" t="s">
        <v>141</v>
      </c>
      <c r="C38" s="25" t="s">
        <v>142</v>
      </c>
      <c r="D38" s="24" t="s">
        <v>73</v>
      </c>
      <c r="E38" s="26" t="n">
        <f aca="false">IFERROR('Rates Reference Table'!J35*$E$5,0)</f>
        <v>28.2</v>
      </c>
      <c r="F38" s="26" t="n">
        <f aca="false">IFERROR(E38*(1-$H$5/2),0)</f>
        <v>25.098</v>
      </c>
      <c r="G38" s="26" t="n">
        <f aca="false">IFERROR(E38*(1+$H$5/2),0)</f>
        <v>31.302</v>
      </c>
      <c r="H38" s="26" t="n">
        <f aca="false">IFERROR(F38*$B$5,0)</f>
        <v>6274.5</v>
      </c>
      <c r="I38" s="26" t="n">
        <f aca="false">IFERROR(G38*$B$5,0)</f>
        <v>7825.5</v>
      </c>
      <c r="J38" s="25" t="s">
        <v>143</v>
      </c>
    </row>
    <row r="39" customFormat="false" ht="13.5" hidden="false" customHeight="true" outlineLevel="0" collapsed="false">
      <c r="A39" s="20" t="s">
        <v>137</v>
      </c>
      <c r="B39" s="20" t="s">
        <v>144</v>
      </c>
      <c r="C39" s="21" t="s">
        <v>145</v>
      </c>
      <c r="D39" s="20" t="s">
        <v>73</v>
      </c>
      <c r="E39" s="22" t="n">
        <f aca="false">IFERROR('Rates Reference Table'!J36*$E$5,0)</f>
        <v>23.5</v>
      </c>
      <c r="F39" s="22" t="n">
        <f aca="false">IFERROR(E39*(1-$H$5/2),0)</f>
        <v>20.915</v>
      </c>
      <c r="G39" s="22" t="n">
        <f aca="false">IFERROR(E39*(1+$H$5/2),0)</f>
        <v>26.085</v>
      </c>
      <c r="H39" s="22" t="n">
        <f aca="false">IFERROR(F39*$B$5,0)</f>
        <v>5228.75</v>
      </c>
      <c r="I39" s="22" t="n">
        <f aca="false">IFERROR(G39*$B$5,0)</f>
        <v>6521.25</v>
      </c>
      <c r="J39" s="21" t="s">
        <v>146</v>
      </c>
    </row>
    <row r="40" customFormat="false" ht="13.5" hidden="false" customHeight="true" outlineLevel="0" collapsed="false">
      <c r="A40" s="24" t="s">
        <v>137</v>
      </c>
      <c r="B40" s="24" t="s">
        <v>147</v>
      </c>
      <c r="C40" s="25" t="s">
        <v>148</v>
      </c>
      <c r="D40" s="24" t="s">
        <v>73</v>
      </c>
      <c r="E40" s="26" t="n">
        <f aca="false">IFERROR('Rates Reference Table'!J37*$E$5,0)</f>
        <v>9.4</v>
      </c>
      <c r="F40" s="26" t="n">
        <f aca="false">IFERROR(E40*(1-$H$5/2),0)</f>
        <v>8.366</v>
      </c>
      <c r="G40" s="26" t="n">
        <f aca="false">IFERROR(E40*(1+$H$5/2),0)</f>
        <v>10.434</v>
      </c>
      <c r="H40" s="26" t="n">
        <f aca="false">IFERROR(F40*$B$5,0)</f>
        <v>2091.5</v>
      </c>
      <c r="I40" s="26" t="n">
        <f aca="false">IFERROR(G40*$B$5,0)</f>
        <v>2608.5</v>
      </c>
      <c r="J40" s="25" t="s">
        <v>149</v>
      </c>
    </row>
    <row r="41" customFormat="false" ht="13.5" hidden="false" customHeight="true" outlineLevel="0" collapsed="false">
      <c r="A41" s="20" t="s">
        <v>137</v>
      </c>
      <c r="B41" s="20" t="s">
        <v>150</v>
      </c>
      <c r="C41" s="21" t="s">
        <v>151</v>
      </c>
      <c r="D41" s="20" t="s">
        <v>58</v>
      </c>
      <c r="E41" s="22" t="n">
        <f aca="false">IFERROR('Rates Reference Table'!J38*$E$5,0)</f>
        <v>4.7</v>
      </c>
      <c r="F41" s="22" t="n">
        <f aca="false">IFERROR(E41*(1-$H$5/2),0)</f>
        <v>4.183</v>
      </c>
      <c r="G41" s="22" t="n">
        <f aca="false">IFERROR(E41*(1+$H$5/2),0)</f>
        <v>5.217</v>
      </c>
      <c r="H41" s="22" t="n">
        <f aca="false">IFERROR(F41*$B$5,0)</f>
        <v>1045.75</v>
      </c>
      <c r="I41" s="22" t="n">
        <f aca="false">IFERROR(G41*$B$5,0)</f>
        <v>1304.25</v>
      </c>
      <c r="J41" s="21" t="s">
        <v>152</v>
      </c>
    </row>
    <row r="42" customFormat="false" ht="13.5" hidden="false" customHeight="true" outlineLevel="0" collapsed="false">
      <c r="A42" s="24" t="s">
        <v>137</v>
      </c>
      <c r="B42" s="24" t="s">
        <v>153</v>
      </c>
      <c r="C42" s="25" t="s">
        <v>154</v>
      </c>
      <c r="D42" s="24" t="s">
        <v>73</v>
      </c>
      <c r="E42" s="26" t="n">
        <f aca="false">IFERROR('Rates Reference Table'!J39*$E$5,0)</f>
        <v>4.7</v>
      </c>
      <c r="F42" s="26" t="n">
        <f aca="false">IFERROR(E42*(1-$H$5/2),0)</f>
        <v>4.183</v>
      </c>
      <c r="G42" s="26" t="n">
        <f aca="false">IFERROR(E42*(1+$H$5/2),0)</f>
        <v>5.217</v>
      </c>
      <c r="H42" s="26" t="n">
        <f aca="false">IFERROR(F42*$B$5,0)</f>
        <v>1045.75</v>
      </c>
      <c r="I42" s="26" t="n">
        <f aca="false">IFERROR(G42*$B$5,0)</f>
        <v>1304.25</v>
      </c>
      <c r="J42" s="25" t="s">
        <v>155</v>
      </c>
    </row>
    <row r="43" customFormat="false" ht="13.5" hidden="false" customHeight="true" outlineLevel="0" collapsed="false">
      <c r="A43" s="20" t="s">
        <v>137</v>
      </c>
      <c r="B43" s="20" t="s">
        <v>156</v>
      </c>
      <c r="C43" s="21" t="s">
        <v>157</v>
      </c>
      <c r="D43" s="20" t="s">
        <v>73</v>
      </c>
      <c r="E43" s="22" t="n">
        <f aca="false">IFERROR('Rates Reference Table'!J40*$E$5,0)</f>
        <v>14.1</v>
      </c>
      <c r="F43" s="22" t="n">
        <f aca="false">IFERROR(E43*(1-$H$5/2),0)</f>
        <v>12.549</v>
      </c>
      <c r="G43" s="22" t="n">
        <f aca="false">IFERROR(E43*(1+$H$5/2),0)</f>
        <v>15.651</v>
      </c>
      <c r="H43" s="22" t="n">
        <f aca="false">IFERROR(F43*$B$5,0)</f>
        <v>3137.25</v>
      </c>
      <c r="I43" s="22" t="n">
        <f aca="false">IFERROR(G43*$B$5,0)</f>
        <v>3912.75</v>
      </c>
      <c r="J43" s="21" t="s">
        <v>158</v>
      </c>
    </row>
    <row r="44" customFormat="false" ht="13.5" hidden="false" customHeight="true" outlineLevel="0" collapsed="false">
      <c r="A44" s="24" t="s">
        <v>137</v>
      </c>
      <c r="B44" s="24" t="s">
        <v>159</v>
      </c>
      <c r="C44" s="25" t="s">
        <v>160</v>
      </c>
      <c r="D44" s="24" t="s">
        <v>73</v>
      </c>
      <c r="E44" s="26" t="n">
        <f aca="false">IFERROR('Rates Reference Table'!J41*$E$5,0)</f>
        <v>23.5</v>
      </c>
      <c r="F44" s="26" t="n">
        <f aca="false">IFERROR(E44*(1-$H$5/2),0)</f>
        <v>20.915</v>
      </c>
      <c r="G44" s="26" t="n">
        <f aca="false">IFERROR(E44*(1+$H$5/2),0)</f>
        <v>26.085</v>
      </c>
      <c r="H44" s="26" t="n">
        <f aca="false">IFERROR(F44*$B$5,0)</f>
        <v>5228.75</v>
      </c>
      <c r="I44" s="26" t="n">
        <f aca="false">IFERROR(G44*$B$5,0)</f>
        <v>6521.25</v>
      </c>
      <c r="J44" s="25" t="s">
        <v>161</v>
      </c>
    </row>
    <row r="45" customFormat="false" ht="13.5" hidden="false" customHeight="true" outlineLevel="0" collapsed="false">
      <c r="A45" s="20" t="s">
        <v>137</v>
      </c>
      <c r="B45" s="20" t="s">
        <v>162</v>
      </c>
      <c r="C45" s="21" t="s">
        <v>163</v>
      </c>
      <c r="D45" s="20" t="s">
        <v>73</v>
      </c>
      <c r="E45" s="22" t="n">
        <f aca="false">IFERROR('Rates Reference Table'!J42*$E$5,0)</f>
        <v>9.4</v>
      </c>
      <c r="F45" s="22" t="n">
        <f aca="false">IFERROR(E45*(1-$H$5/2),0)</f>
        <v>8.366</v>
      </c>
      <c r="G45" s="22" t="n">
        <f aca="false">IFERROR(E45*(1+$H$5/2),0)</f>
        <v>10.434</v>
      </c>
      <c r="H45" s="22" t="n">
        <f aca="false">IFERROR(F45*$B$5,0)</f>
        <v>2091.5</v>
      </c>
      <c r="I45" s="22" t="n">
        <f aca="false">IFERROR(G45*$B$5,0)</f>
        <v>2608.5</v>
      </c>
      <c r="J45" s="21" t="s">
        <v>164</v>
      </c>
    </row>
    <row r="46" customFormat="false" ht="13.5" hidden="false" customHeight="true" outlineLevel="0" collapsed="false">
      <c r="A46" s="24" t="s">
        <v>137</v>
      </c>
      <c r="B46" s="24" t="s">
        <v>165</v>
      </c>
      <c r="C46" s="25" t="s">
        <v>166</v>
      </c>
      <c r="D46" s="24" t="s">
        <v>58</v>
      </c>
      <c r="E46" s="26" t="n">
        <f aca="false">IFERROR('Rates Reference Table'!J43*$E$5,0)</f>
        <v>2.82</v>
      </c>
      <c r="F46" s="26" t="n">
        <f aca="false">IFERROR(E46*(1-$H$5/2),0)</f>
        <v>2.5098</v>
      </c>
      <c r="G46" s="26" t="n">
        <f aca="false">IFERROR(E46*(1+$H$5/2),0)</f>
        <v>3.1302</v>
      </c>
      <c r="H46" s="26" t="n">
        <f aca="false">IFERROR(F46*$B$5,0)</f>
        <v>627.45</v>
      </c>
      <c r="I46" s="26" t="n">
        <f aca="false">IFERROR(G46*$B$5,0)</f>
        <v>782.55</v>
      </c>
      <c r="J46" s="25" t="s">
        <v>167</v>
      </c>
    </row>
    <row r="47" customFormat="false" ht="13.5" hidden="false" customHeight="true" outlineLevel="0" collapsed="false">
      <c r="A47" s="20" t="s">
        <v>137</v>
      </c>
      <c r="B47" s="20" t="s">
        <v>168</v>
      </c>
      <c r="C47" s="21" t="s">
        <v>169</v>
      </c>
      <c r="D47" s="20" t="s">
        <v>170</v>
      </c>
      <c r="E47" s="22" t="n">
        <f aca="false">IFERROR('Rates Reference Table'!J44*$E$5,0)</f>
        <v>752</v>
      </c>
      <c r="F47" s="22" t="n">
        <f aca="false">IFERROR(E47*(1-$H$5/2),0)</f>
        <v>669.28</v>
      </c>
      <c r="G47" s="22" t="n">
        <f aca="false">IFERROR(E47*(1+$H$5/2),0)</f>
        <v>834.72</v>
      </c>
      <c r="H47" s="22" t="n">
        <f aca="false">IFERROR(F47*$B$5,0)</f>
        <v>167320</v>
      </c>
      <c r="I47" s="22" t="n">
        <f aca="false">IFERROR(G47*$B$5,0)</f>
        <v>208680</v>
      </c>
      <c r="J47" s="21" t="s">
        <v>171</v>
      </c>
    </row>
    <row r="48" customFormat="false" ht="13.5" hidden="false" customHeight="true" outlineLevel="0" collapsed="false">
      <c r="A48" s="24" t="s">
        <v>137</v>
      </c>
      <c r="B48" s="24" t="s">
        <v>172</v>
      </c>
      <c r="C48" s="25" t="s">
        <v>173</v>
      </c>
      <c r="D48" s="24" t="s">
        <v>109</v>
      </c>
      <c r="E48" s="26" t="n">
        <f aca="false">IFERROR('Rates Reference Table'!J45*$E$5,0)</f>
        <v>1410</v>
      </c>
      <c r="F48" s="26" t="n">
        <f aca="false">IFERROR(E48*(1-$H$5/2),0)</f>
        <v>1254.9</v>
      </c>
      <c r="G48" s="26" t="n">
        <f aca="false">IFERROR(E48*(1+$H$5/2),0)</f>
        <v>1565.1</v>
      </c>
      <c r="H48" s="26" t="n">
        <f aca="false">IFERROR(F48*$B$5,0)</f>
        <v>313725</v>
      </c>
      <c r="I48" s="26" t="n">
        <f aca="false">IFERROR(G48*$B$5,0)</f>
        <v>391275</v>
      </c>
      <c r="J48" s="25" t="s">
        <v>174</v>
      </c>
    </row>
    <row r="49" customFormat="false" ht="13.5" hidden="false" customHeight="true" outlineLevel="0" collapsed="false">
      <c r="A49" s="20" t="s">
        <v>137</v>
      </c>
      <c r="B49" s="20" t="s">
        <v>175</v>
      </c>
      <c r="C49" s="21" t="s">
        <v>176</v>
      </c>
      <c r="D49" s="20" t="s">
        <v>73</v>
      </c>
      <c r="E49" s="22" t="n">
        <f aca="false">IFERROR('Rates Reference Table'!J46*$E$5,0)</f>
        <v>7.52</v>
      </c>
      <c r="F49" s="22" t="n">
        <f aca="false">IFERROR(E49*(1-$H$5/2),0)</f>
        <v>6.6928</v>
      </c>
      <c r="G49" s="22" t="n">
        <f aca="false">IFERROR(E49*(1+$H$5/2),0)</f>
        <v>8.3472</v>
      </c>
      <c r="H49" s="22" t="n">
        <f aca="false">IFERROR(F49*$B$5,0)</f>
        <v>1673.2</v>
      </c>
      <c r="I49" s="22" t="n">
        <f aca="false">IFERROR(G49*$B$5,0)</f>
        <v>2086.8</v>
      </c>
      <c r="J49" s="21" t="s">
        <v>177</v>
      </c>
    </row>
    <row r="50" customFormat="false" ht="13.5" hidden="false" customHeight="true" outlineLevel="0" collapsed="false">
      <c r="A50" s="24" t="s">
        <v>137</v>
      </c>
      <c r="B50" s="24" t="s">
        <v>178</v>
      </c>
      <c r="C50" s="25" t="s">
        <v>179</v>
      </c>
      <c r="D50" s="24" t="s">
        <v>58</v>
      </c>
      <c r="E50" s="26" t="n">
        <f aca="false">IFERROR('Rates Reference Table'!J47*$E$5,0)</f>
        <v>2.82</v>
      </c>
      <c r="F50" s="26" t="n">
        <f aca="false">IFERROR(E50*(1-$H$5/2),0)</f>
        <v>2.5098</v>
      </c>
      <c r="G50" s="26" t="n">
        <f aca="false">IFERROR(E50*(1+$H$5/2),0)</f>
        <v>3.1302</v>
      </c>
      <c r="H50" s="26" t="n">
        <f aca="false">IFERROR(F50*$B$5,0)</f>
        <v>627.45</v>
      </c>
      <c r="I50" s="26" t="n">
        <f aca="false">IFERROR(G50*$B$5,0)</f>
        <v>782.55</v>
      </c>
      <c r="J50" s="25" t="s">
        <v>180</v>
      </c>
    </row>
    <row r="51" customFormat="false" ht="13.5" hidden="false" customHeight="true" outlineLevel="0" collapsed="false">
      <c r="A51" s="20" t="s">
        <v>137</v>
      </c>
      <c r="B51" s="20" t="s">
        <v>181</v>
      </c>
      <c r="C51" s="21" t="s">
        <v>182</v>
      </c>
      <c r="D51" s="20" t="s">
        <v>73</v>
      </c>
      <c r="E51" s="22" t="n">
        <f aca="false">IFERROR('Rates Reference Table'!J48*$E$5,0)</f>
        <v>4.7</v>
      </c>
      <c r="F51" s="22" t="n">
        <f aca="false">IFERROR(E51*(1-$H$5/2),0)</f>
        <v>4.183</v>
      </c>
      <c r="G51" s="22" t="n">
        <f aca="false">IFERROR(E51*(1+$H$5/2),0)</f>
        <v>5.217</v>
      </c>
      <c r="H51" s="22" t="n">
        <f aca="false">IFERROR(F51*$B$5,0)</f>
        <v>1045.75</v>
      </c>
      <c r="I51" s="22" t="n">
        <f aca="false">IFERROR(G51*$B$5,0)</f>
        <v>1304.25</v>
      </c>
      <c r="J51" s="21" t="s">
        <v>183</v>
      </c>
    </row>
    <row r="52" customFormat="false" ht="13.5" hidden="false" customHeight="true" outlineLevel="0" collapsed="false">
      <c r="A52" s="24" t="s">
        <v>137</v>
      </c>
      <c r="B52" s="24" t="s">
        <v>184</v>
      </c>
      <c r="C52" s="25" t="s">
        <v>185</v>
      </c>
      <c r="D52" s="24" t="s">
        <v>109</v>
      </c>
      <c r="E52" s="26" t="n">
        <f aca="false">IFERROR('Rates Reference Table'!J49*$E$5,0)</f>
        <v>47</v>
      </c>
      <c r="F52" s="26" t="n">
        <f aca="false">IFERROR(E52*(1-$H$5/2),0)</f>
        <v>41.83</v>
      </c>
      <c r="G52" s="26" t="n">
        <f aca="false">IFERROR(E52*(1+$H$5/2),0)</f>
        <v>52.17</v>
      </c>
      <c r="H52" s="26" t="n">
        <f aca="false">IFERROR(F52*$B$5,0)</f>
        <v>10457.5</v>
      </c>
      <c r="I52" s="26" t="n">
        <f aca="false">IFERROR(G52*$B$5,0)</f>
        <v>13042.5</v>
      </c>
      <c r="J52" s="25" t="s">
        <v>186</v>
      </c>
    </row>
    <row r="53" customFormat="false" ht="13.5" hidden="false" customHeight="true" outlineLevel="0" collapsed="false">
      <c r="A53" s="20" t="s">
        <v>137</v>
      </c>
      <c r="B53" s="20" t="s">
        <v>187</v>
      </c>
      <c r="C53" s="21" t="s">
        <v>188</v>
      </c>
      <c r="D53" s="20" t="s">
        <v>73</v>
      </c>
      <c r="E53" s="22" t="n">
        <f aca="false">IFERROR('Rates Reference Table'!J50*$E$5,0)</f>
        <v>5.64</v>
      </c>
      <c r="F53" s="22" t="n">
        <f aca="false">IFERROR(E53*(1-$H$5/2),0)</f>
        <v>5.0196</v>
      </c>
      <c r="G53" s="22" t="n">
        <f aca="false">IFERROR(E53*(1+$H$5/2),0)</f>
        <v>6.2604</v>
      </c>
      <c r="H53" s="22" t="n">
        <f aca="false">IFERROR(F53*$B$5,0)</f>
        <v>1254.9</v>
      </c>
      <c r="I53" s="22" t="n">
        <f aca="false">IFERROR(G53*$B$5,0)</f>
        <v>1565.1</v>
      </c>
      <c r="J53" s="21" t="s">
        <v>189</v>
      </c>
    </row>
    <row r="54" customFormat="false" ht="15.75" hidden="false" customHeight="true" outlineLevel="0" collapsed="false">
      <c r="A54" s="37" t="s">
        <v>267</v>
      </c>
      <c r="B54" s="37"/>
      <c r="C54" s="37"/>
      <c r="D54" s="37"/>
      <c r="E54" s="37"/>
      <c r="F54" s="37"/>
      <c r="G54" s="37"/>
      <c r="H54" s="37"/>
      <c r="I54" s="37"/>
      <c r="J54" s="37"/>
    </row>
    <row r="55" customFormat="false" ht="13.5" hidden="false" customHeight="true" outlineLevel="0" collapsed="false">
      <c r="A55" s="38" t="s">
        <v>191</v>
      </c>
      <c r="B55" s="38" t="s">
        <v>192</v>
      </c>
      <c r="C55" s="39" t="s">
        <v>193</v>
      </c>
      <c r="D55" s="38" t="s">
        <v>58</v>
      </c>
      <c r="E55" s="40" t="s">
        <v>262</v>
      </c>
      <c r="F55" s="40" t="s">
        <v>262</v>
      </c>
      <c r="G55" s="40" t="s">
        <v>262</v>
      </c>
      <c r="H55" s="41" t="n">
        <v>0</v>
      </c>
      <c r="I55" s="41" t="n">
        <v>0</v>
      </c>
      <c r="J55" s="39" t="s">
        <v>194</v>
      </c>
    </row>
    <row r="56" customFormat="false" ht="13.5" hidden="false" customHeight="true" outlineLevel="0" collapsed="false">
      <c r="A56" s="38" t="s">
        <v>191</v>
      </c>
      <c r="B56" s="38" t="s">
        <v>195</v>
      </c>
      <c r="C56" s="39" t="s">
        <v>196</v>
      </c>
      <c r="D56" s="38" t="s">
        <v>58</v>
      </c>
      <c r="E56" s="40" t="s">
        <v>262</v>
      </c>
      <c r="F56" s="40" t="s">
        <v>262</v>
      </c>
      <c r="G56" s="40" t="s">
        <v>262</v>
      </c>
      <c r="H56" s="41" t="n">
        <v>0</v>
      </c>
      <c r="I56" s="41" t="n">
        <v>0</v>
      </c>
      <c r="J56" s="39" t="s">
        <v>197</v>
      </c>
    </row>
    <row r="57" customFormat="false" ht="15.75" hidden="false" customHeight="true" outlineLevel="0" collapsed="false">
      <c r="A57" s="36" t="s">
        <v>268</v>
      </c>
      <c r="B57" s="36"/>
      <c r="C57" s="36"/>
      <c r="D57" s="36"/>
      <c r="E57" s="36"/>
      <c r="F57" s="36"/>
      <c r="G57" s="36"/>
      <c r="H57" s="36"/>
      <c r="I57" s="36"/>
      <c r="J57" s="36"/>
    </row>
    <row r="58" customFormat="false" ht="13.5" hidden="false" customHeight="true" outlineLevel="0" collapsed="false">
      <c r="A58" s="20" t="s">
        <v>199</v>
      </c>
      <c r="B58" s="20" t="s">
        <v>200</v>
      </c>
      <c r="C58" s="21" t="s">
        <v>201</v>
      </c>
      <c r="D58" s="20" t="s">
        <v>58</v>
      </c>
      <c r="E58" s="22" t="n">
        <f aca="false">IFERROR('Rates Reference Table'!J55*$E$5,0)</f>
        <v>14.1</v>
      </c>
      <c r="F58" s="22" t="n">
        <f aca="false">IFERROR(E58*(1-$H$5/2),0)</f>
        <v>12.549</v>
      </c>
      <c r="G58" s="22" t="n">
        <f aca="false">IFERROR(E58*(1+$H$5/2),0)</f>
        <v>15.651</v>
      </c>
      <c r="H58" s="22" t="n">
        <f aca="false">IFERROR(F58*$B$5,0)</f>
        <v>3137.25</v>
      </c>
      <c r="I58" s="22" t="n">
        <f aca="false">IFERROR(G58*$B$5,0)</f>
        <v>3912.75</v>
      </c>
      <c r="J58" s="21" t="s">
        <v>202</v>
      </c>
    </row>
    <row r="59" customFormat="false" ht="13.5" hidden="false" customHeight="true" outlineLevel="0" collapsed="false">
      <c r="A59" s="24" t="s">
        <v>199</v>
      </c>
      <c r="B59" s="24" t="s">
        <v>203</v>
      </c>
      <c r="C59" s="25" t="s">
        <v>204</v>
      </c>
      <c r="D59" s="24" t="s">
        <v>58</v>
      </c>
      <c r="E59" s="26" t="n">
        <f aca="false">IFERROR('Rates Reference Table'!J56*$E$5,0)</f>
        <v>11.28</v>
      </c>
      <c r="F59" s="26" t="n">
        <f aca="false">IFERROR(E59*(1-$H$5/2),0)</f>
        <v>10.0392</v>
      </c>
      <c r="G59" s="26" t="n">
        <f aca="false">IFERROR(E59*(1+$H$5/2),0)</f>
        <v>12.5208</v>
      </c>
      <c r="H59" s="26" t="n">
        <f aca="false">IFERROR(F59*$B$5,0)</f>
        <v>2509.8</v>
      </c>
      <c r="I59" s="26" t="n">
        <f aca="false">IFERROR(G59*$B$5,0)</f>
        <v>3130.2</v>
      </c>
      <c r="J59" s="25" t="s">
        <v>205</v>
      </c>
    </row>
    <row r="60" customFormat="false" ht="13.5" hidden="false" customHeight="true" outlineLevel="0" collapsed="false">
      <c r="A60" s="20" t="s">
        <v>199</v>
      </c>
      <c r="B60" s="20" t="s">
        <v>206</v>
      </c>
      <c r="C60" s="21" t="s">
        <v>207</v>
      </c>
      <c r="D60" s="20" t="s">
        <v>58</v>
      </c>
      <c r="E60" s="22" t="n">
        <f aca="false">IFERROR('Rates Reference Table'!J57*$E$5,0)</f>
        <v>4.7</v>
      </c>
      <c r="F60" s="22" t="n">
        <f aca="false">IFERROR(E60*(1-$H$5/2),0)</f>
        <v>4.183</v>
      </c>
      <c r="G60" s="22" t="n">
        <f aca="false">IFERROR(E60*(1+$H$5/2),0)</f>
        <v>5.217</v>
      </c>
      <c r="H60" s="22" t="n">
        <f aca="false">IFERROR(F60*$B$5,0)</f>
        <v>1045.75</v>
      </c>
      <c r="I60" s="22" t="n">
        <f aca="false">IFERROR(G60*$B$5,0)</f>
        <v>1304.25</v>
      </c>
      <c r="J60" s="21" t="s">
        <v>208</v>
      </c>
    </row>
    <row r="61" customFormat="false" ht="13.5" hidden="false" customHeight="true" outlineLevel="0" collapsed="false">
      <c r="A61" s="24" t="s">
        <v>199</v>
      </c>
      <c r="B61" s="24" t="s">
        <v>209</v>
      </c>
      <c r="C61" s="25" t="s">
        <v>210</v>
      </c>
      <c r="D61" s="24" t="s">
        <v>58</v>
      </c>
      <c r="E61" s="26" t="n">
        <f aca="false">IFERROR('Rates Reference Table'!J58*$E$5,0)</f>
        <v>18.8</v>
      </c>
      <c r="F61" s="26" t="n">
        <f aca="false">IFERROR(E61*(1-$H$5/2),0)</f>
        <v>16.732</v>
      </c>
      <c r="G61" s="26" t="n">
        <f aca="false">IFERROR(E61*(1+$H$5/2),0)</f>
        <v>20.868</v>
      </c>
      <c r="H61" s="26" t="n">
        <f aca="false">IFERROR(F61*$B$5,0)</f>
        <v>4183</v>
      </c>
      <c r="I61" s="26" t="n">
        <f aca="false">IFERROR(G61*$B$5,0)</f>
        <v>5217</v>
      </c>
      <c r="J61" s="25" t="s">
        <v>211</v>
      </c>
    </row>
    <row r="62" customFormat="false" ht="13.5" hidden="false" customHeight="true" outlineLevel="0" collapsed="false">
      <c r="A62" s="20" t="s">
        <v>199</v>
      </c>
      <c r="B62" s="20" t="s">
        <v>212</v>
      </c>
      <c r="C62" s="21" t="s">
        <v>213</v>
      </c>
      <c r="D62" s="20" t="s">
        <v>58</v>
      </c>
      <c r="E62" s="22" t="n">
        <f aca="false">IFERROR('Rates Reference Table'!J59*$E$5,0)</f>
        <v>4.7</v>
      </c>
      <c r="F62" s="22" t="n">
        <f aca="false">IFERROR(E62*(1-$H$5/2),0)</f>
        <v>4.183</v>
      </c>
      <c r="G62" s="22" t="n">
        <f aca="false">IFERROR(E62*(1+$H$5/2),0)</f>
        <v>5.217</v>
      </c>
      <c r="H62" s="22" t="n">
        <f aca="false">IFERROR(F62*$B$5,0)</f>
        <v>1045.75</v>
      </c>
      <c r="I62" s="22" t="n">
        <f aca="false">IFERROR(G62*$B$5,0)</f>
        <v>1304.25</v>
      </c>
      <c r="J62" s="21" t="s">
        <v>214</v>
      </c>
    </row>
    <row r="63" customFormat="false" ht="15.75" hidden="false" customHeight="true" outlineLevel="0" collapsed="false">
      <c r="A63" s="36" t="s">
        <v>269</v>
      </c>
      <c r="B63" s="36"/>
      <c r="C63" s="36"/>
      <c r="D63" s="36"/>
      <c r="E63" s="36"/>
      <c r="F63" s="36"/>
      <c r="G63" s="36"/>
      <c r="H63" s="36"/>
      <c r="I63" s="36"/>
      <c r="J63" s="36"/>
    </row>
    <row r="64" customFormat="false" ht="13.5" hidden="false" customHeight="true" outlineLevel="0" collapsed="false">
      <c r="A64" s="20" t="s">
        <v>216</v>
      </c>
      <c r="B64" s="20" t="s">
        <v>217</v>
      </c>
      <c r="C64" s="21" t="s">
        <v>218</v>
      </c>
      <c r="D64" s="20" t="s">
        <v>58</v>
      </c>
      <c r="E64" s="22" t="n">
        <f aca="false">IFERROR('Rates Reference Table'!J61*$E$5,0)</f>
        <v>4.7</v>
      </c>
      <c r="F64" s="22" t="n">
        <f aca="false">IFERROR(E64*(1-$H$5/2),0)</f>
        <v>4.183</v>
      </c>
      <c r="G64" s="22" t="n">
        <f aca="false">IFERROR(E64*(1+$H$5/2),0)</f>
        <v>5.217</v>
      </c>
      <c r="H64" s="22" t="n">
        <f aca="false">IFERROR(F64*$B$5,0)</f>
        <v>1045.75</v>
      </c>
      <c r="I64" s="22" t="n">
        <f aca="false">IFERROR(G64*$B$5,0)</f>
        <v>1304.25</v>
      </c>
      <c r="J64" s="21" t="s">
        <v>219</v>
      </c>
    </row>
    <row r="65" customFormat="false" ht="13.5" hidden="false" customHeight="true" outlineLevel="0" collapsed="false">
      <c r="A65" s="24" t="s">
        <v>216</v>
      </c>
      <c r="B65" s="24" t="s">
        <v>220</v>
      </c>
      <c r="C65" s="25" t="s">
        <v>221</v>
      </c>
      <c r="D65" s="24" t="s">
        <v>73</v>
      </c>
      <c r="E65" s="26" t="n">
        <f aca="false">IFERROR('Rates Reference Table'!J62*$E$5,0)</f>
        <v>9.4</v>
      </c>
      <c r="F65" s="26" t="n">
        <f aca="false">IFERROR(E65*(1-$H$5/2),0)</f>
        <v>8.366</v>
      </c>
      <c r="G65" s="26" t="n">
        <f aca="false">IFERROR(E65*(1+$H$5/2),0)</f>
        <v>10.434</v>
      </c>
      <c r="H65" s="26" t="n">
        <f aca="false">IFERROR(F65*$B$5,0)</f>
        <v>2091.5</v>
      </c>
      <c r="I65" s="26" t="n">
        <f aca="false">IFERROR(G65*$B$5,0)</f>
        <v>2608.5</v>
      </c>
      <c r="J65" s="25" t="s">
        <v>222</v>
      </c>
    </row>
    <row r="66" customFormat="false" ht="13.5" hidden="false" customHeight="true" outlineLevel="0" collapsed="false">
      <c r="A66" s="20" t="s">
        <v>216</v>
      </c>
      <c r="B66" s="20" t="s">
        <v>223</v>
      </c>
      <c r="C66" s="21" t="s">
        <v>224</v>
      </c>
      <c r="D66" s="20" t="s">
        <v>109</v>
      </c>
      <c r="E66" s="22" t="n">
        <f aca="false">IFERROR('Rates Reference Table'!J63*$E$5,0)</f>
        <v>2.82</v>
      </c>
      <c r="F66" s="22" t="n">
        <f aca="false">IFERROR(E66*(1-$H$5/2),0)</f>
        <v>2.5098</v>
      </c>
      <c r="G66" s="22" t="n">
        <f aca="false">IFERROR(E66*(1+$H$5/2),0)</f>
        <v>3.1302</v>
      </c>
      <c r="H66" s="22" t="n">
        <f aca="false">IFERROR(F66*$B$5,0)</f>
        <v>627.45</v>
      </c>
      <c r="I66" s="22" t="n">
        <f aca="false">IFERROR(G66*$B$5,0)</f>
        <v>782.55</v>
      </c>
      <c r="J66" s="21" t="s">
        <v>225</v>
      </c>
    </row>
    <row r="67" customFormat="false" ht="13.5" hidden="false" customHeight="true" outlineLevel="0" collapsed="false">
      <c r="A67" s="24" t="s">
        <v>216</v>
      </c>
      <c r="B67" s="24" t="s">
        <v>226</v>
      </c>
      <c r="C67" s="25" t="s">
        <v>227</v>
      </c>
      <c r="D67" s="24" t="s">
        <v>58</v>
      </c>
      <c r="E67" s="26" t="n">
        <f aca="false">IFERROR('Rates Reference Table'!J64*$E$5,0)</f>
        <v>4.7</v>
      </c>
      <c r="F67" s="26" t="n">
        <f aca="false">IFERROR(E67*(1-$H$5/2),0)</f>
        <v>4.183</v>
      </c>
      <c r="G67" s="26" t="n">
        <f aca="false">IFERROR(E67*(1+$H$5/2),0)</f>
        <v>5.217</v>
      </c>
      <c r="H67" s="26" t="n">
        <f aca="false">IFERROR(F67*$B$5,0)</f>
        <v>1045.75</v>
      </c>
      <c r="I67" s="26" t="n">
        <f aca="false">IFERROR(G67*$B$5,0)</f>
        <v>1304.25</v>
      </c>
      <c r="J67" s="25" t="s">
        <v>228</v>
      </c>
    </row>
    <row r="68" customFormat="false" ht="13.5" hidden="false" customHeight="true" outlineLevel="0" collapsed="false">
      <c r="A68" s="20" t="s">
        <v>216</v>
      </c>
      <c r="B68" s="20" t="s">
        <v>229</v>
      </c>
      <c r="C68" s="21" t="s">
        <v>230</v>
      </c>
      <c r="D68" s="20" t="s">
        <v>58</v>
      </c>
      <c r="E68" s="22" t="n">
        <f aca="false">IFERROR('Rates Reference Table'!J65*$E$5,0)</f>
        <v>4.7</v>
      </c>
      <c r="F68" s="22" t="n">
        <f aca="false">IFERROR(E68*(1-$H$5/2),0)</f>
        <v>4.183</v>
      </c>
      <c r="G68" s="22" t="n">
        <f aca="false">IFERROR(E68*(1+$H$5/2),0)</f>
        <v>5.217</v>
      </c>
      <c r="H68" s="22" t="n">
        <f aca="false">IFERROR(F68*$B$5,0)</f>
        <v>1045.75</v>
      </c>
      <c r="I68" s="22" t="n">
        <f aca="false">IFERROR(G68*$B$5,0)</f>
        <v>1304.25</v>
      </c>
      <c r="J68" s="21" t="s">
        <v>231</v>
      </c>
    </row>
    <row r="69" customFormat="false" ht="13.5" hidden="false" customHeight="true" outlineLevel="0" collapsed="false">
      <c r="A69" s="24" t="s">
        <v>216</v>
      </c>
      <c r="B69" s="24" t="s">
        <v>232</v>
      </c>
      <c r="C69" s="25" t="s">
        <v>233</v>
      </c>
      <c r="D69" s="24" t="s">
        <v>58</v>
      </c>
      <c r="E69" s="26" t="n">
        <f aca="false">IFERROR('Rates Reference Table'!J66*$E$5,0)</f>
        <v>4.7</v>
      </c>
      <c r="F69" s="26" t="n">
        <f aca="false">IFERROR(E69*(1-$H$5/2),0)</f>
        <v>4.183</v>
      </c>
      <c r="G69" s="26" t="n">
        <f aca="false">IFERROR(E69*(1+$H$5/2),0)</f>
        <v>5.217</v>
      </c>
      <c r="H69" s="26" t="n">
        <f aca="false">IFERROR(F69*$B$5,0)</f>
        <v>1045.75</v>
      </c>
      <c r="I69" s="26" t="n">
        <f aca="false">IFERROR(G69*$B$5,0)</f>
        <v>1304.25</v>
      </c>
      <c r="J69" s="25" t="s">
        <v>234</v>
      </c>
    </row>
    <row r="70" customFormat="false" ht="13.5" hidden="false" customHeight="true" outlineLevel="0" collapsed="false">
      <c r="A70" s="20" t="s">
        <v>216</v>
      </c>
      <c r="B70" s="20" t="s">
        <v>235</v>
      </c>
      <c r="C70" s="21" t="s">
        <v>236</v>
      </c>
      <c r="D70" s="20" t="s">
        <v>73</v>
      </c>
      <c r="E70" s="22" t="n">
        <f aca="false">IFERROR('Rates Reference Table'!J67*$E$5,0)</f>
        <v>2.82</v>
      </c>
      <c r="F70" s="22" t="n">
        <f aca="false">IFERROR(E70*(1-$H$5/2),0)</f>
        <v>2.5098</v>
      </c>
      <c r="G70" s="22" t="n">
        <f aca="false">IFERROR(E70*(1+$H$5/2),0)</f>
        <v>3.1302</v>
      </c>
      <c r="H70" s="22" t="n">
        <f aca="false">IFERROR(F70*$B$5,0)</f>
        <v>627.45</v>
      </c>
      <c r="I70" s="22" t="n">
        <f aca="false">IFERROR(G70*$B$5,0)</f>
        <v>782.55</v>
      </c>
      <c r="J70" s="21" t="s">
        <v>237</v>
      </c>
    </row>
    <row r="71" customFormat="false" ht="13.5" hidden="false" customHeight="true" outlineLevel="0" collapsed="false">
      <c r="A71" s="24" t="s">
        <v>216</v>
      </c>
      <c r="B71" s="24" t="s">
        <v>238</v>
      </c>
      <c r="C71" s="25" t="s">
        <v>239</v>
      </c>
      <c r="D71" s="24" t="s">
        <v>58</v>
      </c>
      <c r="E71" s="26" t="n">
        <f aca="false">IFERROR('Rates Reference Table'!J68*$E$5,0)</f>
        <v>1.88</v>
      </c>
      <c r="F71" s="26" t="n">
        <f aca="false">IFERROR(E71*(1-$H$5/2),0)</f>
        <v>1.6732</v>
      </c>
      <c r="G71" s="26" t="n">
        <f aca="false">IFERROR(E71*(1+$H$5/2),0)</f>
        <v>2.0868</v>
      </c>
      <c r="H71" s="26" t="n">
        <f aca="false">IFERROR(F71*$B$5,0)</f>
        <v>418.3</v>
      </c>
      <c r="I71" s="26" t="n">
        <f aca="false">IFERROR(G71*$B$5,0)</f>
        <v>521.7</v>
      </c>
      <c r="J71" s="25" t="s">
        <v>240</v>
      </c>
    </row>
    <row r="72" customFormat="false" ht="13.5" hidden="false" customHeight="true" outlineLevel="0" collapsed="false">
      <c r="A72" s="20" t="s">
        <v>216</v>
      </c>
      <c r="B72" s="20" t="s">
        <v>241</v>
      </c>
      <c r="C72" s="21" t="s">
        <v>166</v>
      </c>
      <c r="D72" s="20" t="s">
        <v>58</v>
      </c>
      <c r="E72" s="22" t="n">
        <f aca="false">IFERROR('Rates Reference Table'!J69*$E$5,0)</f>
        <v>1.88</v>
      </c>
      <c r="F72" s="22" t="n">
        <f aca="false">IFERROR(E72*(1-$H$5/2),0)</f>
        <v>1.6732</v>
      </c>
      <c r="G72" s="22" t="n">
        <f aca="false">IFERROR(E72*(1+$H$5/2),0)</f>
        <v>2.0868</v>
      </c>
      <c r="H72" s="22" t="n">
        <f aca="false">IFERROR(F72*$B$5,0)</f>
        <v>418.3</v>
      </c>
      <c r="I72" s="22" t="n">
        <f aca="false">IFERROR(G72*$B$5,0)</f>
        <v>521.7</v>
      </c>
      <c r="J72" s="21" t="s">
        <v>242</v>
      </c>
    </row>
    <row r="73" customFormat="false" ht="18" hidden="false" customHeight="true" outlineLevel="0" collapsed="false">
      <c r="A73" s="42" t="s">
        <v>270</v>
      </c>
      <c r="B73" s="42"/>
      <c r="C73" s="42"/>
      <c r="D73" s="42"/>
      <c r="E73" s="42"/>
      <c r="F73" s="42"/>
      <c r="G73" s="42"/>
      <c r="H73" s="43" t="n">
        <f aca="false">SUMPRODUCT((H8:H72&gt;0)*H8:H72)</f>
        <v>742482.5</v>
      </c>
      <c r="I73" s="43" t="n">
        <f aca="false">SUMPRODUCT((I8:I72&gt;0)*I8:I72)</f>
        <v>926017.5</v>
      </c>
    </row>
    <row r="74" customFormat="false" ht="7.5" hidden="false" customHeight="true" outlineLevel="0" collapsed="false"/>
    <row r="75" customFormat="false" ht="15" hidden="false" customHeight="true" outlineLevel="0" collapsed="false">
      <c r="A75" s="44" t="s">
        <v>271</v>
      </c>
      <c r="B75" s="44"/>
      <c r="C75" s="44"/>
      <c r="D75" s="44"/>
      <c r="E75" s="44"/>
      <c r="F75" s="44"/>
      <c r="G75" s="44"/>
      <c r="H75" s="44"/>
      <c r="I75" s="44"/>
      <c r="J75" s="44"/>
    </row>
    <row r="76" customFormat="false" ht="15" hidden="false" customHeight="true" outlineLevel="0" collapsed="false">
      <c r="A76" s="45" t="s">
        <v>272</v>
      </c>
      <c r="B76" s="45"/>
      <c r="C76" s="45"/>
      <c r="D76" s="45" t="s">
        <v>273</v>
      </c>
      <c r="E76" s="45" t="s">
        <v>274</v>
      </c>
      <c r="F76" s="45" t="s">
        <v>275</v>
      </c>
      <c r="G76" s="45" t="s">
        <v>276</v>
      </c>
      <c r="H76" s="45" t="s">
        <v>277</v>
      </c>
      <c r="I76" s="45" t="s">
        <v>278</v>
      </c>
      <c r="J76" s="45" t="s">
        <v>279</v>
      </c>
    </row>
    <row r="77" customFormat="false" ht="15.75" hidden="false" customHeight="true" outlineLevel="0" collapsed="false">
      <c r="A77" s="20" t="s">
        <v>280</v>
      </c>
      <c r="B77" s="21"/>
      <c r="C77" s="21"/>
      <c r="D77" s="21" t="s">
        <v>281</v>
      </c>
      <c r="E77" s="20" t="s">
        <v>282</v>
      </c>
      <c r="F77" s="46" t="n">
        <v>0.08</v>
      </c>
      <c r="G77" s="46" t="n">
        <v>0.1</v>
      </c>
      <c r="H77" s="22" t="n">
        <f aca="false">IFERROR(F77*H73,0)</f>
        <v>59398.6</v>
      </c>
      <c r="I77" s="22" t="n">
        <f aca="false">IFERROR(G77*I73,0)</f>
        <v>92601.75</v>
      </c>
      <c r="J77" s="21" t="s">
        <v>283</v>
      </c>
    </row>
    <row r="78" customFormat="false" ht="15.75" hidden="false" customHeight="true" outlineLevel="0" collapsed="false">
      <c r="A78" s="24" t="s">
        <v>284</v>
      </c>
      <c r="B78" s="25"/>
      <c r="C78" s="25"/>
      <c r="D78" s="25" t="s">
        <v>285</v>
      </c>
      <c r="E78" s="24" t="s">
        <v>282</v>
      </c>
      <c r="F78" s="47" t="n">
        <v>0.08</v>
      </c>
      <c r="G78" s="47" t="n">
        <v>0.12</v>
      </c>
      <c r="H78" s="26" t="n">
        <f aca="false">IFERROR(F78*H73,0)</f>
        <v>59398.6</v>
      </c>
      <c r="I78" s="26" t="n">
        <f aca="false">IFERROR(G78*I73,0)</f>
        <v>111122.1</v>
      </c>
      <c r="J78" s="25" t="s">
        <v>286</v>
      </c>
    </row>
    <row r="79" customFormat="false" ht="18" hidden="false" customHeight="true" outlineLevel="0" collapsed="false">
      <c r="A79" s="42" t="s">
        <v>287</v>
      </c>
      <c r="B79" s="42"/>
      <c r="C79" s="42"/>
      <c r="D79" s="42"/>
      <c r="E79" s="42"/>
      <c r="F79" s="42"/>
      <c r="G79" s="42"/>
      <c r="H79" s="43" t="n">
        <f aca="false">H73+H77+H78</f>
        <v>861279.7</v>
      </c>
      <c r="I79" s="43" t="n">
        <f aca="false">I73+I77+I78</f>
        <v>1129741.35</v>
      </c>
    </row>
    <row r="80" customFormat="false" ht="15.75" hidden="false" customHeight="true" outlineLevel="0" collapsed="false">
      <c r="A80" s="24" t="s">
        <v>288</v>
      </c>
      <c r="B80" s="25"/>
      <c r="C80" s="25"/>
      <c r="D80" s="25" t="s">
        <v>289</v>
      </c>
      <c r="E80" s="24" t="s">
        <v>290</v>
      </c>
      <c r="F80" s="47" t="n">
        <v>0.05</v>
      </c>
      <c r="G80" s="47" t="n">
        <v>0.15</v>
      </c>
      <c r="H80" s="26" t="n">
        <f aca="false">IFERROR(F80*H79,0)</f>
        <v>43063.985</v>
      </c>
      <c r="I80" s="26" t="n">
        <f aca="false">IFERROR(G80*I79,0)</f>
        <v>169461.2025</v>
      </c>
      <c r="J80" s="25" t="s">
        <v>291</v>
      </c>
    </row>
    <row r="81" customFormat="false" ht="15.75" hidden="false" customHeight="true" outlineLevel="0" collapsed="false">
      <c r="A81" s="20" t="s">
        <v>292</v>
      </c>
      <c r="B81" s="21"/>
      <c r="C81" s="21"/>
      <c r="D81" s="21" t="s">
        <v>293</v>
      </c>
      <c r="E81" s="20" t="s">
        <v>290</v>
      </c>
      <c r="F81" s="46" t="n">
        <v>0.02</v>
      </c>
      <c r="G81" s="46" t="n">
        <v>0.04</v>
      </c>
      <c r="H81" s="22" t="n">
        <f aca="false">IFERROR(F81*H79,0)</f>
        <v>17225.594</v>
      </c>
      <c r="I81" s="22" t="n">
        <f aca="false">IFERROR(G81*I79,0)</f>
        <v>45189.654</v>
      </c>
      <c r="J81" s="21" t="s">
        <v>294</v>
      </c>
    </row>
    <row r="82" customFormat="false" ht="15.75" hidden="false" customHeight="true" outlineLevel="0" collapsed="false">
      <c r="A82" s="48" t="s">
        <v>295</v>
      </c>
      <c r="B82" s="49"/>
      <c r="C82" s="49"/>
      <c r="D82" s="49" t="s">
        <v>296</v>
      </c>
      <c r="E82" s="48" t="s">
        <v>282</v>
      </c>
      <c r="F82" s="50" t="n">
        <v>0.05</v>
      </c>
      <c r="G82" s="50" t="n">
        <v>0.1</v>
      </c>
      <c r="H82" s="51" t="n">
        <f aca="false">IFERROR(F82*H73,0)</f>
        <v>37124.125</v>
      </c>
      <c r="I82" s="51" t="n">
        <f aca="false">IFERROR(G82*I73,0)</f>
        <v>92601.75</v>
      </c>
      <c r="J82" s="49" t="s">
        <v>297</v>
      </c>
    </row>
    <row r="83" customFormat="false" ht="15.75" hidden="false" customHeight="true" outlineLevel="0" collapsed="false">
      <c r="A83" s="52" t="s">
        <v>298</v>
      </c>
      <c r="B83" s="53"/>
      <c r="C83" s="53"/>
      <c r="D83" s="53" t="s">
        <v>299</v>
      </c>
      <c r="E83" s="52" t="s">
        <v>282</v>
      </c>
      <c r="F83" s="54" t="n">
        <v>0.05</v>
      </c>
      <c r="G83" s="54" t="n">
        <v>0.05</v>
      </c>
      <c r="H83" s="55" t="n">
        <f aca="false">IFERROR(0.05*H73,0)</f>
        <v>37124.125</v>
      </c>
      <c r="I83" s="55" t="n">
        <f aca="false">IFERROR(0.05*I73,0)</f>
        <v>46300.875</v>
      </c>
      <c r="J83" s="53" t="s">
        <v>300</v>
      </c>
    </row>
    <row r="84" customFormat="false" ht="15.75" hidden="false" customHeight="true" outlineLevel="0" collapsed="false">
      <c r="A84" s="24" t="s">
        <v>301</v>
      </c>
      <c r="B84" s="25"/>
      <c r="C84" s="25"/>
      <c r="D84" s="25" t="s">
        <v>302</v>
      </c>
      <c r="E84" s="24" t="s">
        <v>282</v>
      </c>
      <c r="F84" s="47" t="n">
        <v>0.02</v>
      </c>
      <c r="G84" s="47" t="n">
        <v>0.12</v>
      </c>
      <c r="H84" s="26" t="n">
        <f aca="false">IFERROR(F84*H73,0)</f>
        <v>14849.65</v>
      </c>
      <c r="I84" s="26" t="n">
        <f aca="false">IFERROR(G84*I73,0)</f>
        <v>111122.1</v>
      </c>
      <c r="J84" s="25" t="s">
        <v>303</v>
      </c>
    </row>
    <row r="85" customFormat="false" ht="21.75" hidden="false" customHeight="true" outlineLevel="0" collapsed="false">
      <c r="A85" s="56" t="s">
        <v>304</v>
      </c>
      <c r="B85" s="56"/>
      <c r="C85" s="56"/>
      <c r="D85" s="56"/>
      <c r="E85" s="56"/>
      <c r="F85" s="56"/>
      <c r="G85" s="56"/>
      <c r="H85" s="57" t="n">
        <f aca="false">H79+H80+H81+H82+H83+H84</f>
        <v>1010667.179</v>
      </c>
      <c r="I85" s="57" t="n">
        <f aca="false">I79+I80+I81+I82+I83+I84</f>
        <v>1594416.9315</v>
      </c>
    </row>
    <row r="86" customFormat="false" ht="15.75" hidden="false" customHeight="true" outlineLevel="0" collapsed="false">
      <c r="A86" s="58" t="s">
        <v>305</v>
      </c>
      <c r="B86" s="59"/>
      <c r="C86" s="59"/>
      <c r="D86" s="59" t="s">
        <v>306</v>
      </c>
      <c r="E86" s="58" t="s">
        <v>307</v>
      </c>
      <c r="F86" s="60" t="n">
        <v>0.2</v>
      </c>
      <c r="G86" s="60" t="n">
        <v>0.2</v>
      </c>
      <c r="H86" s="61" t="n">
        <f aca="false">IFERROR(0.2*H85,0)</f>
        <v>202133.4358</v>
      </c>
      <c r="I86" s="61" t="n">
        <f aca="false">IFERROR(0.2*I85,0)</f>
        <v>318883.3863</v>
      </c>
      <c r="J86" s="59" t="s">
        <v>308</v>
      </c>
    </row>
    <row r="87" customFormat="false" ht="7.5" hidden="false" customHeight="true" outlineLevel="0" collapsed="false"/>
    <row r="88" customFormat="false" ht="15.75" hidden="false" customHeight="true" outlineLevel="0" collapsed="false">
      <c r="A88" s="62" t="s">
        <v>309</v>
      </c>
      <c r="B88" s="62"/>
      <c r="C88" s="62"/>
      <c r="D88" s="62"/>
      <c r="E88" s="63" t="n">
        <f aca="false">IFERROR(H73/$B$5,0)</f>
        <v>2969.93</v>
      </c>
      <c r="F88" s="64"/>
      <c r="G88" s="65" t="n">
        <f aca="false">IFERROR(I73/$B$5,0)</f>
        <v>3704.07</v>
      </c>
      <c r="H88" s="64"/>
      <c r="I88" s="64"/>
      <c r="J88" s="64"/>
    </row>
    <row r="89" customFormat="false" ht="7.5" hidden="false" customHeight="true" outlineLevel="0" collapsed="false"/>
    <row r="90" customFormat="false" ht="27.75" hidden="false" customHeight="true" outlineLevel="0" collapsed="false">
      <c r="A90" s="66" t="s">
        <v>310</v>
      </c>
      <c r="B90" s="66"/>
      <c r="C90" s="66"/>
      <c r="D90" s="66"/>
      <c r="E90" s="66"/>
      <c r="F90" s="66"/>
      <c r="G90" s="66"/>
      <c r="H90" s="66"/>
      <c r="I90" s="66"/>
      <c r="J90" s="66"/>
    </row>
  </sheetData>
  <mergeCells count="17">
    <mergeCell ref="A1:I1"/>
    <mergeCell ref="A2:I2"/>
    <mergeCell ref="A8:J8"/>
    <mergeCell ref="A13:J13"/>
    <mergeCell ref="A18:J18"/>
    <mergeCell ref="A27:J27"/>
    <mergeCell ref="A31:J31"/>
    <mergeCell ref="A36:J36"/>
    <mergeCell ref="A54:J54"/>
    <mergeCell ref="A57:J57"/>
    <mergeCell ref="A63:J63"/>
    <mergeCell ref="A73:G73"/>
    <mergeCell ref="A75:J75"/>
    <mergeCell ref="A79:G79"/>
    <mergeCell ref="A85:G85"/>
    <mergeCell ref="A88:D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50"/>
    <col collapsed="false" customWidth="true" hidden="false" outlineLevel="0" max="4" min="4" style="1" width="8"/>
    <col collapsed="false" customWidth="true" hidden="false" outlineLevel="0" max="7" min="5" style="1" width="14"/>
    <col collapsed="false" customWidth="true" hidden="false" outlineLevel="0" max="9" min="8" style="1" width="17"/>
    <col collapsed="false" customWidth="true" hidden="false" outlineLevel="0" max="10" min="10" style="1" width="40"/>
  </cols>
  <sheetData>
    <row r="1" customFormat="false" ht="21.75" hidden="false" customHeight="true" outlineLevel="0" collapsed="false">
      <c r="A1" s="29" t="s">
        <v>326</v>
      </c>
      <c r="B1" s="29"/>
      <c r="C1" s="29"/>
      <c r="D1" s="29"/>
      <c r="E1" s="29"/>
      <c r="F1" s="29"/>
      <c r="G1" s="29"/>
      <c r="H1" s="29"/>
      <c r="I1" s="29"/>
    </row>
    <row r="2" customFormat="false" ht="19.5" hidden="false" customHeight="true" outlineLevel="0" collapsed="false">
      <c r="A2" s="30" t="s">
        <v>327</v>
      </c>
      <c r="B2" s="30"/>
      <c r="C2" s="30"/>
      <c r="D2" s="30"/>
      <c r="E2" s="30"/>
      <c r="F2" s="30"/>
      <c r="G2" s="30"/>
      <c r="H2" s="30"/>
      <c r="I2" s="30"/>
    </row>
    <row r="3" customFormat="false" ht="6" hidden="false" customHeight="true" outlineLevel="0" collapsed="false"/>
    <row r="4" customFormat="false" ht="15" hidden="false" customHeight="true" outlineLevel="0" collapsed="false">
      <c r="A4" s="31" t="s">
        <v>246</v>
      </c>
      <c r="B4" s="32" t="s">
        <v>325</v>
      </c>
      <c r="D4" s="31" t="s">
        <v>248</v>
      </c>
      <c r="E4" s="32" t="s">
        <v>328</v>
      </c>
      <c r="G4" s="31" t="s">
        <v>250</v>
      </c>
      <c r="H4" s="33" t="s">
        <v>251</v>
      </c>
    </row>
    <row r="5" customFormat="false" ht="18" hidden="false" customHeight="true" outlineLevel="0" collapsed="false">
      <c r="A5" s="31" t="s">
        <v>252</v>
      </c>
      <c r="B5" s="34" t="n">
        <v>250</v>
      </c>
      <c r="D5" s="31" t="s">
        <v>253</v>
      </c>
      <c r="E5" s="35" t="n">
        <v>0.94</v>
      </c>
      <c r="G5" s="31" t="s">
        <v>254</v>
      </c>
      <c r="H5" s="35" t="n">
        <v>0.22</v>
      </c>
    </row>
    <row r="6" customFormat="false" ht="6" hidden="false" customHeight="true" outlineLevel="0" collapsed="false"/>
    <row r="7" customFormat="false" ht="27.75" hidden="false" customHeight="true" outlineLevel="0" collapsed="false">
      <c r="A7" s="18" t="s">
        <v>41</v>
      </c>
      <c r="B7" s="18" t="s">
        <v>42</v>
      </c>
      <c r="C7" s="18" t="s">
        <v>43</v>
      </c>
      <c r="D7" s="18" t="s">
        <v>44</v>
      </c>
      <c r="E7" s="18" t="s">
        <v>255</v>
      </c>
      <c r="F7" s="18" t="s">
        <v>256</v>
      </c>
      <c r="G7" s="18" t="s">
        <v>257</v>
      </c>
      <c r="H7" s="18" t="s">
        <v>258</v>
      </c>
      <c r="I7" s="18" t="s">
        <v>259</v>
      </c>
      <c r="J7" s="18" t="s">
        <v>53</v>
      </c>
    </row>
    <row r="8" customFormat="false" ht="15.75" hidden="false" customHeight="true" outlineLevel="0" collapsed="false">
      <c r="A8" s="36" t="s">
        <v>260</v>
      </c>
      <c r="B8" s="36"/>
      <c r="C8" s="36"/>
      <c r="D8" s="36"/>
      <c r="E8" s="36"/>
      <c r="F8" s="36"/>
      <c r="G8" s="36"/>
      <c r="H8" s="36"/>
      <c r="I8" s="36"/>
      <c r="J8" s="36"/>
    </row>
    <row r="9" customFormat="false" ht="13.5" hidden="false" customHeight="true" outlineLevel="0" collapsed="false">
      <c r="A9" s="20" t="s">
        <v>55</v>
      </c>
      <c r="B9" s="20" t="s">
        <v>56</v>
      </c>
      <c r="C9" s="21" t="s">
        <v>57</v>
      </c>
      <c r="D9" s="20" t="s">
        <v>58</v>
      </c>
      <c r="E9" s="22" t="n">
        <f aca="false">IFERROR('Rates Reference Table'!K6*$E$5,0)</f>
        <v>18.8</v>
      </c>
      <c r="F9" s="22" t="n">
        <f aca="false">IFERROR(E9*(1-$H$5/2),0)</f>
        <v>16.732</v>
      </c>
      <c r="G9" s="22" t="n">
        <f aca="false">IFERROR(E9*(1+$H$5/2),0)</f>
        <v>20.868</v>
      </c>
      <c r="H9" s="22" t="n">
        <f aca="false">IFERROR(F9*$B$5,0)</f>
        <v>4183</v>
      </c>
      <c r="I9" s="22" t="n">
        <f aca="false">IFERROR(G9*$B$5,0)</f>
        <v>5217</v>
      </c>
      <c r="J9" s="21" t="s">
        <v>59</v>
      </c>
    </row>
    <row r="10" customFormat="false" ht="13.5" hidden="false" customHeight="true" outlineLevel="0" collapsed="false">
      <c r="A10" s="24" t="s">
        <v>55</v>
      </c>
      <c r="B10" s="24" t="s">
        <v>60</v>
      </c>
      <c r="C10" s="25" t="s">
        <v>61</v>
      </c>
      <c r="D10" s="24" t="s">
        <v>58</v>
      </c>
      <c r="E10" s="26" t="n">
        <f aca="false">IFERROR('Rates Reference Table'!K7*$E$5,0)</f>
        <v>32.9</v>
      </c>
      <c r="F10" s="26" t="n">
        <f aca="false">IFERROR(E10*(1-$H$5/2),0)</f>
        <v>29.281</v>
      </c>
      <c r="G10" s="26" t="n">
        <f aca="false">IFERROR(E10*(1+$H$5/2),0)</f>
        <v>36.519</v>
      </c>
      <c r="H10" s="26" t="n">
        <f aca="false">IFERROR(F10*$B$5,0)</f>
        <v>7320.25</v>
      </c>
      <c r="I10" s="26" t="n">
        <f aca="false">IFERROR(G10*$B$5,0)</f>
        <v>9129.75</v>
      </c>
      <c r="J10" s="25" t="s">
        <v>62</v>
      </c>
    </row>
    <row r="11" customFormat="false" ht="13.5" hidden="false" customHeight="true" outlineLevel="0" collapsed="false">
      <c r="A11" s="20" t="s">
        <v>55</v>
      </c>
      <c r="B11" s="20" t="s">
        <v>63</v>
      </c>
      <c r="C11" s="21" t="s">
        <v>64</v>
      </c>
      <c r="D11" s="20" t="s">
        <v>58</v>
      </c>
      <c r="E11" s="22" t="n">
        <f aca="false">IFERROR('Rates Reference Table'!K8*$E$5,0)</f>
        <v>14.1</v>
      </c>
      <c r="F11" s="22" t="n">
        <f aca="false">IFERROR(E11*(1-$H$5/2),0)</f>
        <v>12.549</v>
      </c>
      <c r="G11" s="22" t="n">
        <f aca="false">IFERROR(E11*(1+$H$5/2),0)</f>
        <v>15.651</v>
      </c>
      <c r="H11" s="22" t="n">
        <f aca="false">IFERROR(F11*$B$5,0)</f>
        <v>3137.25</v>
      </c>
      <c r="I11" s="22" t="n">
        <f aca="false">IFERROR(G11*$B$5,0)</f>
        <v>3912.75</v>
      </c>
      <c r="J11" s="21" t="s">
        <v>65</v>
      </c>
    </row>
    <row r="12" customFormat="false" ht="13.5" hidden="false" customHeight="true" outlineLevel="0" collapsed="false">
      <c r="A12" s="24" t="s">
        <v>55</v>
      </c>
      <c r="B12" s="24" t="s">
        <v>66</v>
      </c>
      <c r="C12" s="25" t="s">
        <v>67</v>
      </c>
      <c r="D12" s="24" t="s">
        <v>58</v>
      </c>
      <c r="E12" s="26" t="n">
        <f aca="false">IFERROR('Rates Reference Table'!K9*$E$5,0)</f>
        <v>11.28</v>
      </c>
      <c r="F12" s="26" t="n">
        <f aca="false">IFERROR(E12*(1-$H$5/2),0)</f>
        <v>10.0392</v>
      </c>
      <c r="G12" s="26" t="n">
        <f aca="false">IFERROR(E12*(1+$H$5/2),0)</f>
        <v>12.5208</v>
      </c>
      <c r="H12" s="26" t="n">
        <f aca="false">IFERROR(F12*$B$5,0)</f>
        <v>2509.8</v>
      </c>
      <c r="I12" s="26" t="n">
        <f aca="false">IFERROR(G12*$B$5,0)</f>
        <v>3130.2</v>
      </c>
      <c r="J12" s="25" t="s">
        <v>68</v>
      </c>
    </row>
    <row r="13" customFormat="false" ht="15.75" hidden="false" customHeight="true" outlineLevel="0" collapsed="false">
      <c r="A13" s="36" t="s">
        <v>261</v>
      </c>
      <c r="B13" s="36"/>
      <c r="C13" s="36"/>
      <c r="D13" s="36"/>
      <c r="E13" s="36"/>
      <c r="F13" s="36"/>
      <c r="G13" s="36"/>
      <c r="H13" s="36"/>
      <c r="I13" s="36"/>
      <c r="J13" s="36"/>
    </row>
    <row r="14" customFormat="false" ht="13.5" hidden="false" customHeight="true" outlineLevel="0" collapsed="false">
      <c r="A14" s="20" t="s">
        <v>70</v>
      </c>
      <c r="B14" s="20" t="s">
        <v>71</v>
      </c>
      <c r="C14" s="21" t="s">
        <v>72</v>
      </c>
      <c r="D14" s="20" t="s">
        <v>73</v>
      </c>
      <c r="E14" s="22" t="n">
        <f aca="false">IFERROR('Rates Reference Table'!K11*$E$5,0)</f>
        <v>75.2</v>
      </c>
      <c r="F14" s="22" t="n">
        <f aca="false">IFERROR(E14*(1-$H$5/2),0)</f>
        <v>66.928</v>
      </c>
      <c r="G14" s="22" t="n">
        <f aca="false">IFERROR(E14*(1+$H$5/2),0)</f>
        <v>83.472</v>
      </c>
      <c r="H14" s="22" t="n">
        <f aca="false">IFERROR(F14*$B$5,0)</f>
        <v>16732</v>
      </c>
      <c r="I14" s="22" t="n">
        <f aca="false">IFERROR(G14*$B$5,0)</f>
        <v>20868</v>
      </c>
      <c r="J14" s="21" t="s">
        <v>74</v>
      </c>
    </row>
    <row r="15" customFormat="false" ht="13.5" hidden="false" customHeight="true" outlineLevel="0" collapsed="false">
      <c r="A15" s="24" t="s">
        <v>70</v>
      </c>
      <c r="B15" s="24" t="s">
        <v>75</v>
      </c>
      <c r="C15" s="25" t="s">
        <v>76</v>
      </c>
      <c r="D15" s="24" t="s">
        <v>73</v>
      </c>
      <c r="E15" s="26" t="n">
        <f aca="false">IFERROR('Rates Reference Table'!K12*$E$5,0)</f>
        <v>56.4</v>
      </c>
      <c r="F15" s="26" t="n">
        <f aca="false">IFERROR(E15*(1-$H$5/2),0)</f>
        <v>50.196</v>
      </c>
      <c r="G15" s="26" t="n">
        <f aca="false">IFERROR(E15*(1+$H$5/2),0)</f>
        <v>62.604</v>
      </c>
      <c r="H15" s="26" t="n">
        <f aca="false">IFERROR(F15*$B$5,0)</f>
        <v>12549</v>
      </c>
      <c r="I15" s="26" t="n">
        <f aca="false">IFERROR(G15*$B$5,0)</f>
        <v>15651</v>
      </c>
      <c r="J15" s="25" t="s">
        <v>77</v>
      </c>
    </row>
    <row r="16" customFormat="false" ht="13.5" hidden="false" customHeight="true" outlineLevel="0" collapsed="false">
      <c r="A16" s="20" t="s">
        <v>70</v>
      </c>
      <c r="B16" s="20" t="s">
        <v>78</v>
      </c>
      <c r="C16" s="21" t="s">
        <v>79</v>
      </c>
      <c r="D16" s="20" t="s">
        <v>73</v>
      </c>
      <c r="E16" s="22" t="n">
        <f aca="false">IFERROR('Rates Reference Table'!K13*$E$5,0)</f>
        <v>51.7</v>
      </c>
      <c r="F16" s="22" t="n">
        <f aca="false">IFERROR(E16*(1-$H$5/2),0)</f>
        <v>46.013</v>
      </c>
      <c r="G16" s="22" t="n">
        <f aca="false">IFERROR(E16*(1+$H$5/2),0)</f>
        <v>57.387</v>
      </c>
      <c r="H16" s="22" t="n">
        <f aca="false">IFERROR(F16*$B$5,0)</f>
        <v>11503.25</v>
      </c>
      <c r="I16" s="22" t="n">
        <f aca="false">IFERROR(G16*$B$5,0)</f>
        <v>14346.75</v>
      </c>
      <c r="J16" s="21" t="s">
        <v>80</v>
      </c>
    </row>
    <row r="17" customFormat="false" ht="13.5" hidden="false" customHeight="true" outlineLevel="0" collapsed="false">
      <c r="A17" s="24" t="s">
        <v>70</v>
      </c>
      <c r="B17" s="24" t="s">
        <v>81</v>
      </c>
      <c r="C17" s="25" t="s">
        <v>82</v>
      </c>
      <c r="D17" s="24" t="s">
        <v>58</v>
      </c>
      <c r="E17" s="26" t="n">
        <f aca="false">IFERROR('Rates Reference Table'!K14*$E$5,0)</f>
        <v>141</v>
      </c>
      <c r="F17" s="26" t="n">
        <f aca="false">IFERROR(E17*(1-$H$5/2),0)</f>
        <v>125.49</v>
      </c>
      <c r="G17" s="26" t="n">
        <f aca="false">IFERROR(E17*(1+$H$5/2),0)</f>
        <v>156.51</v>
      </c>
      <c r="H17" s="26" t="n">
        <f aca="false">IFERROR(F17*$B$5,0)</f>
        <v>31372.5</v>
      </c>
      <c r="I17" s="26" t="n">
        <f aca="false">IFERROR(G17*$B$5,0)</f>
        <v>39127.5</v>
      </c>
      <c r="J17" s="25" t="s">
        <v>83</v>
      </c>
    </row>
    <row r="18" customFormat="false" ht="15.75" hidden="false" customHeight="true" outlineLevel="0" collapsed="false">
      <c r="A18" s="36" t="s">
        <v>263</v>
      </c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13.5" hidden="false" customHeight="true" outlineLevel="0" collapsed="false">
      <c r="A19" s="20" t="s">
        <v>85</v>
      </c>
      <c r="B19" s="20" t="s">
        <v>86</v>
      </c>
      <c r="C19" s="21" t="s">
        <v>87</v>
      </c>
      <c r="D19" s="20" t="s">
        <v>73</v>
      </c>
      <c r="E19" s="22" t="n">
        <f aca="false">IFERROR('Rates Reference Table'!K16*$E$5,0)</f>
        <v>188</v>
      </c>
      <c r="F19" s="22" t="n">
        <f aca="false">IFERROR(E19*(1-$H$5/2),0)</f>
        <v>167.32</v>
      </c>
      <c r="G19" s="22" t="n">
        <f aca="false">IFERROR(E19*(1+$H$5/2),0)</f>
        <v>208.68</v>
      </c>
      <c r="H19" s="22" t="n">
        <f aca="false">IFERROR(F19*$B$5,0)</f>
        <v>41830</v>
      </c>
      <c r="I19" s="22" t="n">
        <f aca="false">IFERROR(G19*$B$5,0)</f>
        <v>52170</v>
      </c>
      <c r="J19" s="21" t="s">
        <v>88</v>
      </c>
    </row>
    <row r="20" customFormat="false" ht="13.5" hidden="false" customHeight="true" outlineLevel="0" collapsed="false">
      <c r="A20" s="24" t="s">
        <v>85</v>
      </c>
      <c r="B20" s="24" t="s">
        <v>89</v>
      </c>
      <c r="C20" s="25" t="s">
        <v>90</v>
      </c>
      <c r="D20" s="24" t="s">
        <v>73</v>
      </c>
      <c r="E20" s="26" t="n">
        <f aca="false">IFERROR('Rates Reference Table'!K17*$E$5,0)</f>
        <v>89.3</v>
      </c>
      <c r="F20" s="26" t="n">
        <f aca="false">IFERROR(E20*(1-$H$5/2),0)</f>
        <v>79.477</v>
      </c>
      <c r="G20" s="26" t="n">
        <f aca="false">IFERROR(E20*(1+$H$5/2),0)</f>
        <v>99.123</v>
      </c>
      <c r="H20" s="26" t="n">
        <f aca="false">IFERROR(F20*$B$5,0)</f>
        <v>19869.25</v>
      </c>
      <c r="I20" s="26" t="n">
        <f aca="false">IFERROR(G20*$B$5,0)</f>
        <v>24780.75</v>
      </c>
      <c r="J20" s="25" t="s">
        <v>91</v>
      </c>
    </row>
    <row r="21" customFormat="false" ht="13.5" hidden="false" customHeight="true" outlineLevel="0" collapsed="false">
      <c r="A21" s="20" t="s">
        <v>85</v>
      </c>
      <c r="B21" s="20" t="s">
        <v>92</v>
      </c>
      <c r="C21" s="21" t="s">
        <v>93</v>
      </c>
      <c r="D21" s="20" t="s">
        <v>73</v>
      </c>
      <c r="E21" s="22" t="n">
        <f aca="false">IFERROR('Rates Reference Table'!K18*$E$5,0)</f>
        <v>112.8</v>
      </c>
      <c r="F21" s="22" t="n">
        <f aca="false">IFERROR(E21*(1-$H$5/2),0)</f>
        <v>100.392</v>
      </c>
      <c r="G21" s="22" t="n">
        <f aca="false">IFERROR(E21*(1+$H$5/2),0)</f>
        <v>125.208</v>
      </c>
      <c r="H21" s="22" t="n">
        <f aca="false">IFERROR(F21*$B$5,0)</f>
        <v>25098</v>
      </c>
      <c r="I21" s="22" t="n">
        <f aca="false">IFERROR(G21*$B$5,0)</f>
        <v>31302</v>
      </c>
      <c r="J21" s="21" t="s">
        <v>94</v>
      </c>
    </row>
    <row r="22" customFormat="false" ht="13.5" hidden="false" customHeight="true" outlineLevel="0" collapsed="false">
      <c r="A22" s="24" t="s">
        <v>85</v>
      </c>
      <c r="B22" s="24" t="s">
        <v>95</v>
      </c>
      <c r="C22" s="25" t="s">
        <v>96</v>
      </c>
      <c r="D22" s="24" t="s">
        <v>58</v>
      </c>
      <c r="E22" s="26" t="n">
        <f aca="false">IFERROR('Rates Reference Table'!K19*$E$5,0)</f>
        <v>32.9</v>
      </c>
      <c r="F22" s="26" t="n">
        <f aca="false">IFERROR(E22*(1-$H$5/2),0)</f>
        <v>29.281</v>
      </c>
      <c r="G22" s="26" t="n">
        <f aca="false">IFERROR(E22*(1+$H$5/2),0)</f>
        <v>36.519</v>
      </c>
      <c r="H22" s="26" t="n">
        <f aca="false">IFERROR(F22*$B$5,0)</f>
        <v>7320.25</v>
      </c>
      <c r="I22" s="26" t="n">
        <f aca="false">IFERROR(G22*$B$5,0)</f>
        <v>9129.75</v>
      </c>
      <c r="J22" s="25" t="s">
        <v>97</v>
      </c>
    </row>
    <row r="23" customFormat="false" ht="13.5" hidden="false" customHeight="true" outlineLevel="0" collapsed="false">
      <c r="A23" s="20" t="s">
        <v>85</v>
      </c>
      <c r="B23" s="20" t="s">
        <v>98</v>
      </c>
      <c r="C23" s="21" t="s">
        <v>99</v>
      </c>
      <c r="D23" s="20" t="s">
        <v>73</v>
      </c>
      <c r="E23" s="22" t="n">
        <f aca="false">IFERROR('Rates Reference Table'!K20*$E$5,0)</f>
        <v>263.2</v>
      </c>
      <c r="F23" s="22" t="n">
        <f aca="false">IFERROR(E23*(1-$H$5/2),0)</f>
        <v>234.248</v>
      </c>
      <c r="G23" s="22" t="n">
        <f aca="false">IFERROR(E23*(1+$H$5/2),0)</f>
        <v>292.152</v>
      </c>
      <c r="H23" s="22" t="n">
        <f aca="false">IFERROR(F23*$B$5,0)</f>
        <v>58562</v>
      </c>
      <c r="I23" s="22" t="n">
        <f aca="false">IFERROR(G23*$B$5,0)</f>
        <v>73038</v>
      </c>
      <c r="J23" s="21" t="s">
        <v>100</v>
      </c>
    </row>
    <row r="24" customFormat="false" ht="13.5" hidden="false" customHeight="true" outlineLevel="0" collapsed="false">
      <c r="A24" s="24" t="s">
        <v>85</v>
      </c>
      <c r="B24" s="24" t="s">
        <v>101</v>
      </c>
      <c r="C24" s="25" t="s">
        <v>102</v>
      </c>
      <c r="D24" s="24" t="s">
        <v>73</v>
      </c>
      <c r="E24" s="26" t="n">
        <f aca="false">IFERROR('Rates Reference Table'!K21*$E$5,0)</f>
        <v>141</v>
      </c>
      <c r="F24" s="26" t="n">
        <f aca="false">IFERROR(E24*(1-$H$5/2),0)</f>
        <v>125.49</v>
      </c>
      <c r="G24" s="26" t="n">
        <f aca="false">IFERROR(E24*(1+$H$5/2),0)</f>
        <v>156.51</v>
      </c>
      <c r="H24" s="26" t="n">
        <f aca="false">IFERROR(F24*$B$5,0)</f>
        <v>31372.5</v>
      </c>
      <c r="I24" s="26" t="n">
        <f aca="false">IFERROR(G24*$B$5,0)</f>
        <v>39127.5</v>
      </c>
      <c r="J24" s="25" t="s">
        <v>103</v>
      </c>
    </row>
    <row r="25" customFormat="false" ht="13.5" hidden="false" customHeight="true" outlineLevel="0" collapsed="false">
      <c r="A25" s="20" t="s">
        <v>85</v>
      </c>
      <c r="B25" s="20" t="s">
        <v>104</v>
      </c>
      <c r="C25" s="21" t="s">
        <v>105</v>
      </c>
      <c r="D25" s="20" t="s">
        <v>73</v>
      </c>
      <c r="E25" s="22" t="n">
        <f aca="false">IFERROR('Rates Reference Table'!K22*$E$5,0)</f>
        <v>42.3</v>
      </c>
      <c r="F25" s="22" t="n">
        <f aca="false">IFERROR(E25*(1-$H$5/2),0)</f>
        <v>37.647</v>
      </c>
      <c r="G25" s="22" t="n">
        <f aca="false">IFERROR(E25*(1+$H$5/2),0)</f>
        <v>46.953</v>
      </c>
      <c r="H25" s="22" t="n">
        <f aca="false">IFERROR(F25*$B$5,0)</f>
        <v>9411.75</v>
      </c>
      <c r="I25" s="22" t="n">
        <f aca="false">IFERROR(G25*$B$5,0)</f>
        <v>11738.25</v>
      </c>
      <c r="J25" s="21" t="s">
        <v>106</v>
      </c>
    </row>
    <row r="26" customFormat="false" ht="13.5" hidden="false" customHeight="true" outlineLevel="0" collapsed="false">
      <c r="A26" s="24" t="s">
        <v>85</v>
      </c>
      <c r="B26" s="24" t="s">
        <v>107</v>
      </c>
      <c r="C26" s="25" t="s">
        <v>108</v>
      </c>
      <c r="D26" s="24" t="s">
        <v>109</v>
      </c>
      <c r="E26" s="26" t="n">
        <f aca="false">IFERROR('Rates Reference Table'!K23*$E$5,0)</f>
        <v>28.2</v>
      </c>
      <c r="F26" s="26" t="n">
        <f aca="false">IFERROR(E26*(1-$H$5/2),0)</f>
        <v>25.098</v>
      </c>
      <c r="G26" s="26" t="n">
        <f aca="false">IFERROR(E26*(1+$H$5/2),0)</f>
        <v>31.302</v>
      </c>
      <c r="H26" s="26" t="n">
        <f aca="false">IFERROR(F26*$B$5,0)</f>
        <v>6274.5</v>
      </c>
      <c r="I26" s="26" t="n">
        <f aca="false">IFERROR(G26*$B$5,0)</f>
        <v>7825.5</v>
      </c>
      <c r="J26" s="25" t="s">
        <v>110</v>
      </c>
    </row>
    <row r="27" customFormat="false" ht="15.75" hidden="false" customHeight="true" outlineLevel="0" collapsed="false">
      <c r="A27" s="36" t="s">
        <v>264</v>
      </c>
      <c r="B27" s="36"/>
      <c r="C27" s="36"/>
      <c r="D27" s="36"/>
      <c r="E27" s="36"/>
      <c r="F27" s="36"/>
      <c r="G27" s="36"/>
      <c r="H27" s="36"/>
      <c r="I27" s="36"/>
      <c r="J27" s="36"/>
    </row>
    <row r="28" customFormat="false" ht="13.5" hidden="false" customHeight="true" outlineLevel="0" collapsed="false">
      <c r="A28" s="20" t="s">
        <v>112</v>
      </c>
      <c r="B28" s="20" t="s">
        <v>113</v>
      </c>
      <c r="C28" s="21" t="s">
        <v>114</v>
      </c>
      <c r="D28" s="20" t="s">
        <v>73</v>
      </c>
      <c r="E28" s="22" t="n">
        <f aca="false">IFERROR('Rates Reference Table'!K25*$E$5,0)</f>
        <v>47</v>
      </c>
      <c r="F28" s="22" t="n">
        <f aca="false">IFERROR(E28*(1-$H$5/2),0)</f>
        <v>41.83</v>
      </c>
      <c r="G28" s="22" t="n">
        <f aca="false">IFERROR(E28*(1+$H$5/2),0)</f>
        <v>52.17</v>
      </c>
      <c r="H28" s="22" t="n">
        <f aca="false">IFERROR(F28*$B$5,0)</f>
        <v>10457.5</v>
      </c>
      <c r="I28" s="22" t="n">
        <f aca="false">IFERROR(G28*$B$5,0)</f>
        <v>13042.5</v>
      </c>
      <c r="J28" s="21" t="s">
        <v>115</v>
      </c>
    </row>
    <row r="29" customFormat="false" ht="13.5" hidden="false" customHeight="true" outlineLevel="0" collapsed="false">
      <c r="A29" s="24" t="s">
        <v>112</v>
      </c>
      <c r="B29" s="24" t="s">
        <v>116</v>
      </c>
      <c r="C29" s="25" t="s">
        <v>117</v>
      </c>
      <c r="D29" s="24" t="s">
        <v>73</v>
      </c>
      <c r="E29" s="26" t="n">
        <f aca="false">IFERROR('Rates Reference Table'!K26*$E$5,0)</f>
        <v>65.8</v>
      </c>
      <c r="F29" s="26" t="n">
        <f aca="false">IFERROR(E29*(1-$H$5/2),0)</f>
        <v>58.562</v>
      </c>
      <c r="G29" s="26" t="n">
        <f aca="false">IFERROR(E29*(1+$H$5/2),0)</f>
        <v>73.038</v>
      </c>
      <c r="H29" s="26" t="n">
        <f aca="false">IFERROR(F29*$B$5,0)</f>
        <v>14640.5</v>
      </c>
      <c r="I29" s="26" t="n">
        <f aca="false">IFERROR(G29*$B$5,0)</f>
        <v>18259.5</v>
      </c>
      <c r="J29" s="25" t="s">
        <v>118</v>
      </c>
    </row>
    <row r="30" customFormat="false" ht="13.5" hidden="false" customHeight="true" outlineLevel="0" collapsed="false">
      <c r="A30" s="20" t="s">
        <v>112</v>
      </c>
      <c r="B30" s="20" t="s">
        <v>119</v>
      </c>
      <c r="C30" s="21" t="s">
        <v>120</v>
      </c>
      <c r="D30" s="20" t="s">
        <v>73</v>
      </c>
      <c r="E30" s="22" t="n">
        <f aca="false">IFERROR('Rates Reference Table'!K27*$E$5,0)</f>
        <v>37.6</v>
      </c>
      <c r="F30" s="22" t="n">
        <f aca="false">IFERROR(E30*(1-$H$5/2),0)</f>
        <v>33.464</v>
      </c>
      <c r="G30" s="22" t="n">
        <f aca="false">IFERROR(E30*(1+$H$5/2),0)</f>
        <v>41.736</v>
      </c>
      <c r="H30" s="22" t="n">
        <f aca="false">IFERROR(F30*$B$5,0)</f>
        <v>8366</v>
      </c>
      <c r="I30" s="22" t="n">
        <f aca="false">IFERROR(G30*$B$5,0)</f>
        <v>10434</v>
      </c>
      <c r="J30" s="21" t="s">
        <v>121</v>
      </c>
    </row>
    <row r="31" customFormat="false" ht="15.75" hidden="false" customHeight="true" outlineLevel="0" collapsed="false">
      <c r="A31" s="36" t="s">
        <v>265</v>
      </c>
      <c r="B31" s="36"/>
      <c r="C31" s="36"/>
      <c r="D31" s="36"/>
      <c r="E31" s="36"/>
      <c r="F31" s="36"/>
      <c r="G31" s="36"/>
      <c r="H31" s="36"/>
      <c r="I31" s="36"/>
      <c r="J31" s="36"/>
    </row>
    <row r="32" customFormat="false" ht="13.5" hidden="false" customHeight="true" outlineLevel="0" collapsed="false">
      <c r="A32" s="20" t="s">
        <v>123</v>
      </c>
      <c r="B32" s="20" t="s">
        <v>124</v>
      </c>
      <c r="C32" s="21" t="s">
        <v>125</v>
      </c>
      <c r="D32" s="20" t="s">
        <v>58</v>
      </c>
      <c r="E32" s="22" t="n">
        <f aca="false">IFERROR('Rates Reference Table'!K29*$E$5,0)</f>
        <v>37.6</v>
      </c>
      <c r="F32" s="22" t="n">
        <f aca="false">IFERROR(E32*(1-$H$5/2),0)</f>
        <v>33.464</v>
      </c>
      <c r="G32" s="22" t="n">
        <f aca="false">IFERROR(E32*(1+$H$5/2),0)</f>
        <v>41.736</v>
      </c>
      <c r="H32" s="22" t="n">
        <f aca="false">IFERROR(F32*$B$5,0)</f>
        <v>8366</v>
      </c>
      <c r="I32" s="22" t="n">
        <f aca="false">IFERROR(G32*$B$5,0)</f>
        <v>10434</v>
      </c>
      <c r="J32" s="21" t="s">
        <v>126</v>
      </c>
    </row>
    <row r="33" customFormat="false" ht="13.5" hidden="false" customHeight="true" outlineLevel="0" collapsed="false">
      <c r="A33" s="24" t="s">
        <v>123</v>
      </c>
      <c r="B33" s="24" t="s">
        <v>127</v>
      </c>
      <c r="C33" s="25" t="s">
        <v>128</v>
      </c>
      <c r="D33" s="24" t="s">
        <v>109</v>
      </c>
      <c r="E33" s="26" t="n">
        <f aca="false">IFERROR('Rates Reference Table'!K30*$E$5,0)</f>
        <v>16.92</v>
      </c>
      <c r="F33" s="26" t="n">
        <f aca="false">IFERROR(E33*(1-$H$5/2),0)</f>
        <v>15.0588</v>
      </c>
      <c r="G33" s="26" t="n">
        <f aca="false">IFERROR(E33*(1+$H$5/2),0)</f>
        <v>18.7812</v>
      </c>
      <c r="H33" s="26" t="n">
        <f aca="false">IFERROR(F33*$B$5,0)</f>
        <v>3764.7</v>
      </c>
      <c r="I33" s="26" t="n">
        <f aca="false">IFERROR(G33*$B$5,0)</f>
        <v>4695.3</v>
      </c>
      <c r="J33" s="25" t="s">
        <v>129</v>
      </c>
    </row>
    <row r="34" customFormat="false" ht="13.5" hidden="false" customHeight="true" outlineLevel="0" collapsed="false">
      <c r="A34" s="20" t="s">
        <v>123</v>
      </c>
      <c r="B34" s="20" t="s">
        <v>130</v>
      </c>
      <c r="C34" s="21" t="s">
        <v>131</v>
      </c>
      <c r="D34" s="20" t="s">
        <v>58</v>
      </c>
      <c r="E34" s="22" t="n">
        <f aca="false">IFERROR('Rates Reference Table'!K31*$E$5,0)</f>
        <v>14.1</v>
      </c>
      <c r="F34" s="22" t="n">
        <f aca="false">IFERROR(E34*(1-$H$5/2),0)</f>
        <v>12.549</v>
      </c>
      <c r="G34" s="22" t="n">
        <f aca="false">IFERROR(E34*(1+$H$5/2),0)</f>
        <v>15.651</v>
      </c>
      <c r="H34" s="22" t="n">
        <f aca="false">IFERROR(F34*$B$5,0)</f>
        <v>3137.25</v>
      </c>
      <c r="I34" s="22" t="n">
        <f aca="false">IFERROR(G34*$B$5,0)</f>
        <v>3912.75</v>
      </c>
      <c r="J34" s="21" t="s">
        <v>132</v>
      </c>
    </row>
    <row r="35" customFormat="false" ht="13.5" hidden="false" customHeight="true" outlineLevel="0" collapsed="false">
      <c r="A35" s="24" t="s">
        <v>123</v>
      </c>
      <c r="B35" s="24" t="s">
        <v>133</v>
      </c>
      <c r="C35" s="25" t="s">
        <v>134</v>
      </c>
      <c r="D35" s="24" t="s">
        <v>58</v>
      </c>
      <c r="E35" s="26" t="n">
        <f aca="false">IFERROR('Rates Reference Table'!K32*$E$5,0)</f>
        <v>37.6</v>
      </c>
      <c r="F35" s="26" t="n">
        <f aca="false">IFERROR(E35*(1-$H$5/2),0)</f>
        <v>33.464</v>
      </c>
      <c r="G35" s="26" t="n">
        <f aca="false">IFERROR(E35*(1+$H$5/2),0)</f>
        <v>41.736</v>
      </c>
      <c r="H35" s="26" t="n">
        <f aca="false">IFERROR(F35*$B$5,0)</f>
        <v>8366</v>
      </c>
      <c r="I35" s="26" t="n">
        <f aca="false">IFERROR(G35*$B$5,0)</f>
        <v>10434</v>
      </c>
      <c r="J35" s="25" t="s">
        <v>135</v>
      </c>
    </row>
    <row r="36" customFormat="false" ht="15.75" hidden="false" customHeight="true" outlineLevel="0" collapsed="false">
      <c r="A36" s="36" t="s">
        <v>266</v>
      </c>
      <c r="B36" s="36"/>
      <c r="C36" s="36"/>
      <c r="D36" s="36"/>
      <c r="E36" s="36"/>
      <c r="F36" s="36"/>
      <c r="G36" s="36"/>
      <c r="H36" s="36"/>
      <c r="I36" s="36"/>
      <c r="J36" s="36"/>
    </row>
    <row r="37" customFormat="false" ht="13.5" hidden="false" customHeight="true" outlineLevel="0" collapsed="false">
      <c r="A37" s="20" t="s">
        <v>137</v>
      </c>
      <c r="B37" s="20" t="s">
        <v>138</v>
      </c>
      <c r="C37" s="21" t="s">
        <v>139</v>
      </c>
      <c r="D37" s="20" t="s">
        <v>73</v>
      </c>
      <c r="E37" s="22" t="n">
        <f aca="false">IFERROR('Rates Reference Table'!K34*$E$5,0)</f>
        <v>42.3</v>
      </c>
      <c r="F37" s="22" t="n">
        <f aca="false">IFERROR(E37*(1-$H$5/2),0)</f>
        <v>37.647</v>
      </c>
      <c r="G37" s="22" t="n">
        <f aca="false">IFERROR(E37*(1+$H$5/2),0)</f>
        <v>46.953</v>
      </c>
      <c r="H37" s="22" t="n">
        <f aca="false">IFERROR(F37*$B$5,0)</f>
        <v>9411.75</v>
      </c>
      <c r="I37" s="22" t="n">
        <f aca="false">IFERROR(G37*$B$5,0)</f>
        <v>11738.25</v>
      </c>
      <c r="J37" s="21" t="s">
        <v>140</v>
      </c>
    </row>
    <row r="38" customFormat="false" ht="13.5" hidden="false" customHeight="true" outlineLevel="0" collapsed="false">
      <c r="A38" s="24" t="s">
        <v>137</v>
      </c>
      <c r="B38" s="24" t="s">
        <v>141</v>
      </c>
      <c r="C38" s="25" t="s">
        <v>142</v>
      </c>
      <c r="D38" s="24" t="s">
        <v>73</v>
      </c>
      <c r="E38" s="26" t="n">
        <f aca="false">IFERROR('Rates Reference Table'!K35*$E$5,0)</f>
        <v>61.1</v>
      </c>
      <c r="F38" s="26" t="n">
        <f aca="false">IFERROR(E38*(1-$H$5/2),0)</f>
        <v>54.379</v>
      </c>
      <c r="G38" s="26" t="n">
        <f aca="false">IFERROR(E38*(1+$H$5/2),0)</f>
        <v>67.821</v>
      </c>
      <c r="H38" s="26" t="n">
        <f aca="false">IFERROR(F38*$B$5,0)</f>
        <v>13594.75</v>
      </c>
      <c r="I38" s="26" t="n">
        <f aca="false">IFERROR(G38*$B$5,0)</f>
        <v>16955.25</v>
      </c>
      <c r="J38" s="25" t="s">
        <v>143</v>
      </c>
    </row>
    <row r="39" customFormat="false" ht="13.5" hidden="false" customHeight="true" outlineLevel="0" collapsed="false">
      <c r="A39" s="20" t="s">
        <v>137</v>
      </c>
      <c r="B39" s="20" t="s">
        <v>144</v>
      </c>
      <c r="C39" s="21" t="s">
        <v>145</v>
      </c>
      <c r="D39" s="20" t="s">
        <v>73</v>
      </c>
      <c r="E39" s="22" t="n">
        <f aca="false">IFERROR('Rates Reference Table'!K36*$E$5,0)</f>
        <v>56.4</v>
      </c>
      <c r="F39" s="22" t="n">
        <f aca="false">IFERROR(E39*(1-$H$5/2),0)</f>
        <v>50.196</v>
      </c>
      <c r="G39" s="22" t="n">
        <f aca="false">IFERROR(E39*(1+$H$5/2),0)</f>
        <v>62.604</v>
      </c>
      <c r="H39" s="22" t="n">
        <f aca="false">IFERROR(F39*$B$5,0)</f>
        <v>12549</v>
      </c>
      <c r="I39" s="22" t="n">
        <f aca="false">IFERROR(G39*$B$5,0)</f>
        <v>15651</v>
      </c>
      <c r="J39" s="21" t="s">
        <v>146</v>
      </c>
    </row>
    <row r="40" customFormat="false" ht="13.5" hidden="false" customHeight="true" outlineLevel="0" collapsed="false">
      <c r="A40" s="24" t="s">
        <v>137</v>
      </c>
      <c r="B40" s="24" t="s">
        <v>147</v>
      </c>
      <c r="C40" s="25" t="s">
        <v>148</v>
      </c>
      <c r="D40" s="24" t="s">
        <v>73</v>
      </c>
      <c r="E40" s="26" t="n">
        <f aca="false">IFERROR('Rates Reference Table'!K37*$E$5,0)</f>
        <v>42.3</v>
      </c>
      <c r="F40" s="26" t="n">
        <f aca="false">IFERROR(E40*(1-$H$5/2),0)</f>
        <v>37.647</v>
      </c>
      <c r="G40" s="26" t="n">
        <f aca="false">IFERROR(E40*(1+$H$5/2),0)</f>
        <v>46.953</v>
      </c>
      <c r="H40" s="26" t="n">
        <f aca="false">IFERROR(F40*$B$5,0)</f>
        <v>9411.75</v>
      </c>
      <c r="I40" s="26" t="n">
        <f aca="false">IFERROR(G40*$B$5,0)</f>
        <v>11738.25</v>
      </c>
      <c r="J40" s="25" t="s">
        <v>149</v>
      </c>
    </row>
    <row r="41" customFormat="false" ht="13.5" hidden="false" customHeight="true" outlineLevel="0" collapsed="false">
      <c r="A41" s="20" t="s">
        <v>137</v>
      </c>
      <c r="B41" s="20" t="s">
        <v>150</v>
      </c>
      <c r="C41" s="21" t="s">
        <v>151</v>
      </c>
      <c r="D41" s="20" t="s">
        <v>58</v>
      </c>
      <c r="E41" s="22" t="n">
        <f aca="false">IFERROR('Rates Reference Table'!K38*$E$5,0)</f>
        <v>9.4</v>
      </c>
      <c r="F41" s="22" t="n">
        <f aca="false">IFERROR(E41*(1-$H$5/2),0)</f>
        <v>8.366</v>
      </c>
      <c r="G41" s="22" t="n">
        <f aca="false">IFERROR(E41*(1+$H$5/2),0)</f>
        <v>10.434</v>
      </c>
      <c r="H41" s="22" t="n">
        <f aca="false">IFERROR(F41*$B$5,0)</f>
        <v>2091.5</v>
      </c>
      <c r="I41" s="22" t="n">
        <f aca="false">IFERROR(G41*$B$5,0)</f>
        <v>2608.5</v>
      </c>
      <c r="J41" s="21" t="s">
        <v>152</v>
      </c>
    </row>
    <row r="42" customFormat="false" ht="13.5" hidden="false" customHeight="true" outlineLevel="0" collapsed="false">
      <c r="A42" s="24" t="s">
        <v>137</v>
      </c>
      <c r="B42" s="24" t="s">
        <v>153</v>
      </c>
      <c r="C42" s="25" t="s">
        <v>154</v>
      </c>
      <c r="D42" s="24" t="s">
        <v>73</v>
      </c>
      <c r="E42" s="26" t="n">
        <f aca="false">IFERROR('Rates Reference Table'!K39*$E$5,0)</f>
        <v>18.8</v>
      </c>
      <c r="F42" s="26" t="n">
        <f aca="false">IFERROR(E42*(1-$H$5/2),0)</f>
        <v>16.732</v>
      </c>
      <c r="G42" s="26" t="n">
        <f aca="false">IFERROR(E42*(1+$H$5/2),0)</f>
        <v>20.868</v>
      </c>
      <c r="H42" s="26" t="n">
        <f aca="false">IFERROR(F42*$B$5,0)</f>
        <v>4183</v>
      </c>
      <c r="I42" s="26" t="n">
        <f aca="false">IFERROR(G42*$B$5,0)</f>
        <v>5217</v>
      </c>
      <c r="J42" s="25" t="s">
        <v>155</v>
      </c>
    </row>
    <row r="43" customFormat="false" ht="13.5" hidden="false" customHeight="true" outlineLevel="0" collapsed="false">
      <c r="A43" s="20" t="s">
        <v>137</v>
      </c>
      <c r="B43" s="20" t="s">
        <v>156</v>
      </c>
      <c r="C43" s="21" t="s">
        <v>157</v>
      </c>
      <c r="D43" s="20" t="s">
        <v>73</v>
      </c>
      <c r="E43" s="22" t="n">
        <f aca="false">IFERROR('Rates Reference Table'!K40*$E$5,0)</f>
        <v>37.6</v>
      </c>
      <c r="F43" s="22" t="n">
        <f aca="false">IFERROR(E43*(1-$H$5/2),0)</f>
        <v>33.464</v>
      </c>
      <c r="G43" s="22" t="n">
        <f aca="false">IFERROR(E43*(1+$H$5/2),0)</f>
        <v>41.736</v>
      </c>
      <c r="H43" s="22" t="n">
        <f aca="false">IFERROR(F43*$B$5,0)</f>
        <v>8366</v>
      </c>
      <c r="I43" s="22" t="n">
        <f aca="false">IFERROR(G43*$B$5,0)</f>
        <v>10434</v>
      </c>
      <c r="J43" s="21" t="s">
        <v>158</v>
      </c>
    </row>
    <row r="44" customFormat="false" ht="13.5" hidden="false" customHeight="true" outlineLevel="0" collapsed="false">
      <c r="A44" s="24" t="s">
        <v>137</v>
      </c>
      <c r="B44" s="24" t="s">
        <v>159</v>
      </c>
      <c r="C44" s="25" t="s">
        <v>160</v>
      </c>
      <c r="D44" s="24" t="s">
        <v>73</v>
      </c>
      <c r="E44" s="26" t="n">
        <f aca="false">IFERROR('Rates Reference Table'!K41*$E$5,0)</f>
        <v>51.7</v>
      </c>
      <c r="F44" s="26" t="n">
        <f aca="false">IFERROR(E44*(1-$H$5/2),0)</f>
        <v>46.013</v>
      </c>
      <c r="G44" s="26" t="n">
        <f aca="false">IFERROR(E44*(1+$H$5/2),0)</f>
        <v>57.387</v>
      </c>
      <c r="H44" s="26" t="n">
        <f aca="false">IFERROR(F44*$B$5,0)</f>
        <v>11503.25</v>
      </c>
      <c r="I44" s="26" t="n">
        <f aca="false">IFERROR(G44*$B$5,0)</f>
        <v>14346.75</v>
      </c>
      <c r="J44" s="25" t="s">
        <v>161</v>
      </c>
    </row>
    <row r="45" customFormat="false" ht="13.5" hidden="false" customHeight="true" outlineLevel="0" collapsed="false">
      <c r="A45" s="20" t="s">
        <v>137</v>
      </c>
      <c r="B45" s="20" t="s">
        <v>162</v>
      </c>
      <c r="C45" s="21" t="s">
        <v>163</v>
      </c>
      <c r="D45" s="20" t="s">
        <v>73</v>
      </c>
      <c r="E45" s="22" t="n">
        <f aca="false">IFERROR('Rates Reference Table'!K42*$E$5,0)</f>
        <v>20.68</v>
      </c>
      <c r="F45" s="22" t="n">
        <f aca="false">IFERROR(E45*(1-$H$5/2),0)</f>
        <v>18.4052</v>
      </c>
      <c r="G45" s="22" t="n">
        <f aca="false">IFERROR(E45*(1+$H$5/2),0)</f>
        <v>22.9548</v>
      </c>
      <c r="H45" s="22" t="n">
        <f aca="false">IFERROR(F45*$B$5,0)</f>
        <v>4601.3</v>
      </c>
      <c r="I45" s="22" t="n">
        <f aca="false">IFERROR(G45*$B$5,0)</f>
        <v>5738.7</v>
      </c>
      <c r="J45" s="21" t="s">
        <v>164</v>
      </c>
    </row>
    <row r="46" customFormat="false" ht="13.5" hidden="false" customHeight="true" outlineLevel="0" collapsed="false">
      <c r="A46" s="24" t="s">
        <v>137</v>
      </c>
      <c r="B46" s="24" t="s">
        <v>165</v>
      </c>
      <c r="C46" s="25" t="s">
        <v>166</v>
      </c>
      <c r="D46" s="24" t="s">
        <v>58</v>
      </c>
      <c r="E46" s="26" t="n">
        <f aca="false">IFERROR('Rates Reference Table'!K43*$E$5,0)</f>
        <v>7.52</v>
      </c>
      <c r="F46" s="26" t="n">
        <f aca="false">IFERROR(E46*(1-$H$5/2),0)</f>
        <v>6.6928</v>
      </c>
      <c r="G46" s="26" t="n">
        <f aca="false">IFERROR(E46*(1+$H$5/2),0)</f>
        <v>8.3472</v>
      </c>
      <c r="H46" s="26" t="n">
        <f aca="false">IFERROR(F46*$B$5,0)</f>
        <v>1673.2</v>
      </c>
      <c r="I46" s="26" t="n">
        <f aca="false">IFERROR(G46*$B$5,0)</f>
        <v>2086.8</v>
      </c>
      <c r="J46" s="25" t="s">
        <v>167</v>
      </c>
    </row>
    <row r="47" customFormat="false" ht="13.5" hidden="false" customHeight="true" outlineLevel="0" collapsed="false">
      <c r="A47" s="20" t="s">
        <v>137</v>
      </c>
      <c r="B47" s="20" t="s">
        <v>168</v>
      </c>
      <c r="C47" s="21" t="s">
        <v>169</v>
      </c>
      <c r="D47" s="20" t="s">
        <v>170</v>
      </c>
      <c r="E47" s="22" t="n">
        <f aca="false">IFERROR('Rates Reference Table'!K44*$E$5,0)</f>
        <v>1128</v>
      </c>
      <c r="F47" s="22" t="n">
        <f aca="false">IFERROR(E47*(1-$H$5/2),0)</f>
        <v>1003.92</v>
      </c>
      <c r="G47" s="22" t="n">
        <f aca="false">IFERROR(E47*(1+$H$5/2),0)</f>
        <v>1252.08</v>
      </c>
      <c r="H47" s="22" t="n">
        <f aca="false">IFERROR(F47*$B$5,0)</f>
        <v>250980</v>
      </c>
      <c r="I47" s="22" t="n">
        <f aca="false">IFERROR(G47*$B$5,0)</f>
        <v>313020</v>
      </c>
      <c r="J47" s="21" t="s">
        <v>171</v>
      </c>
    </row>
    <row r="48" customFormat="false" ht="13.5" hidden="false" customHeight="true" outlineLevel="0" collapsed="false">
      <c r="A48" s="24" t="s">
        <v>137</v>
      </c>
      <c r="B48" s="24" t="s">
        <v>172</v>
      </c>
      <c r="C48" s="25" t="s">
        <v>173</v>
      </c>
      <c r="D48" s="24" t="s">
        <v>109</v>
      </c>
      <c r="E48" s="26" t="n">
        <f aca="false">IFERROR('Rates Reference Table'!K45*$E$5,0)</f>
        <v>2350</v>
      </c>
      <c r="F48" s="26" t="n">
        <f aca="false">IFERROR(E48*(1-$H$5/2),0)</f>
        <v>2091.5</v>
      </c>
      <c r="G48" s="26" t="n">
        <f aca="false">IFERROR(E48*(1+$H$5/2),0)</f>
        <v>2608.5</v>
      </c>
      <c r="H48" s="26" t="n">
        <f aca="false">IFERROR(F48*$B$5,0)</f>
        <v>522875</v>
      </c>
      <c r="I48" s="26" t="n">
        <f aca="false">IFERROR(G48*$B$5,0)</f>
        <v>652125</v>
      </c>
      <c r="J48" s="25" t="s">
        <v>174</v>
      </c>
    </row>
    <row r="49" customFormat="false" ht="13.5" hidden="false" customHeight="true" outlineLevel="0" collapsed="false">
      <c r="A49" s="20" t="s">
        <v>137</v>
      </c>
      <c r="B49" s="20" t="s">
        <v>175</v>
      </c>
      <c r="C49" s="21" t="s">
        <v>176</v>
      </c>
      <c r="D49" s="20" t="s">
        <v>73</v>
      </c>
      <c r="E49" s="22" t="n">
        <f aca="false">IFERROR('Rates Reference Table'!K46*$E$5,0)</f>
        <v>18.8</v>
      </c>
      <c r="F49" s="22" t="n">
        <f aca="false">IFERROR(E49*(1-$H$5/2),0)</f>
        <v>16.732</v>
      </c>
      <c r="G49" s="22" t="n">
        <f aca="false">IFERROR(E49*(1+$H$5/2),0)</f>
        <v>20.868</v>
      </c>
      <c r="H49" s="22" t="n">
        <f aca="false">IFERROR(F49*$B$5,0)</f>
        <v>4183</v>
      </c>
      <c r="I49" s="22" t="n">
        <f aca="false">IFERROR(G49*$B$5,0)</f>
        <v>5217</v>
      </c>
      <c r="J49" s="21" t="s">
        <v>177</v>
      </c>
    </row>
    <row r="50" customFormat="false" ht="13.5" hidden="false" customHeight="true" outlineLevel="0" collapsed="false">
      <c r="A50" s="24" t="s">
        <v>137</v>
      </c>
      <c r="B50" s="24" t="s">
        <v>178</v>
      </c>
      <c r="C50" s="25" t="s">
        <v>179</v>
      </c>
      <c r="D50" s="24" t="s">
        <v>58</v>
      </c>
      <c r="E50" s="26" t="n">
        <f aca="false">IFERROR('Rates Reference Table'!K47*$E$5,0)</f>
        <v>28.2</v>
      </c>
      <c r="F50" s="26" t="n">
        <f aca="false">IFERROR(E50*(1-$H$5/2),0)</f>
        <v>25.098</v>
      </c>
      <c r="G50" s="26" t="n">
        <f aca="false">IFERROR(E50*(1+$H$5/2),0)</f>
        <v>31.302</v>
      </c>
      <c r="H50" s="26" t="n">
        <f aca="false">IFERROR(F50*$B$5,0)</f>
        <v>6274.5</v>
      </c>
      <c r="I50" s="26" t="n">
        <f aca="false">IFERROR(G50*$B$5,0)</f>
        <v>7825.5</v>
      </c>
      <c r="J50" s="25" t="s">
        <v>180</v>
      </c>
    </row>
    <row r="51" customFormat="false" ht="13.5" hidden="false" customHeight="true" outlineLevel="0" collapsed="false">
      <c r="A51" s="20" t="s">
        <v>137</v>
      </c>
      <c r="B51" s="20" t="s">
        <v>181</v>
      </c>
      <c r="C51" s="21" t="s">
        <v>182</v>
      </c>
      <c r="D51" s="20" t="s">
        <v>73</v>
      </c>
      <c r="E51" s="22" t="n">
        <f aca="false">IFERROR('Rates Reference Table'!K48*$E$5,0)</f>
        <v>14.1</v>
      </c>
      <c r="F51" s="22" t="n">
        <f aca="false">IFERROR(E51*(1-$H$5/2),0)</f>
        <v>12.549</v>
      </c>
      <c r="G51" s="22" t="n">
        <f aca="false">IFERROR(E51*(1+$H$5/2),0)</f>
        <v>15.651</v>
      </c>
      <c r="H51" s="22" t="n">
        <f aca="false">IFERROR(F51*$B$5,0)</f>
        <v>3137.25</v>
      </c>
      <c r="I51" s="22" t="n">
        <f aca="false">IFERROR(G51*$B$5,0)</f>
        <v>3912.75</v>
      </c>
      <c r="J51" s="21" t="s">
        <v>183</v>
      </c>
    </row>
    <row r="52" customFormat="false" ht="13.5" hidden="false" customHeight="true" outlineLevel="0" collapsed="false">
      <c r="A52" s="24" t="s">
        <v>137</v>
      </c>
      <c r="B52" s="24" t="s">
        <v>184</v>
      </c>
      <c r="C52" s="25" t="s">
        <v>185</v>
      </c>
      <c r="D52" s="24" t="s">
        <v>109</v>
      </c>
      <c r="E52" s="26" t="n">
        <f aca="false">IFERROR('Rates Reference Table'!K49*$E$5,0)</f>
        <v>84.6</v>
      </c>
      <c r="F52" s="26" t="n">
        <f aca="false">IFERROR(E52*(1-$H$5/2),0)</f>
        <v>75.294</v>
      </c>
      <c r="G52" s="26" t="n">
        <f aca="false">IFERROR(E52*(1+$H$5/2),0)</f>
        <v>93.906</v>
      </c>
      <c r="H52" s="26" t="n">
        <f aca="false">IFERROR(F52*$B$5,0)</f>
        <v>18823.5</v>
      </c>
      <c r="I52" s="26" t="n">
        <f aca="false">IFERROR(G52*$B$5,0)</f>
        <v>23476.5</v>
      </c>
      <c r="J52" s="25" t="s">
        <v>186</v>
      </c>
    </row>
    <row r="53" customFormat="false" ht="13.5" hidden="false" customHeight="true" outlineLevel="0" collapsed="false">
      <c r="A53" s="20" t="s">
        <v>137</v>
      </c>
      <c r="B53" s="20" t="s">
        <v>187</v>
      </c>
      <c r="C53" s="21" t="s">
        <v>188</v>
      </c>
      <c r="D53" s="20" t="s">
        <v>73</v>
      </c>
      <c r="E53" s="22" t="n">
        <f aca="false">IFERROR('Rates Reference Table'!K50*$E$5,0)</f>
        <v>14.1</v>
      </c>
      <c r="F53" s="22" t="n">
        <f aca="false">IFERROR(E53*(1-$H$5/2),0)</f>
        <v>12.549</v>
      </c>
      <c r="G53" s="22" t="n">
        <f aca="false">IFERROR(E53*(1+$H$5/2),0)</f>
        <v>15.651</v>
      </c>
      <c r="H53" s="22" t="n">
        <f aca="false">IFERROR(F53*$B$5,0)</f>
        <v>3137.25</v>
      </c>
      <c r="I53" s="22" t="n">
        <f aca="false">IFERROR(G53*$B$5,0)</f>
        <v>3912.75</v>
      </c>
      <c r="J53" s="21" t="s">
        <v>189</v>
      </c>
    </row>
    <row r="54" customFormat="false" ht="15.75" hidden="false" customHeight="true" outlineLevel="0" collapsed="false">
      <c r="A54" s="37" t="s">
        <v>267</v>
      </c>
      <c r="B54" s="37"/>
      <c r="C54" s="37"/>
      <c r="D54" s="37"/>
      <c r="E54" s="37"/>
      <c r="F54" s="37"/>
      <c r="G54" s="37"/>
      <c r="H54" s="37"/>
      <c r="I54" s="37"/>
      <c r="J54" s="37"/>
    </row>
    <row r="55" customFormat="false" ht="13.5" hidden="false" customHeight="true" outlineLevel="0" collapsed="false">
      <c r="A55" s="38" t="s">
        <v>191</v>
      </c>
      <c r="B55" s="38" t="s">
        <v>192</v>
      </c>
      <c r="C55" s="39" t="s">
        <v>193</v>
      </c>
      <c r="D55" s="38" t="s">
        <v>58</v>
      </c>
      <c r="E55" s="40" t="s">
        <v>262</v>
      </c>
      <c r="F55" s="40" t="s">
        <v>262</v>
      </c>
      <c r="G55" s="40" t="s">
        <v>262</v>
      </c>
      <c r="H55" s="41" t="n">
        <v>0</v>
      </c>
      <c r="I55" s="41" t="n">
        <v>0</v>
      </c>
      <c r="J55" s="39" t="s">
        <v>194</v>
      </c>
    </row>
    <row r="56" customFormat="false" ht="13.5" hidden="false" customHeight="true" outlineLevel="0" collapsed="false">
      <c r="A56" s="38" t="s">
        <v>191</v>
      </c>
      <c r="B56" s="38" t="s">
        <v>195</v>
      </c>
      <c r="C56" s="39" t="s">
        <v>196</v>
      </c>
      <c r="D56" s="38" t="s">
        <v>58</v>
      </c>
      <c r="E56" s="40" t="s">
        <v>262</v>
      </c>
      <c r="F56" s="40" t="s">
        <v>262</v>
      </c>
      <c r="G56" s="40" t="s">
        <v>262</v>
      </c>
      <c r="H56" s="41" t="n">
        <v>0</v>
      </c>
      <c r="I56" s="41" t="n">
        <v>0</v>
      </c>
      <c r="J56" s="39" t="s">
        <v>197</v>
      </c>
    </row>
    <row r="57" customFormat="false" ht="15.75" hidden="false" customHeight="true" outlineLevel="0" collapsed="false">
      <c r="A57" s="36" t="s">
        <v>268</v>
      </c>
      <c r="B57" s="36"/>
      <c r="C57" s="36"/>
      <c r="D57" s="36"/>
      <c r="E57" s="36"/>
      <c r="F57" s="36"/>
      <c r="G57" s="36"/>
      <c r="H57" s="36"/>
      <c r="I57" s="36"/>
      <c r="J57" s="36"/>
    </row>
    <row r="58" customFormat="false" ht="13.5" hidden="false" customHeight="true" outlineLevel="0" collapsed="false">
      <c r="A58" s="20" t="s">
        <v>199</v>
      </c>
      <c r="B58" s="20" t="s">
        <v>200</v>
      </c>
      <c r="C58" s="21" t="s">
        <v>201</v>
      </c>
      <c r="D58" s="20" t="s">
        <v>58</v>
      </c>
      <c r="E58" s="22" t="n">
        <f aca="false">IFERROR('Rates Reference Table'!K55*$E$5,0)</f>
        <v>32.9</v>
      </c>
      <c r="F58" s="22" t="n">
        <f aca="false">IFERROR(E58*(1-$H$5/2),0)</f>
        <v>29.281</v>
      </c>
      <c r="G58" s="22" t="n">
        <f aca="false">IFERROR(E58*(1+$H$5/2),0)</f>
        <v>36.519</v>
      </c>
      <c r="H58" s="22" t="n">
        <f aca="false">IFERROR(F58*$B$5,0)</f>
        <v>7320.25</v>
      </c>
      <c r="I58" s="22" t="n">
        <f aca="false">IFERROR(G58*$B$5,0)</f>
        <v>9129.75</v>
      </c>
      <c r="J58" s="21" t="s">
        <v>202</v>
      </c>
    </row>
    <row r="59" customFormat="false" ht="13.5" hidden="false" customHeight="true" outlineLevel="0" collapsed="false">
      <c r="A59" s="24" t="s">
        <v>199</v>
      </c>
      <c r="B59" s="24" t="s">
        <v>203</v>
      </c>
      <c r="C59" s="25" t="s">
        <v>204</v>
      </c>
      <c r="D59" s="24" t="s">
        <v>58</v>
      </c>
      <c r="E59" s="26" t="n">
        <f aca="false">IFERROR('Rates Reference Table'!K56*$E$5,0)</f>
        <v>26.32</v>
      </c>
      <c r="F59" s="26" t="n">
        <f aca="false">IFERROR(E59*(1-$H$5/2),0)</f>
        <v>23.4248</v>
      </c>
      <c r="G59" s="26" t="n">
        <f aca="false">IFERROR(E59*(1+$H$5/2),0)</f>
        <v>29.2152</v>
      </c>
      <c r="H59" s="26" t="n">
        <f aca="false">IFERROR(F59*$B$5,0)</f>
        <v>5856.2</v>
      </c>
      <c r="I59" s="26" t="n">
        <f aca="false">IFERROR(G59*$B$5,0)</f>
        <v>7303.8</v>
      </c>
      <c r="J59" s="25" t="s">
        <v>205</v>
      </c>
    </row>
    <row r="60" customFormat="false" ht="13.5" hidden="false" customHeight="true" outlineLevel="0" collapsed="false">
      <c r="A60" s="20" t="s">
        <v>199</v>
      </c>
      <c r="B60" s="20" t="s">
        <v>206</v>
      </c>
      <c r="C60" s="21" t="s">
        <v>207</v>
      </c>
      <c r="D60" s="20" t="s">
        <v>58</v>
      </c>
      <c r="E60" s="22" t="n">
        <f aca="false">IFERROR('Rates Reference Table'!K57*$E$5,0)</f>
        <v>14.1</v>
      </c>
      <c r="F60" s="22" t="n">
        <f aca="false">IFERROR(E60*(1-$H$5/2),0)</f>
        <v>12.549</v>
      </c>
      <c r="G60" s="22" t="n">
        <f aca="false">IFERROR(E60*(1+$H$5/2),0)</f>
        <v>15.651</v>
      </c>
      <c r="H60" s="22" t="n">
        <f aca="false">IFERROR(F60*$B$5,0)</f>
        <v>3137.25</v>
      </c>
      <c r="I60" s="22" t="n">
        <f aca="false">IFERROR(G60*$B$5,0)</f>
        <v>3912.75</v>
      </c>
      <c r="J60" s="21" t="s">
        <v>208</v>
      </c>
    </row>
    <row r="61" customFormat="false" ht="13.5" hidden="false" customHeight="true" outlineLevel="0" collapsed="false">
      <c r="A61" s="24" t="s">
        <v>199</v>
      </c>
      <c r="B61" s="24" t="s">
        <v>209</v>
      </c>
      <c r="C61" s="25" t="s">
        <v>210</v>
      </c>
      <c r="D61" s="24" t="s">
        <v>58</v>
      </c>
      <c r="E61" s="26" t="n">
        <f aca="false">IFERROR('Rates Reference Table'!K58*$E$5,0)</f>
        <v>51.7</v>
      </c>
      <c r="F61" s="26" t="n">
        <f aca="false">IFERROR(E61*(1-$H$5/2),0)</f>
        <v>46.013</v>
      </c>
      <c r="G61" s="26" t="n">
        <f aca="false">IFERROR(E61*(1+$H$5/2),0)</f>
        <v>57.387</v>
      </c>
      <c r="H61" s="26" t="n">
        <f aca="false">IFERROR(F61*$B$5,0)</f>
        <v>11503.25</v>
      </c>
      <c r="I61" s="26" t="n">
        <f aca="false">IFERROR(G61*$B$5,0)</f>
        <v>14346.75</v>
      </c>
      <c r="J61" s="25" t="s">
        <v>211</v>
      </c>
    </row>
    <row r="62" customFormat="false" ht="13.5" hidden="false" customHeight="true" outlineLevel="0" collapsed="false">
      <c r="A62" s="20" t="s">
        <v>199</v>
      </c>
      <c r="B62" s="20" t="s">
        <v>212</v>
      </c>
      <c r="C62" s="21" t="s">
        <v>213</v>
      </c>
      <c r="D62" s="20" t="s">
        <v>58</v>
      </c>
      <c r="E62" s="22" t="n">
        <f aca="false">IFERROR('Rates Reference Table'!K59*$E$5,0)</f>
        <v>11.28</v>
      </c>
      <c r="F62" s="22" t="n">
        <f aca="false">IFERROR(E62*(1-$H$5/2),0)</f>
        <v>10.0392</v>
      </c>
      <c r="G62" s="22" t="n">
        <f aca="false">IFERROR(E62*(1+$H$5/2),0)</f>
        <v>12.5208</v>
      </c>
      <c r="H62" s="22" t="n">
        <f aca="false">IFERROR(F62*$B$5,0)</f>
        <v>2509.8</v>
      </c>
      <c r="I62" s="22" t="n">
        <f aca="false">IFERROR(G62*$B$5,0)</f>
        <v>3130.2</v>
      </c>
      <c r="J62" s="21" t="s">
        <v>214</v>
      </c>
    </row>
    <row r="63" customFormat="false" ht="15.75" hidden="false" customHeight="true" outlineLevel="0" collapsed="false">
      <c r="A63" s="36" t="s">
        <v>269</v>
      </c>
      <c r="B63" s="36"/>
      <c r="C63" s="36"/>
      <c r="D63" s="36"/>
      <c r="E63" s="36"/>
      <c r="F63" s="36"/>
      <c r="G63" s="36"/>
      <c r="H63" s="36"/>
      <c r="I63" s="36"/>
      <c r="J63" s="36"/>
    </row>
    <row r="64" customFormat="false" ht="13.5" hidden="false" customHeight="true" outlineLevel="0" collapsed="false">
      <c r="A64" s="20" t="s">
        <v>216</v>
      </c>
      <c r="B64" s="20" t="s">
        <v>217</v>
      </c>
      <c r="C64" s="21" t="s">
        <v>218</v>
      </c>
      <c r="D64" s="20" t="s">
        <v>58</v>
      </c>
      <c r="E64" s="22" t="n">
        <f aca="false">IFERROR('Rates Reference Table'!K61*$E$5,0)</f>
        <v>11.28</v>
      </c>
      <c r="F64" s="22" t="n">
        <f aca="false">IFERROR(E64*(1-$H$5/2),0)</f>
        <v>10.0392</v>
      </c>
      <c r="G64" s="22" t="n">
        <f aca="false">IFERROR(E64*(1+$H$5/2),0)</f>
        <v>12.5208</v>
      </c>
      <c r="H64" s="22" t="n">
        <f aca="false">IFERROR(F64*$B$5,0)</f>
        <v>2509.8</v>
      </c>
      <c r="I64" s="22" t="n">
        <f aca="false">IFERROR(G64*$B$5,0)</f>
        <v>3130.2</v>
      </c>
      <c r="J64" s="21" t="s">
        <v>219</v>
      </c>
    </row>
    <row r="65" customFormat="false" ht="13.5" hidden="false" customHeight="true" outlineLevel="0" collapsed="false">
      <c r="A65" s="24" t="s">
        <v>216</v>
      </c>
      <c r="B65" s="24" t="s">
        <v>220</v>
      </c>
      <c r="C65" s="25" t="s">
        <v>221</v>
      </c>
      <c r="D65" s="24" t="s">
        <v>73</v>
      </c>
      <c r="E65" s="26" t="n">
        <f aca="false">IFERROR('Rates Reference Table'!K62*$E$5,0)</f>
        <v>23.5</v>
      </c>
      <c r="F65" s="26" t="n">
        <f aca="false">IFERROR(E65*(1-$H$5/2),0)</f>
        <v>20.915</v>
      </c>
      <c r="G65" s="26" t="n">
        <f aca="false">IFERROR(E65*(1+$H$5/2),0)</f>
        <v>26.085</v>
      </c>
      <c r="H65" s="26" t="n">
        <f aca="false">IFERROR(F65*$B$5,0)</f>
        <v>5228.75</v>
      </c>
      <c r="I65" s="26" t="n">
        <f aca="false">IFERROR(G65*$B$5,0)</f>
        <v>6521.25</v>
      </c>
      <c r="J65" s="25" t="s">
        <v>222</v>
      </c>
    </row>
    <row r="66" customFormat="false" ht="13.5" hidden="false" customHeight="true" outlineLevel="0" collapsed="false">
      <c r="A66" s="20" t="s">
        <v>216</v>
      </c>
      <c r="B66" s="20" t="s">
        <v>223</v>
      </c>
      <c r="C66" s="21" t="s">
        <v>224</v>
      </c>
      <c r="D66" s="20" t="s">
        <v>109</v>
      </c>
      <c r="E66" s="22" t="n">
        <f aca="false">IFERROR('Rates Reference Table'!K63*$E$5,0)</f>
        <v>7.52</v>
      </c>
      <c r="F66" s="22" t="n">
        <f aca="false">IFERROR(E66*(1-$H$5/2),0)</f>
        <v>6.6928</v>
      </c>
      <c r="G66" s="22" t="n">
        <f aca="false">IFERROR(E66*(1+$H$5/2),0)</f>
        <v>8.3472</v>
      </c>
      <c r="H66" s="22" t="n">
        <f aca="false">IFERROR(F66*$B$5,0)</f>
        <v>1673.2</v>
      </c>
      <c r="I66" s="22" t="n">
        <f aca="false">IFERROR(G66*$B$5,0)</f>
        <v>2086.8</v>
      </c>
      <c r="J66" s="21" t="s">
        <v>225</v>
      </c>
    </row>
    <row r="67" customFormat="false" ht="13.5" hidden="false" customHeight="true" outlineLevel="0" collapsed="false">
      <c r="A67" s="24" t="s">
        <v>216</v>
      </c>
      <c r="B67" s="24" t="s">
        <v>226</v>
      </c>
      <c r="C67" s="25" t="s">
        <v>227</v>
      </c>
      <c r="D67" s="24" t="s">
        <v>58</v>
      </c>
      <c r="E67" s="26" t="n">
        <f aca="false">IFERROR('Rates Reference Table'!K64*$E$5,0)</f>
        <v>14.1</v>
      </c>
      <c r="F67" s="26" t="n">
        <f aca="false">IFERROR(E67*(1-$H$5/2),0)</f>
        <v>12.549</v>
      </c>
      <c r="G67" s="26" t="n">
        <f aca="false">IFERROR(E67*(1+$H$5/2),0)</f>
        <v>15.651</v>
      </c>
      <c r="H67" s="26" t="n">
        <f aca="false">IFERROR(F67*$B$5,0)</f>
        <v>3137.25</v>
      </c>
      <c r="I67" s="26" t="n">
        <f aca="false">IFERROR(G67*$B$5,0)</f>
        <v>3912.75</v>
      </c>
      <c r="J67" s="25" t="s">
        <v>228</v>
      </c>
    </row>
    <row r="68" customFormat="false" ht="13.5" hidden="false" customHeight="true" outlineLevel="0" collapsed="false">
      <c r="A68" s="20" t="s">
        <v>216</v>
      </c>
      <c r="B68" s="20" t="s">
        <v>229</v>
      </c>
      <c r="C68" s="21" t="s">
        <v>230</v>
      </c>
      <c r="D68" s="20" t="s">
        <v>58</v>
      </c>
      <c r="E68" s="22" t="n">
        <f aca="false">IFERROR('Rates Reference Table'!K65*$E$5,0)</f>
        <v>9.4</v>
      </c>
      <c r="F68" s="22" t="n">
        <f aca="false">IFERROR(E68*(1-$H$5/2),0)</f>
        <v>8.366</v>
      </c>
      <c r="G68" s="22" t="n">
        <f aca="false">IFERROR(E68*(1+$H$5/2),0)</f>
        <v>10.434</v>
      </c>
      <c r="H68" s="22" t="n">
        <f aca="false">IFERROR(F68*$B$5,0)</f>
        <v>2091.5</v>
      </c>
      <c r="I68" s="22" t="n">
        <f aca="false">IFERROR(G68*$B$5,0)</f>
        <v>2608.5</v>
      </c>
      <c r="J68" s="21" t="s">
        <v>231</v>
      </c>
    </row>
    <row r="69" customFormat="false" ht="13.5" hidden="false" customHeight="true" outlineLevel="0" collapsed="false">
      <c r="A69" s="24" t="s">
        <v>216</v>
      </c>
      <c r="B69" s="24" t="s">
        <v>232</v>
      </c>
      <c r="C69" s="25" t="s">
        <v>233</v>
      </c>
      <c r="D69" s="24" t="s">
        <v>58</v>
      </c>
      <c r="E69" s="26" t="n">
        <f aca="false">IFERROR('Rates Reference Table'!K66*$E$5,0)</f>
        <v>14.1</v>
      </c>
      <c r="F69" s="26" t="n">
        <f aca="false">IFERROR(E69*(1-$H$5/2),0)</f>
        <v>12.549</v>
      </c>
      <c r="G69" s="26" t="n">
        <f aca="false">IFERROR(E69*(1+$H$5/2),0)</f>
        <v>15.651</v>
      </c>
      <c r="H69" s="26" t="n">
        <f aca="false">IFERROR(F69*$B$5,0)</f>
        <v>3137.25</v>
      </c>
      <c r="I69" s="26" t="n">
        <f aca="false">IFERROR(G69*$B$5,0)</f>
        <v>3912.75</v>
      </c>
      <c r="J69" s="25" t="s">
        <v>234</v>
      </c>
    </row>
    <row r="70" customFormat="false" ht="13.5" hidden="false" customHeight="true" outlineLevel="0" collapsed="false">
      <c r="A70" s="20" t="s">
        <v>216</v>
      </c>
      <c r="B70" s="20" t="s">
        <v>235</v>
      </c>
      <c r="C70" s="21" t="s">
        <v>236</v>
      </c>
      <c r="D70" s="20" t="s">
        <v>73</v>
      </c>
      <c r="E70" s="22" t="n">
        <f aca="false">IFERROR('Rates Reference Table'!K67*$E$5,0)</f>
        <v>9.4</v>
      </c>
      <c r="F70" s="22" t="n">
        <f aca="false">IFERROR(E70*(1-$H$5/2),0)</f>
        <v>8.366</v>
      </c>
      <c r="G70" s="22" t="n">
        <f aca="false">IFERROR(E70*(1+$H$5/2),0)</f>
        <v>10.434</v>
      </c>
      <c r="H70" s="22" t="n">
        <f aca="false">IFERROR(F70*$B$5,0)</f>
        <v>2091.5</v>
      </c>
      <c r="I70" s="22" t="n">
        <f aca="false">IFERROR(G70*$B$5,0)</f>
        <v>2608.5</v>
      </c>
      <c r="J70" s="21" t="s">
        <v>237</v>
      </c>
    </row>
    <row r="71" customFormat="false" ht="13.5" hidden="false" customHeight="true" outlineLevel="0" collapsed="false">
      <c r="A71" s="24" t="s">
        <v>216</v>
      </c>
      <c r="B71" s="24" t="s">
        <v>238</v>
      </c>
      <c r="C71" s="25" t="s">
        <v>239</v>
      </c>
      <c r="D71" s="24" t="s">
        <v>58</v>
      </c>
      <c r="E71" s="26" t="n">
        <f aca="false">IFERROR('Rates Reference Table'!K68*$E$5,0)</f>
        <v>7.52</v>
      </c>
      <c r="F71" s="26" t="n">
        <f aca="false">IFERROR(E71*(1-$H$5/2),0)</f>
        <v>6.6928</v>
      </c>
      <c r="G71" s="26" t="n">
        <f aca="false">IFERROR(E71*(1+$H$5/2),0)</f>
        <v>8.3472</v>
      </c>
      <c r="H71" s="26" t="n">
        <f aca="false">IFERROR(F71*$B$5,0)</f>
        <v>1673.2</v>
      </c>
      <c r="I71" s="26" t="n">
        <f aca="false">IFERROR(G71*$B$5,0)</f>
        <v>2086.8</v>
      </c>
      <c r="J71" s="25" t="s">
        <v>240</v>
      </c>
    </row>
    <row r="72" customFormat="false" ht="13.5" hidden="false" customHeight="true" outlineLevel="0" collapsed="false">
      <c r="A72" s="20" t="s">
        <v>216</v>
      </c>
      <c r="B72" s="20" t="s">
        <v>241</v>
      </c>
      <c r="C72" s="21" t="s">
        <v>166</v>
      </c>
      <c r="D72" s="20" t="s">
        <v>58</v>
      </c>
      <c r="E72" s="22" t="n">
        <f aca="false">IFERROR('Rates Reference Table'!K69*$E$5,0)</f>
        <v>5.64</v>
      </c>
      <c r="F72" s="22" t="n">
        <f aca="false">IFERROR(E72*(1-$H$5/2),0)</f>
        <v>5.0196</v>
      </c>
      <c r="G72" s="22" t="n">
        <f aca="false">IFERROR(E72*(1+$H$5/2),0)</f>
        <v>6.2604</v>
      </c>
      <c r="H72" s="22" t="n">
        <f aca="false">IFERROR(F72*$B$5,0)</f>
        <v>1254.9</v>
      </c>
      <c r="I72" s="22" t="n">
        <f aca="false">IFERROR(G72*$B$5,0)</f>
        <v>1565.1</v>
      </c>
      <c r="J72" s="21" t="s">
        <v>242</v>
      </c>
    </row>
    <row r="73" customFormat="false" ht="18" hidden="false" customHeight="true" outlineLevel="0" collapsed="false">
      <c r="A73" s="42" t="s">
        <v>270</v>
      </c>
      <c r="B73" s="42"/>
      <c r="C73" s="42"/>
      <c r="D73" s="42"/>
      <c r="E73" s="42"/>
      <c r="F73" s="42"/>
      <c r="G73" s="42"/>
      <c r="H73" s="43" t="n">
        <f aca="false">SUMPRODUCT((H8:H72&gt;0)*H8:H72)</f>
        <v>1286063.35</v>
      </c>
      <c r="I73" s="43" t="n">
        <f aca="false">SUMPRODUCT((I8:I72&gt;0)*I8:I72)</f>
        <v>1603966.65</v>
      </c>
    </row>
    <row r="74" customFormat="false" ht="7.5" hidden="false" customHeight="true" outlineLevel="0" collapsed="false"/>
    <row r="75" customFormat="false" ht="15" hidden="false" customHeight="true" outlineLevel="0" collapsed="false">
      <c r="A75" s="44" t="s">
        <v>271</v>
      </c>
      <c r="B75" s="44"/>
      <c r="C75" s="44"/>
      <c r="D75" s="44"/>
      <c r="E75" s="44"/>
      <c r="F75" s="44"/>
      <c r="G75" s="44"/>
      <c r="H75" s="44"/>
      <c r="I75" s="44"/>
      <c r="J75" s="44"/>
    </row>
    <row r="76" customFormat="false" ht="15" hidden="false" customHeight="true" outlineLevel="0" collapsed="false">
      <c r="A76" s="45" t="s">
        <v>272</v>
      </c>
      <c r="B76" s="45"/>
      <c r="C76" s="45"/>
      <c r="D76" s="45" t="s">
        <v>273</v>
      </c>
      <c r="E76" s="45" t="s">
        <v>274</v>
      </c>
      <c r="F76" s="45" t="s">
        <v>275</v>
      </c>
      <c r="G76" s="45" t="s">
        <v>276</v>
      </c>
      <c r="H76" s="45" t="s">
        <v>277</v>
      </c>
      <c r="I76" s="45" t="s">
        <v>278</v>
      </c>
      <c r="J76" s="45" t="s">
        <v>279</v>
      </c>
    </row>
    <row r="77" customFormat="false" ht="15.75" hidden="false" customHeight="true" outlineLevel="0" collapsed="false">
      <c r="A77" s="20" t="s">
        <v>280</v>
      </c>
      <c r="B77" s="21"/>
      <c r="C77" s="21"/>
      <c r="D77" s="21" t="s">
        <v>281</v>
      </c>
      <c r="E77" s="20" t="s">
        <v>282</v>
      </c>
      <c r="F77" s="46" t="n">
        <v>0.08</v>
      </c>
      <c r="G77" s="46" t="n">
        <v>0.1</v>
      </c>
      <c r="H77" s="22" t="n">
        <f aca="false">IFERROR(F77*H73,0)</f>
        <v>102885.068</v>
      </c>
      <c r="I77" s="22" t="n">
        <f aca="false">IFERROR(G77*I73,0)</f>
        <v>160396.665</v>
      </c>
      <c r="J77" s="21" t="s">
        <v>283</v>
      </c>
    </row>
    <row r="78" customFormat="false" ht="15.75" hidden="false" customHeight="true" outlineLevel="0" collapsed="false">
      <c r="A78" s="24" t="s">
        <v>284</v>
      </c>
      <c r="B78" s="25"/>
      <c r="C78" s="25"/>
      <c r="D78" s="25" t="s">
        <v>285</v>
      </c>
      <c r="E78" s="24" t="s">
        <v>282</v>
      </c>
      <c r="F78" s="47" t="n">
        <v>0.08</v>
      </c>
      <c r="G78" s="47" t="n">
        <v>0.12</v>
      </c>
      <c r="H78" s="26" t="n">
        <f aca="false">IFERROR(F78*H73,0)</f>
        <v>102885.068</v>
      </c>
      <c r="I78" s="26" t="n">
        <f aca="false">IFERROR(G78*I73,0)</f>
        <v>192475.998</v>
      </c>
      <c r="J78" s="25" t="s">
        <v>286</v>
      </c>
    </row>
    <row r="79" customFormat="false" ht="18" hidden="false" customHeight="true" outlineLevel="0" collapsed="false">
      <c r="A79" s="42" t="s">
        <v>287</v>
      </c>
      <c r="B79" s="42"/>
      <c r="C79" s="42"/>
      <c r="D79" s="42"/>
      <c r="E79" s="42"/>
      <c r="F79" s="42"/>
      <c r="G79" s="42"/>
      <c r="H79" s="43" t="n">
        <f aca="false">H73+H77+H78</f>
        <v>1491833.486</v>
      </c>
      <c r="I79" s="43" t="n">
        <f aca="false">I73+I77+I78</f>
        <v>1956839.313</v>
      </c>
    </row>
    <row r="80" customFormat="false" ht="15.75" hidden="false" customHeight="true" outlineLevel="0" collapsed="false">
      <c r="A80" s="24" t="s">
        <v>288</v>
      </c>
      <c r="B80" s="25"/>
      <c r="C80" s="25"/>
      <c r="D80" s="25" t="s">
        <v>289</v>
      </c>
      <c r="E80" s="24" t="s">
        <v>290</v>
      </c>
      <c r="F80" s="47" t="n">
        <v>0.05</v>
      </c>
      <c r="G80" s="47" t="n">
        <v>0.15</v>
      </c>
      <c r="H80" s="26" t="n">
        <f aca="false">IFERROR(F80*H79,0)</f>
        <v>74591.6743</v>
      </c>
      <c r="I80" s="26" t="n">
        <f aca="false">IFERROR(G80*I79,0)</f>
        <v>293525.89695</v>
      </c>
      <c r="J80" s="25" t="s">
        <v>291</v>
      </c>
    </row>
    <row r="81" customFormat="false" ht="15.75" hidden="false" customHeight="true" outlineLevel="0" collapsed="false">
      <c r="A81" s="20" t="s">
        <v>292</v>
      </c>
      <c r="B81" s="21"/>
      <c r="C81" s="21"/>
      <c r="D81" s="21" t="s">
        <v>293</v>
      </c>
      <c r="E81" s="20" t="s">
        <v>290</v>
      </c>
      <c r="F81" s="46" t="n">
        <v>0.02</v>
      </c>
      <c r="G81" s="46" t="n">
        <v>0.04</v>
      </c>
      <c r="H81" s="22" t="n">
        <f aca="false">IFERROR(F81*H79,0)</f>
        <v>29836.66972</v>
      </c>
      <c r="I81" s="22" t="n">
        <f aca="false">IFERROR(G81*I79,0)</f>
        <v>78273.57252</v>
      </c>
      <c r="J81" s="21" t="s">
        <v>294</v>
      </c>
    </row>
    <row r="82" customFormat="false" ht="15.75" hidden="false" customHeight="true" outlineLevel="0" collapsed="false">
      <c r="A82" s="48" t="s">
        <v>295</v>
      </c>
      <c r="B82" s="49"/>
      <c r="C82" s="49"/>
      <c r="D82" s="49" t="s">
        <v>296</v>
      </c>
      <c r="E82" s="48" t="s">
        <v>282</v>
      </c>
      <c r="F82" s="50" t="n">
        <v>0.05</v>
      </c>
      <c r="G82" s="50" t="n">
        <v>0.1</v>
      </c>
      <c r="H82" s="51" t="n">
        <f aca="false">IFERROR(F82*H73,0)</f>
        <v>64303.1675</v>
      </c>
      <c r="I82" s="51" t="n">
        <f aca="false">IFERROR(G82*I73,0)</f>
        <v>160396.665</v>
      </c>
      <c r="J82" s="49" t="s">
        <v>297</v>
      </c>
    </row>
    <row r="83" customFormat="false" ht="15.75" hidden="false" customHeight="true" outlineLevel="0" collapsed="false">
      <c r="A83" s="52" t="s">
        <v>298</v>
      </c>
      <c r="B83" s="53"/>
      <c r="C83" s="53"/>
      <c r="D83" s="53" t="s">
        <v>299</v>
      </c>
      <c r="E83" s="52" t="s">
        <v>282</v>
      </c>
      <c r="F83" s="54" t="n">
        <v>0.05</v>
      </c>
      <c r="G83" s="54" t="n">
        <v>0.05</v>
      </c>
      <c r="H83" s="55" t="n">
        <f aca="false">IFERROR(0.05*H73,0)</f>
        <v>64303.1675</v>
      </c>
      <c r="I83" s="55" t="n">
        <f aca="false">IFERROR(0.05*I73,0)</f>
        <v>80198.3325</v>
      </c>
      <c r="J83" s="53" t="s">
        <v>300</v>
      </c>
    </row>
    <row r="84" customFormat="false" ht="15.75" hidden="false" customHeight="true" outlineLevel="0" collapsed="false">
      <c r="A84" s="24" t="s">
        <v>301</v>
      </c>
      <c r="B84" s="25"/>
      <c r="C84" s="25"/>
      <c r="D84" s="25" t="s">
        <v>302</v>
      </c>
      <c r="E84" s="24" t="s">
        <v>282</v>
      </c>
      <c r="F84" s="47" t="n">
        <v>0.02</v>
      </c>
      <c r="G84" s="47" t="n">
        <v>0.12</v>
      </c>
      <c r="H84" s="26" t="n">
        <f aca="false">IFERROR(F84*H73,0)</f>
        <v>25721.267</v>
      </c>
      <c r="I84" s="26" t="n">
        <f aca="false">IFERROR(G84*I73,0)</f>
        <v>192475.998</v>
      </c>
      <c r="J84" s="25" t="s">
        <v>303</v>
      </c>
    </row>
    <row r="85" customFormat="false" ht="21.75" hidden="false" customHeight="true" outlineLevel="0" collapsed="false">
      <c r="A85" s="56" t="s">
        <v>304</v>
      </c>
      <c r="B85" s="56"/>
      <c r="C85" s="56"/>
      <c r="D85" s="56"/>
      <c r="E85" s="56"/>
      <c r="F85" s="56"/>
      <c r="G85" s="56"/>
      <c r="H85" s="57" t="n">
        <f aca="false">H79+H80+H81+H82+H83+H84</f>
        <v>1750589.43202</v>
      </c>
      <c r="I85" s="57" t="n">
        <f aca="false">I79+I80+I81+I82+I83+I84</f>
        <v>2761709.77797</v>
      </c>
    </row>
    <row r="86" customFormat="false" ht="15.75" hidden="false" customHeight="true" outlineLevel="0" collapsed="false">
      <c r="A86" s="58" t="s">
        <v>305</v>
      </c>
      <c r="B86" s="59"/>
      <c r="C86" s="59"/>
      <c r="D86" s="59" t="s">
        <v>306</v>
      </c>
      <c r="E86" s="58" t="s">
        <v>307</v>
      </c>
      <c r="F86" s="60" t="n">
        <v>0.2</v>
      </c>
      <c r="G86" s="60" t="n">
        <v>0.2</v>
      </c>
      <c r="H86" s="61" t="n">
        <f aca="false">IFERROR(0.2*H85,0)</f>
        <v>350117.886404</v>
      </c>
      <c r="I86" s="61" t="n">
        <f aca="false">IFERROR(0.2*I85,0)</f>
        <v>552341.955594</v>
      </c>
      <c r="J86" s="59" t="s">
        <v>308</v>
      </c>
    </row>
    <row r="87" customFormat="false" ht="7.5" hidden="false" customHeight="true" outlineLevel="0" collapsed="false"/>
    <row r="88" customFormat="false" ht="15.75" hidden="false" customHeight="true" outlineLevel="0" collapsed="false">
      <c r="A88" s="62" t="s">
        <v>309</v>
      </c>
      <c r="B88" s="62"/>
      <c r="C88" s="62"/>
      <c r="D88" s="62"/>
      <c r="E88" s="63" t="n">
        <f aca="false">IFERROR(H73/$B$5,0)</f>
        <v>5144.2534</v>
      </c>
      <c r="F88" s="64"/>
      <c r="G88" s="65" t="n">
        <f aca="false">IFERROR(I73/$B$5,0)</f>
        <v>6415.8666</v>
      </c>
      <c r="H88" s="64"/>
      <c r="I88" s="64"/>
      <c r="J88" s="64"/>
    </row>
    <row r="89" customFormat="false" ht="7.5" hidden="false" customHeight="true" outlineLevel="0" collapsed="false"/>
    <row r="90" customFormat="false" ht="27.75" hidden="false" customHeight="true" outlineLevel="0" collapsed="false">
      <c r="A90" s="66" t="s">
        <v>310</v>
      </c>
      <c r="B90" s="66"/>
      <c r="C90" s="66"/>
      <c r="D90" s="66"/>
      <c r="E90" s="66"/>
      <c r="F90" s="66"/>
      <c r="G90" s="66"/>
      <c r="H90" s="66"/>
      <c r="I90" s="66"/>
      <c r="J90" s="66"/>
    </row>
  </sheetData>
  <mergeCells count="17">
    <mergeCell ref="A1:I1"/>
    <mergeCell ref="A2:I2"/>
    <mergeCell ref="A8:J8"/>
    <mergeCell ref="A13:J13"/>
    <mergeCell ref="A18:J18"/>
    <mergeCell ref="A27:J27"/>
    <mergeCell ref="A31:J31"/>
    <mergeCell ref="A36:J36"/>
    <mergeCell ref="A54:J54"/>
    <mergeCell ref="A57:J57"/>
    <mergeCell ref="A63:J63"/>
    <mergeCell ref="A73:G73"/>
    <mergeCell ref="A75:J75"/>
    <mergeCell ref="A79:G79"/>
    <mergeCell ref="A85:G85"/>
    <mergeCell ref="A88:D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50"/>
    <col collapsed="false" customWidth="true" hidden="false" outlineLevel="0" max="4" min="4" style="1" width="8"/>
    <col collapsed="false" customWidth="true" hidden="false" outlineLevel="0" max="7" min="5" style="1" width="14"/>
    <col collapsed="false" customWidth="true" hidden="false" outlineLevel="0" max="9" min="8" style="1" width="17"/>
    <col collapsed="false" customWidth="true" hidden="false" outlineLevel="0" max="10" min="10" style="1" width="40"/>
  </cols>
  <sheetData>
    <row r="1" customFormat="false" ht="21.75" hidden="false" customHeight="true" outlineLevel="0" collapsed="false">
      <c r="A1" s="29" t="s">
        <v>329</v>
      </c>
      <c r="B1" s="29"/>
      <c r="C1" s="29"/>
      <c r="D1" s="29"/>
      <c r="E1" s="29"/>
      <c r="F1" s="29"/>
      <c r="G1" s="29"/>
      <c r="H1" s="29"/>
      <c r="I1" s="29"/>
    </row>
    <row r="2" customFormat="false" ht="19.5" hidden="false" customHeight="true" outlineLevel="0" collapsed="false">
      <c r="A2" s="30" t="s">
        <v>330</v>
      </c>
      <c r="B2" s="30"/>
      <c r="C2" s="30"/>
      <c r="D2" s="30"/>
      <c r="E2" s="30"/>
      <c r="F2" s="30"/>
      <c r="G2" s="30"/>
      <c r="H2" s="30"/>
      <c r="I2" s="30"/>
    </row>
    <row r="3" customFormat="false" ht="6" hidden="false" customHeight="true" outlineLevel="0" collapsed="false"/>
    <row r="4" customFormat="false" ht="15" hidden="false" customHeight="true" outlineLevel="0" collapsed="false">
      <c r="A4" s="31" t="s">
        <v>246</v>
      </c>
      <c r="B4" s="32" t="s">
        <v>331</v>
      </c>
      <c r="D4" s="31" t="s">
        <v>248</v>
      </c>
      <c r="E4" s="32" t="s">
        <v>332</v>
      </c>
      <c r="G4" s="31" t="s">
        <v>250</v>
      </c>
      <c r="H4" s="33" t="s">
        <v>251</v>
      </c>
    </row>
    <row r="5" customFormat="false" ht="18" hidden="false" customHeight="true" outlineLevel="0" collapsed="false">
      <c r="A5" s="31" t="s">
        <v>252</v>
      </c>
      <c r="B5" s="34" t="n">
        <v>1000</v>
      </c>
      <c r="D5" s="31" t="s">
        <v>253</v>
      </c>
      <c r="E5" s="35" t="n">
        <v>0.94</v>
      </c>
      <c r="G5" s="31" t="s">
        <v>254</v>
      </c>
      <c r="H5" s="35" t="n">
        <v>0.22</v>
      </c>
    </row>
    <row r="6" customFormat="false" ht="6" hidden="false" customHeight="true" outlineLevel="0" collapsed="false"/>
    <row r="7" customFormat="false" ht="27.75" hidden="false" customHeight="true" outlineLevel="0" collapsed="false">
      <c r="A7" s="18" t="s">
        <v>41</v>
      </c>
      <c r="B7" s="18" t="s">
        <v>42</v>
      </c>
      <c r="C7" s="18" t="s">
        <v>43</v>
      </c>
      <c r="D7" s="18" t="s">
        <v>44</v>
      </c>
      <c r="E7" s="18" t="s">
        <v>255</v>
      </c>
      <c r="F7" s="18" t="s">
        <v>256</v>
      </c>
      <c r="G7" s="18" t="s">
        <v>257</v>
      </c>
      <c r="H7" s="18" t="s">
        <v>258</v>
      </c>
      <c r="I7" s="18" t="s">
        <v>259</v>
      </c>
      <c r="J7" s="18" t="s">
        <v>53</v>
      </c>
    </row>
    <row r="8" customFormat="false" ht="15.75" hidden="false" customHeight="true" outlineLevel="0" collapsed="false">
      <c r="A8" s="36" t="s">
        <v>260</v>
      </c>
      <c r="B8" s="36"/>
      <c r="C8" s="36"/>
      <c r="D8" s="36"/>
      <c r="E8" s="36"/>
      <c r="F8" s="36"/>
      <c r="G8" s="36"/>
      <c r="H8" s="36"/>
      <c r="I8" s="36"/>
      <c r="J8" s="36"/>
    </row>
    <row r="9" customFormat="false" ht="13.5" hidden="false" customHeight="true" outlineLevel="0" collapsed="false">
      <c r="A9" s="20" t="s">
        <v>55</v>
      </c>
      <c r="B9" s="20" t="s">
        <v>56</v>
      </c>
      <c r="C9" s="21" t="s">
        <v>57</v>
      </c>
      <c r="D9" s="20" t="s">
        <v>58</v>
      </c>
      <c r="E9" s="22" t="n">
        <f aca="false">IFERROR('Rates Reference Table'!L6*$E$5,0)</f>
        <v>0</v>
      </c>
      <c r="F9" s="22" t="n">
        <f aca="false">IFERROR(E9*(1-$H$5/2),0)</f>
        <v>0</v>
      </c>
      <c r="G9" s="22" t="n">
        <f aca="false">IFERROR(E9*(1+$H$5/2),0)</f>
        <v>0</v>
      </c>
      <c r="H9" s="22" t="n">
        <f aca="false">IFERROR(F9*$B$5,0)</f>
        <v>0</v>
      </c>
      <c r="I9" s="22" t="n">
        <f aca="false">IFERROR(G9*$B$5,0)</f>
        <v>0</v>
      </c>
      <c r="J9" s="21" t="s">
        <v>59</v>
      </c>
    </row>
    <row r="10" customFormat="false" ht="13.5" hidden="false" customHeight="true" outlineLevel="0" collapsed="false">
      <c r="A10" s="24" t="s">
        <v>55</v>
      </c>
      <c r="B10" s="24" t="s">
        <v>60</v>
      </c>
      <c r="C10" s="25" t="s">
        <v>61</v>
      </c>
      <c r="D10" s="24" t="s">
        <v>58</v>
      </c>
      <c r="E10" s="26" t="n">
        <f aca="false">IFERROR('Rates Reference Table'!L7*$E$5,0)</f>
        <v>4.7</v>
      </c>
      <c r="F10" s="26" t="n">
        <f aca="false">IFERROR(E10*(1-$H$5/2),0)</f>
        <v>4.183</v>
      </c>
      <c r="G10" s="26" t="n">
        <f aca="false">IFERROR(E10*(1+$H$5/2),0)</f>
        <v>5.217</v>
      </c>
      <c r="H10" s="26" t="n">
        <f aca="false">IFERROR(F10*$B$5,0)</f>
        <v>4183</v>
      </c>
      <c r="I10" s="26" t="n">
        <f aca="false">IFERROR(G10*$B$5,0)</f>
        <v>5217</v>
      </c>
      <c r="J10" s="25" t="s">
        <v>62</v>
      </c>
    </row>
    <row r="11" customFormat="false" ht="13.5" hidden="false" customHeight="true" outlineLevel="0" collapsed="false">
      <c r="A11" s="20" t="s">
        <v>55</v>
      </c>
      <c r="B11" s="20" t="s">
        <v>63</v>
      </c>
      <c r="C11" s="21" t="s">
        <v>64</v>
      </c>
      <c r="D11" s="20" t="s">
        <v>58</v>
      </c>
      <c r="E11" s="22" t="n">
        <f aca="false">IFERROR('Rates Reference Table'!L8*$E$5,0)</f>
        <v>9.4</v>
      </c>
      <c r="F11" s="22" t="n">
        <f aca="false">IFERROR(E11*(1-$H$5/2),0)</f>
        <v>8.366</v>
      </c>
      <c r="G11" s="22" t="n">
        <f aca="false">IFERROR(E11*(1+$H$5/2),0)</f>
        <v>10.434</v>
      </c>
      <c r="H11" s="22" t="n">
        <f aca="false">IFERROR(F11*$B$5,0)</f>
        <v>8366</v>
      </c>
      <c r="I11" s="22" t="n">
        <f aca="false">IFERROR(G11*$B$5,0)</f>
        <v>10434</v>
      </c>
      <c r="J11" s="21" t="s">
        <v>65</v>
      </c>
    </row>
    <row r="12" customFormat="false" ht="13.5" hidden="false" customHeight="true" outlineLevel="0" collapsed="false">
      <c r="A12" s="24" t="s">
        <v>55</v>
      </c>
      <c r="B12" s="24" t="s">
        <v>66</v>
      </c>
      <c r="C12" s="25" t="s">
        <v>67</v>
      </c>
      <c r="D12" s="24" t="s">
        <v>58</v>
      </c>
      <c r="E12" s="26" t="n">
        <f aca="false">IFERROR('Rates Reference Table'!L9*$E$5,0)</f>
        <v>4.7</v>
      </c>
      <c r="F12" s="26" t="n">
        <f aca="false">IFERROR(E12*(1-$H$5/2),0)</f>
        <v>4.183</v>
      </c>
      <c r="G12" s="26" t="n">
        <f aca="false">IFERROR(E12*(1+$H$5/2),0)</f>
        <v>5.217</v>
      </c>
      <c r="H12" s="26" t="n">
        <f aca="false">IFERROR(F12*$B$5,0)</f>
        <v>4183</v>
      </c>
      <c r="I12" s="26" t="n">
        <f aca="false">IFERROR(G12*$B$5,0)</f>
        <v>5217</v>
      </c>
      <c r="J12" s="25" t="s">
        <v>68</v>
      </c>
    </row>
    <row r="13" customFormat="false" ht="15.75" hidden="false" customHeight="true" outlineLevel="0" collapsed="false">
      <c r="A13" s="37" t="s">
        <v>261</v>
      </c>
      <c r="B13" s="37"/>
      <c r="C13" s="37"/>
      <c r="D13" s="37"/>
      <c r="E13" s="37"/>
      <c r="F13" s="37"/>
      <c r="G13" s="37"/>
      <c r="H13" s="37"/>
      <c r="I13" s="37"/>
      <c r="J13" s="37"/>
    </row>
    <row r="14" customFormat="false" ht="13.5" hidden="false" customHeight="true" outlineLevel="0" collapsed="false">
      <c r="A14" s="38" t="s">
        <v>70</v>
      </c>
      <c r="B14" s="38" t="s">
        <v>71</v>
      </c>
      <c r="C14" s="39" t="s">
        <v>72</v>
      </c>
      <c r="D14" s="38" t="s">
        <v>73</v>
      </c>
      <c r="E14" s="40" t="s">
        <v>262</v>
      </c>
      <c r="F14" s="40" t="s">
        <v>262</v>
      </c>
      <c r="G14" s="40" t="s">
        <v>262</v>
      </c>
      <c r="H14" s="41" t="n">
        <v>0</v>
      </c>
      <c r="I14" s="41" t="n">
        <v>0</v>
      </c>
      <c r="J14" s="39" t="s">
        <v>74</v>
      </c>
    </row>
    <row r="15" customFormat="false" ht="13.5" hidden="false" customHeight="true" outlineLevel="0" collapsed="false">
      <c r="A15" s="38" t="s">
        <v>70</v>
      </c>
      <c r="B15" s="38" t="s">
        <v>75</v>
      </c>
      <c r="C15" s="39" t="s">
        <v>76</v>
      </c>
      <c r="D15" s="38" t="s">
        <v>73</v>
      </c>
      <c r="E15" s="40" t="s">
        <v>262</v>
      </c>
      <c r="F15" s="40" t="s">
        <v>262</v>
      </c>
      <c r="G15" s="40" t="s">
        <v>262</v>
      </c>
      <c r="H15" s="41" t="n">
        <v>0</v>
      </c>
      <c r="I15" s="41" t="n">
        <v>0</v>
      </c>
      <c r="J15" s="39" t="s">
        <v>77</v>
      </c>
    </row>
    <row r="16" customFormat="false" ht="13.5" hidden="false" customHeight="true" outlineLevel="0" collapsed="false">
      <c r="A16" s="38" t="s">
        <v>70</v>
      </c>
      <c r="B16" s="38" t="s">
        <v>78</v>
      </c>
      <c r="C16" s="39" t="s">
        <v>79</v>
      </c>
      <c r="D16" s="38" t="s">
        <v>73</v>
      </c>
      <c r="E16" s="40" t="s">
        <v>262</v>
      </c>
      <c r="F16" s="40" t="s">
        <v>262</v>
      </c>
      <c r="G16" s="40" t="s">
        <v>262</v>
      </c>
      <c r="H16" s="41" t="n">
        <v>0</v>
      </c>
      <c r="I16" s="41" t="n">
        <v>0</v>
      </c>
      <c r="J16" s="39" t="s">
        <v>80</v>
      </c>
    </row>
    <row r="17" customFormat="false" ht="13.5" hidden="false" customHeight="true" outlineLevel="0" collapsed="false">
      <c r="A17" s="38" t="s">
        <v>70</v>
      </c>
      <c r="B17" s="38" t="s">
        <v>81</v>
      </c>
      <c r="C17" s="39" t="s">
        <v>82</v>
      </c>
      <c r="D17" s="38" t="s">
        <v>58</v>
      </c>
      <c r="E17" s="40" t="s">
        <v>262</v>
      </c>
      <c r="F17" s="40" t="s">
        <v>262</v>
      </c>
      <c r="G17" s="40" t="s">
        <v>262</v>
      </c>
      <c r="H17" s="41" t="n">
        <v>0</v>
      </c>
      <c r="I17" s="41" t="n">
        <v>0</v>
      </c>
      <c r="J17" s="39" t="s">
        <v>83</v>
      </c>
    </row>
    <row r="18" customFormat="false" ht="15.75" hidden="false" customHeight="true" outlineLevel="0" collapsed="false">
      <c r="A18" s="37" t="s">
        <v>263</v>
      </c>
      <c r="B18" s="37"/>
      <c r="C18" s="37"/>
      <c r="D18" s="37"/>
      <c r="E18" s="37"/>
      <c r="F18" s="37"/>
      <c r="G18" s="37"/>
      <c r="H18" s="37"/>
      <c r="I18" s="37"/>
      <c r="J18" s="37"/>
    </row>
    <row r="19" customFormat="false" ht="13.5" hidden="false" customHeight="true" outlineLevel="0" collapsed="false">
      <c r="A19" s="38" t="s">
        <v>85</v>
      </c>
      <c r="B19" s="38" t="s">
        <v>86</v>
      </c>
      <c r="C19" s="39" t="s">
        <v>87</v>
      </c>
      <c r="D19" s="38" t="s">
        <v>73</v>
      </c>
      <c r="E19" s="40" t="s">
        <v>262</v>
      </c>
      <c r="F19" s="40" t="s">
        <v>262</v>
      </c>
      <c r="G19" s="40" t="s">
        <v>262</v>
      </c>
      <c r="H19" s="41" t="n">
        <v>0</v>
      </c>
      <c r="I19" s="41" t="n">
        <v>0</v>
      </c>
      <c r="J19" s="39" t="s">
        <v>88</v>
      </c>
    </row>
    <row r="20" customFormat="false" ht="13.5" hidden="false" customHeight="true" outlineLevel="0" collapsed="false">
      <c r="A20" s="38" t="s">
        <v>85</v>
      </c>
      <c r="B20" s="38" t="s">
        <v>89</v>
      </c>
      <c r="C20" s="39" t="s">
        <v>90</v>
      </c>
      <c r="D20" s="38" t="s">
        <v>73</v>
      </c>
      <c r="E20" s="40" t="s">
        <v>262</v>
      </c>
      <c r="F20" s="40" t="s">
        <v>262</v>
      </c>
      <c r="G20" s="40" t="s">
        <v>262</v>
      </c>
      <c r="H20" s="41" t="n">
        <v>0</v>
      </c>
      <c r="I20" s="41" t="n">
        <v>0</v>
      </c>
      <c r="J20" s="39" t="s">
        <v>91</v>
      </c>
    </row>
    <row r="21" customFormat="false" ht="13.5" hidden="false" customHeight="true" outlineLevel="0" collapsed="false">
      <c r="A21" s="38" t="s">
        <v>85</v>
      </c>
      <c r="B21" s="38" t="s">
        <v>92</v>
      </c>
      <c r="C21" s="39" t="s">
        <v>93</v>
      </c>
      <c r="D21" s="38" t="s">
        <v>73</v>
      </c>
      <c r="E21" s="40" t="s">
        <v>262</v>
      </c>
      <c r="F21" s="40" t="s">
        <v>262</v>
      </c>
      <c r="G21" s="40" t="s">
        <v>262</v>
      </c>
      <c r="H21" s="41" t="n">
        <v>0</v>
      </c>
      <c r="I21" s="41" t="n">
        <v>0</v>
      </c>
      <c r="J21" s="39" t="s">
        <v>94</v>
      </c>
    </row>
    <row r="22" customFormat="false" ht="13.5" hidden="false" customHeight="true" outlineLevel="0" collapsed="false">
      <c r="A22" s="38" t="s">
        <v>85</v>
      </c>
      <c r="B22" s="38" t="s">
        <v>95</v>
      </c>
      <c r="C22" s="39" t="s">
        <v>96</v>
      </c>
      <c r="D22" s="38" t="s">
        <v>58</v>
      </c>
      <c r="E22" s="40" t="s">
        <v>262</v>
      </c>
      <c r="F22" s="40" t="s">
        <v>262</v>
      </c>
      <c r="G22" s="40" t="s">
        <v>262</v>
      </c>
      <c r="H22" s="41" t="n">
        <v>0</v>
      </c>
      <c r="I22" s="41" t="n">
        <v>0</v>
      </c>
      <c r="J22" s="39" t="s">
        <v>97</v>
      </c>
    </row>
    <row r="23" customFormat="false" ht="13.5" hidden="false" customHeight="true" outlineLevel="0" collapsed="false">
      <c r="A23" s="38" t="s">
        <v>85</v>
      </c>
      <c r="B23" s="38" t="s">
        <v>98</v>
      </c>
      <c r="C23" s="39" t="s">
        <v>99</v>
      </c>
      <c r="D23" s="38" t="s">
        <v>73</v>
      </c>
      <c r="E23" s="40" t="s">
        <v>262</v>
      </c>
      <c r="F23" s="40" t="s">
        <v>262</v>
      </c>
      <c r="G23" s="40" t="s">
        <v>262</v>
      </c>
      <c r="H23" s="41" t="n">
        <v>0</v>
      </c>
      <c r="I23" s="41" t="n">
        <v>0</v>
      </c>
      <c r="J23" s="39" t="s">
        <v>100</v>
      </c>
    </row>
    <row r="24" customFormat="false" ht="13.5" hidden="false" customHeight="true" outlineLevel="0" collapsed="false">
      <c r="A24" s="38" t="s">
        <v>85</v>
      </c>
      <c r="B24" s="38" t="s">
        <v>101</v>
      </c>
      <c r="C24" s="39" t="s">
        <v>102</v>
      </c>
      <c r="D24" s="38" t="s">
        <v>73</v>
      </c>
      <c r="E24" s="40" t="s">
        <v>262</v>
      </c>
      <c r="F24" s="40" t="s">
        <v>262</v>
      </c>
      <c r="G24" s="40" t="s">
        <v>262</v>
      </c>
      <c r="H24" s="41" t="n">
        <v>0</v>
      </c>
      <c r="I24" s="41" t="n">
        <v>0</v>
      </c>
      <c r="J24" s="39" t="s">
        <v>103</v>
      </c>
    </row>
    <row r="25" customFormat="false" ht="13.5" hidden="false" customHeight="true" outlineLevel="0" collapsed="false">
      <c r="A25" s="38" t="s">
        <v>85</v>
      </c>
      <c r="B25" s="38" t="s">
        <v>104</v>
      </c>
      <c r="C25" s="39" t="s">
        <v>105</v>
      </c>
      <c r="D25" s="38" t="s">
        <v>73</v>
      </c>
      <c r="E25" s="40" t="s">
        <v>262</v>
      </c>
      <c r="F25" s="40" t="s">
        <v>262</v>
      </c>
      <c r="G25" s="40" t="s">
        <v>262</v>
      </c>
      <c r="H25" s="41" t="n">
        <v>0</v>
      </c>
      <c r="I25" s="41" t="n">
        <v>0</v>
      </c>
      <c r="J25" s="39" t="s">
        <v>106</v>
      </c>
    </row>
    <row r="26" customFormat="false" ht="13.5" hidden="false" customHeight="true" outlineLevel="0" collapsed="false">
      <c r="A26" s="38" t="s">
        <v>85</v>
      </c>
      <c r="B26" s="38" t="s">
        <v>107</v>
      </c>
      <c r="C26" s="39" t="s">
        <v>108</v>
      </c>
      <c r="D26" s="38" t="s">
        <v>109</v>
      </c>
      <c r="E26" s="40" t="s">
        <v>262</v>
      </c>
      <c r="F26" s="40" t="s">
        <v>262</v>
      </c>
      <c r="G26" s="40" t="s">
        <v>262</v>
      </c>
      <c r="H26" s="41" t="n">
        <v>0</v>
      </c>
      <c r="I26" s="41" t="n">
        <v>0</v>
      </c>
      <c r="J26" s="39" t="s">
        <v>110</v>
      </c>
    </row>
    <row r="27" customFormat="false" ht="15.75" hidden="false" customHeight="true" outlineLevel="0" collapsed="false">
      <c r="A27" s="37" t="s">
        <v>264</v>
      </c>
      <c r="B27" s="37"/>
      <c r="C27" s="37"/>
      <c r="D27" s="37"/>
      <c r="E27" s="37"/>
      <c r="F27" s="37"/>
      <c r="G27" s="37"/>
      <c r="H27" s="37"/>
      <c r="I27" s="37"/>
      <c r="J27" s="37"/>
    </row>
    <row r="28" customFormat="false" ht="13.5" hidden="false" customHeight="true" outlineLevel="0" collapsed="false">
      <c r="A28" s="38" t="s">
        <v>112</v>
      </c>
      <c r="B28" s="38" t="s">
        <v>113</v>
      </c>
      <c r="C28" s="39" t="s">
        <v>114</v>
      </c>
      <c r="D28" s="38" t="s">
        <v>73</v>
      </c>
      <c r="E28" s="40" t="s">
        <v>262</v>
      </c>
      <c r="F28" s="40" t="s">
        <v>262</v>
      </c>
      <c r="G28" s="40" t="s">
        <v>262</v>
      </c>
      <c r="H28" s="41" t="n">
        <v>0</v>
      </c>
      <c r="I28" s="41" t="n">
        <v>0</v>
      </c>
      <c r="J28" s="39" t="s">
        <v>115</v>
      </c>
    </row>
    <row r="29" customFormat="false" ht="13.5" hidden="false" customHeight="true" outlineLevel="0" collapsed="false">
      <c r="A29" s="38" t="s">
        <v>112</v>
      </c>
      <c r="B29" s="38" t="s">
        <v>116</v>
      </c>
      <c r="C29" s="39" t="s">
        <v>117</v>
      </c>
      <c r="D29" s="38" t="s">
        <v>73</v>
      </c>
      <c r="E29" s="40" t="s">
        <v>262</v>
      </c>
      <c r="F29" s="40" t="s">
        <v>262</v>
      </c>
      <c r="G29" s="40" t="s">
        <v>262</v>
      </c>
      <c r="H29" s="41" t="n">
        <v>0</v>
      </c>
      <c r="I29" s="41" t="n">
        <v>0</v>
      </c>
      <c r="J29" s="39" t="s">
        <v>118</v>
      </c>
    </row>
    <row r="30" customFormat="false" ht="13.5" hidden="false" customHeight="true" outlineLevel="0" collapsed="false">
      <c r="A30" s="38" t="s">
        <v>112</v>
      </c>
      <c r="B30" s="38" t="s">
        <v>119</v>
      </c>
      <c r="C30" s="39" t="s">
        <v>120</v>
      </c>
      <c r="D30" s="38" t="s">
        <v>73</v>
      </c>
      <c r="E30" s="40" t="s">
        <v>262</v>
      </c>
      <c r="F30" s="40" t="s">
        <v>262</v>
      </c>
      <c r="G30" s="40" t="s">
        <v>262</v>
      </c>
      <c r="H30" s="41" t="n">
        <v>0</v>
      </c>
      <c r="I30" s="41" t="n">
        <v>0</v>
      </c>
      <c r="J30" s="39" t="s">
        <v>121</v>
      </c>
    </row>
    <row r="31" customFormat="false" ht="15.75" hidden="false" customHeight="true" outlineLevel="0" collapsed="false">
      <c r="A31" s="37" t="s">
        <v>265</v>
      </c>
      <c r="B31" s="37"/>
      <c r="C31" s="37"/>
      <c r="D31" s="37"/>
      <c r="E31" s="37"/>
      <c r="F31" s="37"/>
      <c r="G31" s="37"/>
      <c r="H31" s="37"/>
      <c r="I31" s="37"/>
      <c r="J31" s="37"/>
    </row>
    <row r="32" customFormat="false" ht="13.5" hidden="false" customHeight="true" outlineLevel="0" collapsed="false">
      <c r="A32" s="38" t="s">
        <v>123</v>
      </c>
      <c r="B32" s="38" t="s">
        <v>124</v>
      </c>
      <c r="C32" s="39" t="s">
        <v>125</v>
      </c>
      <c r="D32" s="38" t="s">
        <v>58</v>
      </c>
      <c r="E32" s="40" t="s">
        <v>262</v>
      </c>
      <c r="F32" s="40" t="s">
        <v>262</v>
      </c>
      <c r="G32" s="40" t="s">
        <v>262</v>
      </c>
      <c r="H32" s="41" t="n">
        <v>0</v>
      </c>
      <c r="I32" s="41" t="n">
        <v>0</v>
      </c>
      <c r="J32" s="39" t="s">
        <v>126</v>
      </c>
    </row>
    <row r="33" customFormat="false" ht="13.5" hidden="false" customHeight="true" outlineLevel="0" collapsed="false">
      <c r="A33" s="38" t="s">
        <v>123</v>
      </c>
      <c r="B33" s="38" t="s">
        <v>127</v>
      </c>
      <c r="C33" s="39" t="s">
        <v>128</v>
      </c>
      <c r="D33" s="38" t="s">
        <v>109</v>
      </c>
      <c r="E33" s="40" t="s">
        <v>262</v>
      </c>
      <c r="F33" s="40" t="s">
        <v>262</v>
      </c>
      <c r="G33" s="40" t="s">
        <v>262</v>
      </c>
      <c r="H33" s="41" t="n">
        <v>0</v>
      </c>
      <c r="I33" s="41" t="n">
        <v>0</v>
      </c>
      <c r="J33" s="39" t="s">
        <v>129</v>
      </c>
    </row>
    <row r="34" customFormat="false" ht="13.5" hidden="false" customHeight="true" outlineLevel="0" collapsed="false">
      <c r="A34" s="38" t="s">
        <v>123</v>
      </c>
      <c r="B34" s="38" t="s">
        <v>130</v>
      </c>
      <c r="C34" s="39" t="s">
        <v>131</v>
      </c>
      <c r="D34" s="38" t="s">
        <v>58</v>
      </c>
      <c r="E34" s="40" t="s">
        <v>262</v>
      </c>
      <c r="F34" s="40" t="s">
        <v>262</v>
      </c>
      <c r="G34" s="40" t="s">
        <v>262</v>
      </c>
      <c r="H34" s="41" t="n">
        <v>0</v>
      </c>
      <c r="I34" s="41" t="n">
        <v>0</v>
      </c>
      <c r="J34" s="39" t="s">
        <v>132</v>
      </c>
    </row>
    <row r="35" customFormat="false" ht="13.5" hidden="false" customHeight="true" outlineLevel="0" collapsed="false">
      <c r="A35" s="38" t="s">
        <v>123</v>
      </c>
      <c r="B35" s="38" t="s">
        <v>133</v>
      </c>
      <c r="C35" s="39" t="s">
        <v>134</v>
      </c>
      <c r="D35" s="38" t="s">
        <v>58</v>
      </c>
      <c r="E35" s="40" t="s">
        <v>262</v>
      </c>
      <c r="F35" s="40" t="s">
        <v>262</v>
      </c>
      <c r="G35" s="40" t="s">
        <v>262</v>
      </c>
      <c r="H35" s="41" t="n">
        <v>0</v>
      </c>
      <c r="I35" s="41" t="n">
        <v>0</v>
      </c>
      <c r="J35" s="39" t="s">
        <v>135</v>
      </c>
    </row>
    <row r="36" customFormat="false" ht="15.75" hidden="false" customHeight="true" outlineLevel="0" collapsed="false">
      <c r="A36" s="37" t="s">
        <v>266</v>
      </c>
      <c r="B36" s="37"/>
      <c r="C36" s="37"/>
      <c r="D36" s="37"/>
      <c r="E36" s="37"/>
      <c r="F36" s="37"/>
      <c r="G36" s="37"/>
      <c r="H36" s="37"/>
      <c r="I36" s="37"/>
      <c r="J36" s="37"/>
    </row>
    <row r="37" customFormat="false" ht="13.5" hidden="false" customHeight="true" outlineLevel="0" collapsed="false">
      <c r="A37" s="38" t="s">
        <v>137</v>
      </c>
      <c r="B37" s="38" t="s">
        <v>138</v>
      </c>
      <c r="C37" s="39" t="s">
        <v>139</v>
      </c>
      <c r="D37" s="38" t="s">
        <v>73</v>
      </c>
      <c r="E37" s="40" t="s">
        <v>262</v>
      </c>
      <c r="F37" s="40" t="s">
        <v>262</v>
      </c>
      <c r="G37" s="40" t="s">
        <v>262</v>
      </c>
      <c r="H37" s="41" t="n">
        <v>0</v>
      </c>
      <c r="I37" s="41" t="n">
        <v>0</v>
      </c>
      <c r="J37" s="39" t="s">
        <v>140</v>
      </c>
    </row>
    <row r="38" customFormat="false" ht="13.5" hidden="false" customHeight="true" outlineLevel="0" collapsed="false">
      <c r="A38" s="38" t="s">
        <v>137</v>
      </c>
      <c r="B38" s="38" t="s">
        <v>141</v>
      </c>
      <c r="C38" s="39" t="s">
        <v>142</v>
      </c>
      <c r="D38" s="38" t="s">
        <v>73</v>
      </c>
      <c r="E38" s="40" t="s">
        <v>262</v>
      </c>
      <c r="F38" s="40" t="s">
        <v>262</v>
      </c>
      <c r="G38" s="40" t="s">
        <v>262</v>
      </c>
      <c r="H38" s="41" t="n">
        <v>0</v>
      </c>
      <c r="I38" s="41" t="n">
        <v>0</v>
      </c>
      <c r="J38" s="39" t="s">
        <v>143</v>
      </c>
    </row>
    <row r="39" customFormat="false" ht="13.5" hidden="false" customHeight="true" outlineLevel="0" collapsed="false">
      <c r="A39" s="38" t="s">
        <v>137</v>
      </c>
      <c r="B39" s="38" t="s">
        <v>144</v>
      </c>
      <c r="C39" s="39" t="s">
        <v>145</v>
      </c>
      <c r="D39" s="38" t="s">
        <v>73</v>
      </c>
      <c r="E39" s="40" t="s">
        <v>262</v>
      </c>
      <c r="F39" s="40" t="s">
        <v>262</v>
      </c>
      <c r="G39" s="40" t="s">
        <v>262</v>
      </c>
      <c r="H39" s="41" t="n">
        <v>0</v>
      </c>
      <c r="I39" s="41" t="n">
        <v>0</v>
      </c>
      <c r="J39" s="39" t="s">
        <v>146</v>
      </c>
    </row>
    <row r="40" customFormat="false" ht="13.5" hidden="false" customHeight="true" outlineLevel="0" collapsed="false">
      <c r="A40" s="38" t="s">
        <v>137</v>
      </c>
      <c r="B40" s="38" t="s">
        <v>147</v>
      </c>
      <c r="C40" s="39" t="s">
        <v>148</v>
      </c>
      <c r="D40" s="38" t="s">
        <v>73</v>
      </c>
      <c r="E40" s="40" t="s">
        <v>262</v>
      </c>
      <c r="F40" s="40" t="s">
        <v>262</v>
      </c>
      <c r="G40" s="40" t="s">
        <v>262</v>
      </c>
      <c r="H40" s="41" t="n">
        <v>0</v>
      </c>
      <c r="I40" s="41" t="n">
        <v>0</v>
      </c>
      <c r="J40" s="39" t="s">
        <v>149</v>
      </c>
    </row>
    <row r="41" customFormat="false" ht="13.5" hidden="false" customHeight="true" outlineLevel="0" collapsed="false">
      <c r="A41" s="38" t="s">
        <v>137</v>
      </c>
      <c r="B41" s="38" t="s">
        <v>150</v>
      </c>
      <c r="C41" s="39" t="s">
        <v>151</v>
      </c>
      <c r="D41" s="38" t="s">
        <v>58</v>
      </c>
      <c r="E41" s="40" t="s">
        <v>262</v>
      </c>
      <c r="F41" s="40" t="s">
        <v>262</v>
      </c>
      <c r="G41" s="40" t="s">
        <v>262</v>
      </c>
      <c r="H41" s="41" t="n">
        <v>0</v>
      </c>
      <c r="I41" s="41" t="n">
        <v>0</v>
      </c>
      <c r="J41" s="39" t="s">
        <v>152</v>
      </c>
    </row>
    <row r="42" customFormat="false" ht="13.5" hidden="false" customHeight="true" outlineLevel="0" collapsed="false">
      <c r="A42" s="38" t="s">
        <v>137</v>
      </c>
      <c r="B42" s="38" t="s">
        <v>153</v>
      </c>
      <c r="C42" s="39" t="s">
        <v>154</v>
      </c>
      <c r="D42" s="38" t="s">
        <v>73</v>
      </c>
      <c r="E42" s="40" t="s">
        <v>262</v>
      </c>
      <c r="F42" s="40" t="s">
        <v>262</v>
      </c>
      <c r="G42" s="40" t="s">
        <v>262</v>
      </c>
      <c r="H42" s="41" t="n">
        <v>0</v>
      </c>
      <c r="I42" s="41" t="n">
        <v>0</v>
      </c>
      <c r="J42" s="39" t="s">
        <v>155</v>
      </c>
    </row>
    <row r="43" customFormat="false" ht="13.5" hidden="false" customHeight="true" outlineLevel="0" collapsed="false">
      <c r="A43" s="38" t="s">
        <v>137</v>
      </c>
      <c r="B43" s="38" t="s">
        <v>156</v>
      </c>
      <c r="C43" s="39" t="s">
        <v>157</v>
      </c>
      <c r="D43" s="38" t="s">
        <v>73</v>
      </c>
      <c r="E43" s="40" t="s">
        <v>262</v>
      </c>
      <c r="F43" s="40" t="s">
        <v>262</v>
      </c>
      <c r="G43" s="40" t="s">
        <v>262</v>
      </c>
      <c r="H43" s="41" t="n">
        <v>0</v>
      </c>
      <c r="I43" s="41" t="n">
        <v>0</v>
      </c>
      <c r="J43" s="39" t="s">
        <v>158</v>
      </c>
    </row>
    <row r="44" customFormat="false" ht="13.5" hidden="false" customHeight="true" outlineLevel="0" collapsed="false">
      <c r="A44" s="38" t="s">
        <v>137</v>
      </c>
      <c r="B44" s="38" t="s">
        <v>159</v>
      </c>
      <c r="C44" s="39" t="s">
        <v>160</v>
      </c>
      <c r="D44" s="38" t="s">
        <v>73</v>
      </c>
      <c r="E44" s="40" t="s">
        <v>262</v>
      </c>
      <c r="F44" s="40" t="s">
        <v>262</v>
      </c>
      <c r="G44" s="40" t="s">
        <v>262</v>
      </c>
      <c r="H44" s="41" t="n">
        <v>0</v>
      </c>
      <c r="I44" s="41" t="n">
        <v>0</v>
      </c>
      <c r="J44" s="39" t="s">
        <v>161</v>
      </c>
    </row>
    <row r="45" customFormat="false" ht="13.5" hidden="false" customHeight="true" outlineLevel="0" collapsed="false">
      <c r="A45" s="38" t="s">
        <v>137</v>
      </c>
      <c r="B45" s="38" t="s">
        <v>162</v>
      </c>
      <c r="C45" s="39" t="s">
        <v>163</v>
      </c>
      <c r="D45" s="38" t="s">
        <v>73</v>
      </c>
      <c r="E45" s="40" t="s">
        <v>262</v>
      </c>
      <c r="F45" s="40" t="s">
        <v>262</v>
      </c>
      <c r="G45" s="40" t="s">
        <v>262</v>
      </c>
      <c r="H45" s="41" t="n">
        <v>0</v>
      </c>
      <c r="I45" s="41" t="n">
        <v>0</v>
      </c>
      <c r="J45" s="39" t="s">
        <v>164</v>
      </c>
    </row>
    <row r="46" customFormat="false" ht="13.5" hidden="false" customHeight="true" outlineLevel="0" collapsed="false">
      <c r="A46" s="38" t="s">
        <v>137</v>
      </c>
      <c r="B46" s="38" t="s">
        <v>165</v>
      </c>
      <c r="C46" s="39" t="s">
        <v>166</v>
      </c>
      <c r="D46" s="38" t="s">
        <v>58</v>
      </c>
      <c r="E46" s="40" t="s">
        <v>262</v>
      </c>
      <c r="F46" s="40" t="s">
        <v>262</v>
      </c>
      <c r="G46" s="40" t="s">
        <v>262</v>
      </c>
      <c r="H46" s="41" t="n">
        <v>0</v>
      </c>
      <c r="I46" s="41" t="n">
        <v>0</v>
      </c>
      <c r="J46" s="39" t="s">
        <v>167</v>
      </c>
    </row>
    <row r="47" customFormat="false" ht="13.5" hidden="false" customHeight="true" outlineLevel="0" collapsed="false">
      <c r="A47" s="38" t="s">
        <v>137</v>
      </c>
      <c r="B47" s="38" t="s">
        <v>168</v>
      </c>
      <c r="C47" s="39" t="s">
        <v>169</v>
      </c>
      <c r="D47" s="38" t="s">
        <v>170</v>
      </c>
      <c r="E47" s="40" t="s">
        <v>262</v>
      </c>
      <c r="F47" s="40" t="s">
        <v>262</v>
      </c>
      <c r="G47" s="40" t="s">
        <v>262</v>
      </c>
      <c r="H47" s="41" t="n">
        <v>0</v>
      </c>
      <c r="I47" s="41" t="n">
        <v>0</v>
      </c>
      <c r="J47" s="39" t="s">
        <v>171</v>
      </c>
    </row>
    <row r="48" customFormat="false" ht="13.5" hidden="false" customHeight="true" outlineLevel="0" collapsed="false">
      <c r="A48" s="38" t="s">
        <v>137</v>
      </c>
      <c r="B48" s="38" t="s">
        <v>172</v>
      </c>
      <c r="C48" s="39" t="s">
        <v>173</v>
      </c>
      <c r="D48" s="38" t="s">
        <v>109</v>
      </c>
      <c r="E48" s="40" t="s">
        <v>262</v>
      </c>
      <c r="F48" s="40" t="s">
        <v>262</v>
      </c>
      <c r="G48" s="40" t="s">
        <v>262</v>
      </c>
      <c r="H48" s="41" t="n">
        <v>0</v>
      </c>
      <c r="I48" s="41" t="n">
        <v>0</v>
      </c>
      <c r="J48" s="39" t="s">
        <v>174</v>
      </c>
    </row>
    <row r="49" customFormat="false" ht="13.5" hidden="false" customHeight="true" outlineLevel="0" collapsed="false">
      <c r="A49" s="38" t="s">
        <v>137</v>
      </c>
      <c r="B49" s="38" t="s">
        <v>175</v>
      </c>
      <c r="C49" s="39" t="s">
        <v>176</v>
      </c>
      <c r="D49" s="38" t="s">
        <v>73</v>
      </c>
      <c r="E49" s="40" t="s">
        <v>262</v>
      </c>
      <c r="F49" s="40" t="s">
        <v>262</v>
      </c>
      <c r="G49" s="40" t="s">
        <v>262</v>
      </c>
      <c r="H49" s="41" t="n">
        <v>0</v>
      </c>
      <c r="I49" s="41" t="n">
        <v>0</v>
      </c>
      <c r="J49" s="39" t="s">
        <v>177</v>
      </c>
    </row>
    <row r="50" customFormat="false" ht="13.5" hidden="false" customHeight="true" outlineLevel="0" collapsed="false">
      <c r="A50" s="38" t="s">
        <v>137</v>
      </c>
      <c r="B50" s="38" t="s">
        <v>178</v>
      </c>
      <c r="C50" s="39" t="s">
        <v>179</v>
      </c>
      <c r="D50" s="38" t="s">
        <v>58</v>
      </c>
      <c r="E50" s="40" t="s">
        <v>262</v>
      </c>
      <c r="F50" s="40" t="s">
        <v>262</v>
      </c>
      <c r="G50" s="40" t="s">
        <v>262</v>
      </c>
      <c r="H50" s="41" t="n">
        <v>0</v>
      </c>
      <c r="I50" s="41" t="n">
        <v>0</v>
      </c>
      <c r="J50" s="39" t="s">
        <v>180</v>
      </c>
    </row>
    <row r="51" customFormat="false" ht="13.5" hidden="false" customHeight="true" outlineLevel="0" collapsed="false">
      <c r="A51" s="38" t="s">
        <v>137</v>
      </c>
      <c r="B51" s="38" t="s">
        <v>181</v>
      </c>
      <c r="C51" s="39" t="s">
        <v>182</v>
      </c>
      <c r="D51" s="38" t="s">
        <v>73</v>
      </c>
      <c r="E51" s="40" t="s">
        <v>262</v>
      </c>
      <c r="F51" s="40" t="s">
        <v>262</v>
      </c>
      <c r="G51" s="40" t="s">
        <v>262</v>
      </c>
      <c r="H51" s="41" t="n">
        <v>0</v>
      </c>
      <c r="I51" s="41" t="n">
        <v>0</v>
      </c>
      <c r="J51" s="39" t="s">
        <v>183</v>
      </c>
    </row>
    <row r="52" customFormat="false" ht="13.5" hidden="false" customHeight="true" outlineLevel="0" collapsed="false">
      <c r="A52" s="38" t="s">
        <v>137</v>
      </c>
      <c r="B52" s="38" t="s">
        <v>184</v>
      </c>
      <c r="C52" s="39" t="s">
        <v>185</v>
      </c>
      <c r="D52" s="38" t="s">
        <v>109</v>
      </c>
      <c r="E52" s="40" t="s">
        <v>262</v>
      </c>
      <c r="F52" s="40" t="s">
        <v>262</v>
      </c>
      <c r="G52" s="40" t="s">
        <v>262</v>
      </c>
      <c r="H52" s="41" t="n">
        <v>0</v>
      </c>
      <c r="I52" s="41" t="n">
        <v>0</v>
      </c>
      <c r="J52" s="39" t="s">
        <v>186</v>
      </c>
    </row>
    <row r="53" customFormat="false" ht="13.5" hidden="false" customHeight="true" outlineLevel="0" collapsed="false">
      <c r="A53" s="38" t="s">
        <v>137</v>
      </c>
      <c r="B53" s="38" t="s">
        <v>187</v>
      </c>
      <c r="C53" s="39" t="s">
        <v>188</v>
      </c>
      <c r="D53" s="38" t="s">
        <v>73</v>
      </c>
      <c r="E53" s="40" t="s">
        <v>262</v>
      </c>
      <c r="F53" s="40" t="s">
        <v>262</v>
      </c>
      <c r="G53" s="40" t="s">
        <v>262</v>
      </c>
      <c r="H53" s="41" t="n">
        <v>0</v>
      </c>
      <c r="I53" s="41" t="n">
        <v>0</v>
      </c>
      <c r="J53" s="39" t="s">
        <v>189</v>
      </c>
    </row>
    <row r="54" customFormat="false" ht="15.75" hidden="false" customHeight="true" outlineLevel="0" collapsed="false">
      <c r="A54" s="37" t="s">
        <v>267</v>
      </c>
      <c r="B54" s="37"/>
      <c r="C54" s="37"/>
      <c r="D54" s="37"/>
      <c r="E54" s="37"/>
      <c r="F54" s="37"/>
      <c r="G54" s="37"/>
      <c r="H54" s="37"/>
      <c r="I54" s="37"/>
      <c r="J54" s="37"/>
    </row>
    <row r="55" customFormat="false" ht="13.5" hidden="false" customHeight="true" outlineLevel="0" collapsed="false">
      <c r="A55" s="38" t="s">
        <v>191</v>
      </c>
      <c r="B55" s="38" t="s">
        <v>192</v>
      </c>
      <c r="C55" s="39" t="s">
        <v>193</v>
      </c>
      <c r="D55" s="38" t="s">
        <v>58</v>
      </c>
      <c r="E55" s="40" t="s">
        <v>262</v>
      </c>
      <c r="F55" s="40" t="s">
        <v>262</v>
      </c>
      <c r="G55" s="40" t="s">
        <v>262</v>
      </c>
      <c r="H55" s="41" t="n">
        <v>0</v>
      </c>
      <c r="I55" s="41" t="n">
        <v>0</v>
      </c>
      <c r="J55" s="39" t="s">
        <v>194</v>
      </c>
    </row>
    <row r="56" customFormat="false" ht="13.5" hidden="false" customHeight="true" outlineLevel="0" collapsed="false">
      <c r="A56" s="38" t="s">
        <v>191</v>
      </c>
      <c r="B56" s="38" t="s">
        <v>195</v>
      </c>
      <c r="C56" s="39" t="s">
        <v>196</v>
      </c>
      <c r="D56" s="38" t="s">
        <v>58</v>
      </c>
      <c r="E56" s="40" t="s">
        <v>262</v>
      </c>
      <c r="F56" s="40" t="s">
        <v>262</v>
      </c>
      <c r="G56" s="40" t="s">
        <v>262</v>
      </c>
      <c r="H56" s="41" t="n">
        <v>0</v>
      </c>
      <c r="I56" s="41" t="n">
        <v>0</v>
      </c>
      <c r="J56" s="39" t="s">
        <v>197</v>
      </c>
    </row>
    <row r="57" customFormat="false" ht="15.75" hidden="false" customHeight="true" outlineLevel="0" collapsed="false">
      <c r="A57" s="37" t="s">
        <v>268</v>
      </c>
      <c r="B57" s="37"/>
      <c r="C57" s="37"/>
      <c r="D57" s="37"/>
      <c r="E57" s="37"/>
      <c r="F57" s="37"/>
      <c r="G57" s="37"/>
      <c r="H57" s="37"/>
      <c r="I57" s="37"/>
      <c r="J57" s="37"/>
    </row>
    <row r="58" customFormat="false" ht="13.5" hidden="false" customHeight="true" outlineLevel="0" collapsed="false">
      <c r="A58" s="38" t="s">
        <v>199</v>
      </c>
      <c r="B58" s="38" t="s">
        <v>200</v>
      </c>
      <c r="C58" s="39" t="s">
        <v>201</v>
      </c>
      <c r="D58" s="38" t="s">
        <v>58</v>
      </c>
      <c r="E58" s="40" t="s">
        <v>262</v>
      </c>
      <c r="F58" s="40" t="s">
        <v>262</v>
      </c>
      <c r="G58" s="40" t="s">
        <v>262</v>
      </c>
      <c r="H58" s="41" t="n">
        <v>0</v>
      </c>
      <c r="I58" s="41" t="n">
        <v>0</v>
      </c>
      <c r="J58" s="39" t="s">
        <v>202</v>
      </c>
    </row>
    <row r="59" customFormat="false" ht="13.5" hidden="false" customHeight="true" outlineLevel="0" collapsed="false">
      <c r="A59" s="38" t="s">
        <v>199</v>
      </c>
      <c r="B59" s="38" t="s">
        <v>203</v>
      </c>
      <c r="C59" s="39" t="s">
        <v>204</v>
      </c>
      <c r="D59" s="38" t="s">
        <v>58</v>
      </c>
      <c r="E59" s="40" t="s">
        <v>262</v>
      </c>
      <c r="F59" s="40" t="s">
        <v>262</v>
      </c>
      <c r="G59" s="40" t="s">
        <v>262</v>
      </c>
      <c r="H59" s="41" t="n">
        <v>0</v>
      </c>
      <c r="I59" s="41" t="n">
        <v>0</v>
      </c>
      <c r="J59" s="39" t="s">
        <v>205</v>
      </c>
    </row>
    <row r="60" customFormat="false" ht="13.5" hidden="false" customHeight="true" outlineLevel="0" collapsed="false">
      <c r="A60" s="38" t="s">
        <v>199</v>
      </c>
      <c r="B60" s="38" t="s">
        <v>206</v>
      </c>
      <c r="C60" s="39" t="s">
        <v>207</v>
      </c>
      <c r="D60" s="38" t="s">
        <v>58</v>
      </c>
      <c r="E60" s="40" t="s">
        <v>262</v>
      </c>
      <c r="F60" s="40" t="s">
        <v>262</v>
      </c>
      <c r="G60" s="40" t="s">
        <v>262</v>
      </c>
      <c r="H60" s="41" t="n">
        <v>0</v>
      </c>
      <c r="I60" s="41" t="n">
        <v>0</v>
      </c>
      <c r="J60" s="39" t="s">
        <v>208</v>
      </c>
    </row>
    <row r="61" customFormat="false" ht="13.5" hidden="false" customHeight="true" outlineLevel="0" collapsed="false">
      <c r="A61" s="38" t="s">
        <v>199</v>
      </c>
      <c r="B61" s="38" t="s">
        <v>209</v>
      </c>
      <c r="C61" s="39" t="s">
        <v>210</v>
      </c>
      <c r="D61" s="38" t="s">
        <v>58</v>
      </c>
      <c r="E61" s="40" t="s">
        <v>262</v>
      </c>
      <c r="F61" s="40" t="s">
        <v>262</v>
      </c>
      <c r="G61" s="40" t="s">
        <v>262</v>
      </c>
      <c r="H61" s="41" t="n">
        <v>0</v>
      </c>
      <c r="I61" s="41" t="n">
        <v>0</v>
      </c>
      <c r="J61" s="39" t="s">
        <v>211</v>
      </c>
    </row>
    <row r="62" customFormat="false" ht="13.5" hidden="false" customHeight="true" outlineLevel="0" collapsed="false">
      <c r="A62" s="38" t="s">
        <v>199</v>
      </c>
      <c r="B62" s="38" t="s">
        <v>212</v>
      </c>
      <c r="C62" s="39" t="s">
        <v>213</v>
      </c>
      <c r="D62" s="38" t="s">
        <v>58</v>
      </c>
      <c r="E62" s="40" t="s">
        <v>262</v>
      </c>
      <c r="F62" s="40" t="s">
        <v>262</v>
      </c>
      <c r="G62" s="40" t="s">
        <v>262</v>
      </c>
      <c r="H62" s="41" t="n">
        <v>0</v>
      </c>
      <c r="I62" s="41" t="n">
        <v>0</v>
      </c>
      <c r="J62" s="39" t="s">
        <v>214</v>
      </c>
    </row>
    <row r="63" customFormat="false" ht="15.75" hidden="false" customHeight="true" outlineLevel="0" collapsed="false">
      <c r="A63" s="36" t="s">
        <v>269</v>
      </c>
      <c r="B63" s="36"/>
      <c r="C63" s="36"/>
      <c r="D63" s="36"/>
      <c r="E63" s="36"/>
      <c r="F63" s="36"/>
      <c r="G63" s="36"/>
      <c r="H63" s="36"/>
      <c r="I63" s="36"/>
      <c r="J63" s="36"/>
    </row>
    <row r="64" customFormat="false" ht="13.5" hidden="false" customHeight="true" outlineLevel="0" collapsed="false">
      <c r="A64" s="20" t="s">
        <v>216</v>
      </c>
      <c r="B64" s="20" t="s">
        <v>217</v>
      </c>
      <c r="C64" s="21" t="s">
        <v>218</v>
      </c>
      <c r="D64" s="20" t="s">
        <v>58</v>
      </c>
      <c r="E64" s="22" t="n">
        <f aca="false">IFERROR('Rates Reference Table'!L61*$E$5,0)</f>
        <v>9.4</v>
      </c>
      <c r="F64" s="22" t="n">
        <f aca="false">IFERROR(E64*(1-$H$5/2),0)</f>
        <v>8.366</v>
      </c>
      <c r="G64" s="22" t="n">
        <f aca="false">IFERROR(E64*(1+$H$5/2),0)</f>
        <v>10.434</v>
      </c>
      <c r="H64" s="22" t="n">
        <f aca="false">IFERROR(F64*$B$5,0)</f>
        <v>8366</v>
      </c>
      <c r="I64" s="22" t="n">
        <f aca="false">IFERROR(G64*$B$5,0)</f>
        <v>10434</v>
      </c>
      <c r="J64" s="21" t="s">
        <v>219</v>
      </c>
    </row>
    <row r="65" customFormat="false" ht="13.5" hidden="false" customHeight="true" outlineLevel="0" collapsed="false">
      <c r="A65" s="24" t="s">
        <v>216</v>
      </c>
      <c r="B65" s="24" t="s">
        <v>220</v>
      </c>
      <c r="C65" s="25" t="s">
        <v>221</v>
      </c>
      <c r="D65" s="24" t="s">
        <v>73</v>
      </c>
      <c r="E65" s="26" t="n">
        <f aca="false">IFERROR('Rates Reference Table'!L62*$E$5,0)</f>
        <v>32.9</v>
      </c>
      <c r="F65" s="26" t="n">
        <f aca="false">IFERROR(E65*(1-$H$5/2),0)</f>
        <v>29.281</v>
      </c>
      <c r="G65" s="26" t="n">
        <f aca="false">IFERROR(E65*(1+$H$5/2),0)</f>
        <v>36.519</v>
      </c>
      <c r="H65" s="26" t="n">
        <f aca="false">IFERROR(F65*$B$5,0)</f>
        <v>29281</v>
      </c>
      <c r="I65" s="26" t="n">
        <f aca="false">IFERROR(G65*$B$5,0)</f>
        <v>36519</v>
      </c>
      <c r="J65" s="25" t="s">
        <v>222</v>
      </c>
    </row>
    <row r="66" customFormat="false" ht="13.5" hidden="false" customHeight="true" outlineLevel="0" collapsed="false">
      <c r="A66" s="20" t="s">
        <v>216</v>
      </c>
      <c r="B66" s="20" t="s">
        <v>223</v>
      </c>
      <c r="C66" s="21" t="s">
        <v>224</v>
      </c>
      <c r="D66" s="20" t="s">
        <v>109</v>
      </c>
      <c r="E66" s="22" t="n">
        <f aca="false">IFERROR('Rates Reference Table'!L63*$E$5,0)</f>
        <v>18.8</v>
      </c>
      <c r="F66" s="22" t="n">
        <f aca="false">IFERROR(E66*(1-$H$5/2),0)</f>
        <v>16.732</v>
      </c>
      <c r="G66" s="22" t="n">
        <f aca="false">IFERROR(E66*(1+$H$5/2),0)</f>
        <v>20.868</v>
      </c>
      <c r="H66" s="22" t="n">
        <f aca="false">IFERROR(F66*$B$5,0)</f>
        <v>16732</v>
      </c>
      <c r="I66" s="22" t="n">
        <f aca="false">IFERROR(G66*$B$5,0)</f>
        <v>20868</v>
      </c>
      <c r="J66" s="21" t="s">
        <v>225</v>
      </c>
    </row>
    <row r="67" customFormat="false" ht="13.5" hidden="false" customHeight="true" outlineLevel="0" collapsed="false">
      <c r="A67" s="24" t="s">
        <v>216</v>
      </c>
      <c r="B67" s="24" t="s">
        <v>226</v>
      </c>
      <c r="C67" s="25" t="s">
        <v>227</v>
      </c>
      <c r="D67" s="24" t="s">
        <v>58</v>
      </c>
      <c r="E67" s="26" t="n">
        <f aca="false">IFERROR('Rates Reference Table'!L64*$E$5,0)</f>
        <v>23.5</v>
      </c>
      <c r="F67" s="26" t="n">
        <f aca="false">IFERROR(E67*(1-$H$5/2),0)</f>
        <v>20.915</v>
      </c>
      <c r="G67" s="26" t="n">
        <f aca="false">IFERROR(E67*(1+$H$5/2),0)</f>
        <v>26.085</v>
      </c>
      <c r="H67" s="26" t="n">
        <f aca="false">IFERROR(F67*$B$5,0)</f>
        <v>20915</v>
      </c>
      <c r="I67" s="26" t="n">
        <f aca="false">IFERROR(G67*$B$5,0)</f>
        <v>26085</v>
      </c>
      <c r="J67" s="25" t="s">
        <v>228</v>
      </c>
    </row>
    <row r="68" customFormat="false" ht="13.5" hidden="false" customHeight="true" outlineLevel="0" collapsed="false">
      <c r="A68" s="20" t="s">
        <v>216</v>
      </c>
      <c r="B68" s="20" t="s">
        <v>229</v>
      </c>
      <c r="C68" s="21" t="s">
        <v>230</v>
      </c>
      <c r="D68" s="20" t="s">
        <v>58</v>
      </c>
      <c r="E68" s="22" t="n">
        <f aca="false">IFERROR('Rates Reference Table'!L65*$E$5,0)</f>
        <v>14.1</v>
      </c>
      <c r="F68" s="22" t="n">
        <f aca="false">IFERROR(E68*(1-$H$5/2),0)</f>
        <v>12.549</v>
      </c>
      <c r="G68" s="22" t="n">
        <f aca="false">IFERROR(E68*(1+$H$5/2),0)</f>
        <v>15.651</v>
      </c>
      <c r="H68" s="22" t="n">
        <f aca="false">IFERROR(F68*$B$5,0)</f>
        <v>12549</v>
      </c>
      <c r="I68" s="22" t="n">
        <f aca="false">IFERROR(G68*$B$5,0)</f>
        <v>15651</v>
      </c>
      <c r="J68" s="21" t="s">
        <v>231</v>
      </c>
    </row>
    <row r="69" customFormat="false" ht="13.5" hidden="false" customHeight="true" outlineLevel="0" collapsed="false">
      <c r="A69" s="24" t="s">
        <v>216</v>
      </c>
      <c r="B69" s="24" t="s">
        <v>232</v>
      </c>
      <c r="C69" s="25" t="s">
        <v>233</v>
      </c>
      <c r="D69" s="24" t="s">
        <v>58</v>
      </c>
      <c r="E69" s="26" t="n">
        <f aca="false">IFERROR('Rates Reference Table'!L66*$E$5,0)</f>
        <v>18.8</v>
      </c>
      <c r="F69" s="26" t="n">
        <f aca="false">IFERROR(E69*(1-$H$5/2),0)</f>
        <v>16.732</v>
      </c>
      <c r="G69" s="26" t="n">
        <f aca="false">IFERROR(E69*(1+$H$5/2),0)</f>
        <v>20.868</v>
      </c>
      <c r="H69" s="26" t="n">
        <f aca="false">IFERROR(F69*$B$5,0)</f>
        <v>16732</v>
      </c>
      <c r="I69" s="26" t="n">
        <f aca="false">IFERROR(G69*$B$5,0)</f>
        <v>20868</v>
      </c>
      <c r="J69" s="25" t="s">
        <v>234</v>
      </c>
    </row>
    <row r="70" customFormat="false" ht="13.5" hidden="false" customHeight="true" outlineLevel="0" collapsed="false">
      <c r="A70" s="20" t="s">
        <v>216</v>
      </c>
      <c r="B70" s="20" t="s">
        <v>235</v>
      </c>
      <c r="C70" s="21" t="s">
        <v>236</v>
      </c>
      <c r="D70" s="20" t="s">
        <v>73</v>
      </c>
      <c r="E70" s="22" t="n">
        <f aca="false">IFERROR('Rates Reference Table'!L67*$E$5,0)</f>
        <v>14.1</v>
      </c>
      <c r="F70" s="22" t="n">
        <f aca="false">IFERROR(E70*(1-$H$5/2),0)</f>
        <v>12.549</v>
      </c>
      <c r="G70" s="22" t="n">
        <f aca="false">IFERROR(E70*(1+$H$5/2),0)</f>
        <v>15.651</v>
      </c>
      <c r="H70" s="22" t="n">
        <f aca="false">IFERROR(F70*$B$5,0)</f>
        <v>12549</v>
      </c>
      <c r="I70" s="22" t="n">
        <f aca="false">IFERROR(G70*$B$5,0)</f>
        <v>15651</v>
      </c>
      <c r="J70" s="21" t="s">
        <v>237</v>
      </c>
    </row>
    <row r="71" customFormat="false" ht="13.5" hidden="false" customHeight="true" outlineLevel="0" collapsed="false">
      <c r="A71" s="24" t="s">
        <v>216</v>
      </c>
      <c r="B71" s="24" t="s">
        <v>238</v>
      </c>
      <c r="C71" s="25" t="s">
        <v>239</v>
      </c>
      <c r="D71" s="24" t="s">
        <v>58</v>
      </c>
      <c r="E71" s="26" t="n">
        <f aca="false">IFERROR('Rates Reference Table'!L68*$E$5,0)</f>
        <v>11.28</v>
      </c>
      <c r="F71" s="26" t="n">
        <f aca="false">IFERROR(E71*(1-$H$5/2),0)</f>
        <v>10.0392</v>
      </c>
      <c r="G71" s="26" t="n">
        <f aca="false">IFERROR(E71*(1+$H$5/2),0)</f>
        <v>12.5208</v>
      </c>
      <c r="H71" s="26" t="n">
        <f aca="false">IFERROR(F71*$B$5,0)</f>
        <v>10039.2</v>
      </c>
      <c r="I71" s="26" t="n">
        <f aca="false">IFERROR(G71*$B$5,0)</f>
        <v>12520.8</v>
      </c>
      <c r="J71" s="25" t="s">
        <v>240</v>
      </c>
    </row>
    <row r="72" customFormat="false" ht="13.5" hidden="false" customHeight="true" outlineLevel="0" collapsed="false">
      <c r="A72" s="20" t="s">
        <v>216</v>
      </c>
      <c r="B72" s="20" t="s">
        <v>241</v>
      </c>
      <c r="C72" s="21" t="s">
        <v>166</v>
      </c>
      <c r="D72" s="20" t="s">
        <v>58</v>
      </c>
      <c r="E72" s="22" t="n">
        <f aca="false">IFERROR('Rates Reference Table'!L69*$E$5,0)</f>
        <v>9.4</v>
      </c>
      <c r="F72" s="22" t="n">
        <f aca="false">IFERROR(E72*(1-$H$5/2),0)</f>
        <v>8.366</v>
      </c>
      <c r="G72" s="22" t="n">
        <f aca="false">IFERROR(E72*(1+$H$5/2),0)</f>
        <v>10.434</v>
      </c>
      <c r="H72" s="22" t="n">
        <f aca="false">IFERROR(F72*$B$5,0)</f>
        <v>8366</v>
      </c>
      <c r="I72" s="22" t="n">
        <f aca="false">IFERROR(G72*$B$5,0)</f>
        <v>10434</v>
      </c>
      <c r="J72" s="21" t="s">
        <v>242</v>
      </c>
    </row>
    <row r="73" customFormat="false" ht="18" hidden="false" customHeight="true" outlineLevel="0" collapsed="false">
      <c r="A73" s="42" t="s">
        <v>270</v>
      </c>
      <c r="B73" s="42"/>
      <c r="C73" s="42"/>
      <c r="D73" s="42"/>
      <c r="E73" s="42"/>
      <c r="F73" s="42"/>
      <c r="G73" s="42"/>
      <c r="H73" s="43" t="n">
        <f aca="false">SUMPRODUCT((H8:H72&gt;0)*H8:H72)</f>
        <v>152261.2</v>
      </c>
      <c r="I73" s="43" t="n">
        <f aca="false">SUMPRODUCT((I8:I72&gt;0)*I8:I72)</f>
        <v>189898.8</v>
      </c>
    </row>
    <row r="74" customFormat="false" ht="7.5" hidden="false" customHeight="true" outlineLevel="0" collapsed="false"/>
    <row r="75" customFormat="false" ht="15" hidden="false" customHeight="true" outlineLevel="0" collapsed="false">
      <c r="A75" s="44" t="s">
        <v>271</v>
      </c>
      <c r="B75" s="44"/>
      <c r="C75" s="44"/>
      <c r="D75" s="44"/>
      <c r="E75" s="44"/>
      <c r="F75" s="44"/>
      <c r="G75" s="44"/>
      <c r="H75" s="44"/>
      <c r="I75" s="44"/>
      <c r="J75" s="44"/>
    </row>
    <row r="76" customFormat="false" ht="15" hidden="false" customHeight="true" outlineLevel="0" collapsed="false">
      <c r="A76" s="45" t="s">
        <v>272</v>
      </c>
      <c r="B76" s="45"/>
      <c r="C76" s="45"/>
      <c r="D76" s="45" t="s">
        <v>273</v>
      </c>
      <c r="E76" s="45" t="s">
        <v>274</v>
      </c>
      <c r="F76" s="45" t="s">
        <v>275</v>
      </c>
      <c r="G76" s="45" t="s">
        <v>276</v>
      </c>
      <c r="H76" s="45" t="s">
        <v>277</v>
      </c>
      <c r="I76" s="45" t="s">
        <v>278</v>
      </c>
      <c r="J76" s="45" t="s">
        <v>279</v>
      </c>
    </row>
    <row r="77" customFormat="false" ht="15.75" hidden="false" customHeight="true" outlineLevel="0" collapsed="false">
      <c r="A77" s="20" t="s">
        <v>280</v>
      </c>
      <c r="B77" s="21"/>
      <c r="C77" s="21"/>
      <c r="D77" s="21" t="s">
        <v>281</v>
      </c>
      <c r="E77" s="20" t="s">
        <v>282</v>
      </c>
      <c r="F77" s="46" t="n">
        <v>0.08</v>
      </c>
      <c r="G77" s="46" t="n">
        <v>0.1</v>
      </c>
      <c r="H77" s="22" t="n">
        <f aca="false">IFERROR(F77*H73,0)</f>
        <v>12180.896</v>
      </c>
      <c r="I77" s="22" t="n">
        <f aca="false">IFERROR(G77*I73,0)</f>
        <v>18989.88</v>
      </c>
      <c r="J77" s="21" t="s">
        <v>283</v>
      </c>
    </row>
    <row r="78" customFormat="false" ht="15.75" hidden="false" customHeight="true" outlineLevel="0" collapsed="false">
      <c r="A78" s="24" t="s">
        <v>284</v>
      </c>
      <c r="B78" s="25"/>
      <c r="C78" s="25"/>
      <c r="D78" s="25" t="s">
        <v>285</v>
      </c>
      <c r="E78" s="24" t="s">
        <v>282</v>
      </c>
      <c r="F78" s="47" t="n">
        <v>0.08</v>
      </c>
      <c r="G78" s="47" t="n">
        <v>0.12</v>
      </c>
      <c r="H78" s="26" t="n">
        <f aca="false">IFERROR(F78*H73,0)</f>
        <v>12180.896</v>
      </c>
      <c r="I78" s="26" t="n">
        <f aca="false">IFERROR(G78*I73,0)</f>
        <v>22787.856</v>
      </c>
      <c r="J78" s="25" t="s">
        <v>286</v>
      </c>
    </row>
    <row r="79" customFormat="false" ht="18" hidden="false" customHeight="true" outlineLevel="0" collapsed="false">
      <c r="A79" s="42" t="s">
        <v>287</v>
      </c>
      <c r="B79" s="42"/>
      <c r="C79" s="42"/>
      <c r="D79" s="42"/>
      <c r="E79" s="42"/>
      <c r="F79" s="42"/>
      <c r="G79" s="42"/>
      <c r="H79" s="43" t="n">
        <f aca="false">H73+H77+H78</f>
        <v>176622.992</v>
      </c>
      <c r="I79" s="43" t="n">
        <f aca="false">I73+I77+I78</f>
        <v>231676.536</v>
      </c>
    </row>
    <row r="80" customFormat="false" ht="15.75" hidden="false" customHeight="true" outlineLevel="0" collapsed="false">
      <c r="A80" s="24" t="s">
        <v>288</v>
      </c>
      <c r="B80" s="25"/>
      <c r="C80" s="25"/>
      <c r="D80" s="25" t="s">
        <v>289</v>
      </c>
      <c r="E80" s="24" t="s">
        <v>290</v>
      </c>
      <c r="F80" s="47" t="n">
        <v>0.05</v>
      </c>
      <c r="G80" s="47" t="n">
        <v>0.15</v>
      </c>
      <c r="H80" s="26" t="n">
        <f aca="false">IFERROR(F80*H79,0)</f>
        <v>8831.1496</v>
      </c>
      <c r="I80" s="26" t="n">
        <f aca="false">IFERROR(G80*I79,0)</f>
        <v>34751.4804</v>
      </c>
      <c r="J80" s="25" t="s">
        <v>291</v>
      </c>
    </row>
    <row r="81" customFormat="false" ht="15.75" hidden="false" customHeight="true" outlineLevel="0" collapsed="false">
      <c r="A81" s="20" t="s">
        <v>292</v>
      </c>
      <c r="B81" s="21"/>
      <c r="C81" s="21"/>
      <c r="D81" s="21" t="s">
        <v>293</v>
      </c>
      <c r="E81" s="20" t="s">
        <v>290</v>
      </c>
      <c r="F81" s="46" t="n">
        <v>0.02</v>
      </c>
      <c r="G81" s="46" t="n">
        <v>0.04</v>
      </c>
      <c r="H81" s="22" t="n">
        <f aca="false">IFERROR(F81*H79,0)</f>
        <v>3532.45984</v>
      </c>
      <c r="I81" s="22" t="n">
        <f aca="false">IFERROR(G81*I79,0)</f>
        <v>9267.06144</v>
      </c>
      <c r="J81" s="21" t="s">
        <v>294</v>
      </c>
    </row>
    <row r="82" customFormat="false" ht="15.75" hidden="false" customHeight="true" outlineLevel="0" collapsed="false">
      <c r="A82" s="48" t="s">
        <v>295</v>
      </c>
      <c r="B82" s="49"/>
      <c r="C82" s="49"/>
      <c r="D82" s="49" t="s">
        <v>296</v>
      </c>
      <c r="E82" s="48" t="s">
        <v>282</v>
      </c>
      <c r="F82" s="50" t="n">
        <v>0.05</v>
      </c>
      <c r="G82" s="50" t="n">
        <v>0.1</v>
      </c>
      <c r="H82" s="51" t="n">
        <f aca="false">IFERROR(F82*H73,0)</f>
        <v>7613.06</v>
      </c>
      <c r="I82" s="51" t="n">
        <f aca="false">IFERROR(G82*I73,0)</f>
        <v>18989.88</v>
      </c>
      <c r="J82" s="49" t="s">
        <v>297</v>
      </c>
    </row>
    <row r="83" customFormat="false" ht="15.75" hidden="false" customHeight="true" outlineLevel="0" collapsed="false">
      <c r="A83" s="52" t="s">
        <v>298</v>
      </c>
      <c r="B83" s="53"/>
      <c r="C83" s="53"/>
      <c r="D83" s="53" t="s">
        <v>299</v>
      </c>
      <c r="E83" s="52" t="s">
        <v>282</v>
      </c>
      <c r="F83" s="54" t="n">
        <v>0.05</v>
      </c>
      <c r="G83" s="54" t="n">
        <v>0.05</v>
      </c>
      <c r="H83" s="55" t="n">
        <f aca="false">IFERROR(0.05*H73,0)</f>
        <v>7613.06</v>
      </c>
      <c r="I83" s="55" t="n">
        <f aca="false">IFERROR(0.05*I73,0)</f>
        <v>9494.94</v>
      </c>
      <c r="J83" s="53" t="s">
        <v>300</v>
      </c>
    </row>
    <row r="84" customFormat="false" ht="15.75" hidden="false" customHeight="true" outlineLevel="0" collapsed="false">
      <c r="A84" s="24" t="s">
        <v>301</v>
      </c>
      <c r="B84" s="25"/>
      <c r="C84" s="25"/>
      <c r="D84" s="25" t="s">
        <v>302</v>
      </c>
      <c r="E84" s="24" t="s">
        <v>282</v>
      </c>
      <c r="F84" s="47" t="n">
        <v>0.02</v>
      </c>
      <c r="G84" s="47" t="n">
        <v>0.12</v>
      </c>
      <c r="H84" s="26" t="n">
        <f aca="false">IFERROR(F84*H73,0)</f>
        <v>3045.224</v>
      </c>
      <c r="I84" s="26" t="n">
        <f aca="false">IFERROR(G84*I73,0)</f>
        <v>22787.856</v>
      </c>
      <c r="J84" s="25" t="s">
        <v>303</v>
      </c>
    </row>
    <row r="85" customFormat="false" ht="21.75" hidden="false" customHeight="true" outlineLevel="0" collapsed="false">
      <c r="A85" s="56" t="s">
        <v>304</v>
      </c>
      <c r="B85" s="56"/>
      <c r="C85" s="56"/>
      <c r="D85" s="56"/>
      <c r="E85" s="56"/>
      <c r="F85" s="56"/>
      <c r="G85" s="56"/>
      <c r="H85" s="57" t="n">
        <f aca="false">H79+H80+H81+H82+H83+H84</f>
        <v>207257.94544</v>
      </c>
      <c r="I85" s="57" t="n">
        <f aca="false">I79+I80+I81+I82+I83+I84</f>
        <v>326967.75384</v>
      </c>
    </row>
    <row r="86" customFormat="false" ht="15.75" hidden="false" customHeight="true" outlineLevel="0" collapsed="false">
      <c r="A86" s="58" t="s">
        <v>305</v>
      </c>
      <c r="B86" s="59"/>
      <c r="C86" s="59"/>
      <c r="D86" s="59" t="s">
        <v>306</v>
      </c>
      <c r="E86" s="58" t="s">
        <v>307</v>
      </c>
      <c r="F86" s="60" t="n">
        <v>0.2</v>
      </c>
      <c r="G86" s="60" t="n">
        <v>0.2</v>
      </c>
      <c r="H86" s="61" t="n">
        <f aca="false">IFERROR(0.2*H85,0)</f>
        <v>41451.589088</v>
      </c>
      <c r="I86" s="61" t="n">
        <f aca="false">IFERROR(0.2*I85,0)</f>
        <v>65393.550768</v>
      </c>
      <c r="J86" s="59" t="s">
        <v>308</v>
      </c>
    </row>
    <row r="87" customFormat="false" ht="7.5" hidden="false" customHeight="true" outlineLevel="0" collapsed="false"/>
    <row r="88" customFormat="false" ht="15.75" hidden="false" customHeight="true" outlineLevel="0" collapsed="false">
      <c r="A88" s="62" t="s">
        <v>309</v>
      </c>
      <c r="B88" s="62"/>
      <c r="C88" s="62"/>
      <c r="D88" s="62"/>
      <c r="E88" s="63" t="n">
        <f aca="false">IFERROR(H73/$B$5,0)</f>
        <v>152.2612</v>
      </c>
      <c r="F88" s="64"/>
      <c r="G88" s="65" t="n">
        <f aca="false">IFERROR(I73/$B$5,0)</f>
        <v>189.8988</v>
      </c>
      <c r="H88" s="64"/>
      <c r="I88" s="64"/>
      <c r="J88" s="64"/>
    </row>
    <row r="89" customFormat="false" ht="7.5" hidden="false" customHeight="true" outlineLevel="0" collapsed="false"/>
    <row r="90" customFormat="false" ht="27.75" hidden="false" customHeight="true" outlineLevel="0" collapsed="false">
      <c r="A90" s="66" t="s">
        <v>310</v>
      </c>
      <c r="B90" s="66"/>
      <c r="C90" s="66"/>
      <c r="D90" s="66"/>
      <c r="E90" s="66"/>
      <c r="F90" s="66"/>
      <c r="G90" s="66"/>
      <c r="H90" s="66"/>
      <c r="I90" s="66"/>
      <c r="J90" s="66"/>
    </row>
  </sheetData>
  <mergeCells count="17">
    <mergeCell ref="A1:I1"/>
    <mergeCell ref="A2:I2"/>
    <mergeCell ref="A8:J8"/>
    <mergeCell ref="A13:J13"/>
    <mergeCell ref="A18:J18"/>
    <mergeCell ref="A27:J27"/>
    <mergeCell ref="A31:J31"/>
    <mergeCell ref="A36:J36"/>
    <mergeCell ref="A54:J54"/>
    <mergeCell ref="A57:J57"/>
    <mergeCell ref="A63:J63"/>
    <mergeCell ref="A73:G73"/>
    <mergeCell ref="A75:J75"/>
    <mergeCell ref="A79:G79"/>
    <mergeCell ref="A85:G85"/>
    <mergeCell ref="A88:D88"/>
    <mergeCell ref="A90:J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6"/>
    <col collapsed="false" customWidth="true" hidden="false" outlineLevel="0" max="4" min="4" style="1" width="55"/>
  </cols>
  <sheetData>
    <row r="1" customFormat="false" ht="21.75" hidden="false" customHeight="true" outlineLevel="0" collapsed="false">
      <c r="A1" s="29" t="s">
        <v>333</v>
      </c>
      <c r="B1" s="29"/>
      <c r="C1" s="29"/>
      <c r="D1" s="29"/>
    </row>
    <row r="2" customFormat="false" ht="18" hidden="false" customHeight="true" outlineLevel="0" collapsed="false">
      <c r="A2" s="67" t="s">
        <v>334</v>
      </c>
      <c r="B2" s="67" t="s">
        <v>335</v>
      </c>
      <c r="C2" s="67" t="s">
        <v>336</v>
      </c>
      <c r="D2" s="67" t="s">
        <v>337</v>
      </c>
    </row>
    <row r="3" customFormat="false" ht="15.75" hidden="false" customHeight="true" outlineLevel="0" collapsed="false">
      <c r="A3" s="68" t="s">
        <v>338</v>
      </c>
      <c r="B3" s="69" t="n">
        <v>1.2</v>
      </c>
      <c r="C3" s="69" t="n">
        <v>1.3</v>
      </c>
      <c r="D3" s="68" t="s">
        <v>339</v>
      </c>
    </row>
    <row r="4" customFormat="false" ht="15.75" hidden="false" customHeight="true" outlineLevel="0" collapsed="false">
      <c r="A4" s="70" t="s">
        <v>340</v>
      </c>
      <c r="B4" s="71" t="n">
        <v>1.1</v>
      </c>
      <c r="C4" s="71" t="n">
        <v>1.2</v>
      </c>
      <c r="D4" s="70" t="s">
        <v>341</v>
      </c>
    </row>
    <row r="5" customFormat="false" ht="15.75" hidden="false" customHeight="true" outlineLevel="0" collapsed="false">
      <c r="A5" s="68" t="s">
        <v>342</v>
      </c>
      <c r="B5" s="69" t="n">
        <v>1.05</v>
      </c>
      <c r="C5" s="69" t="n">
        <v>1.12</v>
      </c>
      <c r="D5" s="68" t="s">
        <v>343</v>
      </c>
    </row>
    <row r="6" customFormat="false" ht="15.75" hidden="false" customHeight="true" outlineLevel="0" collapsed="false">
      <c r="A6" s="70" t="s">
        <v>344</v>
      </c>
      <c r="B6" s="71" t="n">
        <v>1</v>
      </c>
      <c r="C6" s="71" t="n">
        <v>1.05</v>
      </c>
      <c r="D6" s="70" t="s">
        <v>345</v>
      </c>
    </row>
    <row r="7" customFormat="false" ht="15.75" hidden="false" customHeight="true" outlineLevel="0" collapsed="false">
      <c r="A7" s="72" t="s">
        <v>251</v>
      </c>
      <c r="B7" s="73" t="n">
        <v>0.92</v>
      </c>
      <c r="C7" s="73" t="n">
        <v>0.97</v>
      </c>
      <c r="D7" s="72" t="s">
        <v>346</v>
      </c>
    </row>
    <row r="8" customFormat="false" ht="15.75" hidden="false" customHeight="true" outlineLevel="0" collapsed="false">
      <c r="A8" s="70" t="s">
        <v>347</v>
      </c>
      <c r="B8" s="71" t="n">
        <v>0.91</v>
      </c>
      <c r="C8" s="71" t="n">
        <v>0.96</v>
      </c>
      <c r="D8" s="70" t="s">
        <v>348</v>
      </c>
    </row>
    <row r="9" customFormat="false" ht="15.75" hidden="false" customHeight="true" outlineLevel="0" collapsed="false">
      <c r="A9" s="68" t="s">
        <v>349</v>
      </c>
      <c r="B9" s="69" t="n">
        <v>0.88</v>
      </c>
      <c r="C9" s="69" t="n">
        <v>0.93</v>
      </c>
      <c r="D9" s="68" t="s">
        <v>350</v>
      </c>
    </row>
    <row r="10" customFormat="false" ht="15.75" hidden="false" customHeight="true" outlineLevel="0" collapsed="false">
      <c r="A10" s="70" t="s">
        <v>351</v>
      </c>
      <c r="B10" s="71" t="n">
        <v>0.9</v>
      </c>
      <c r="C10" s="71" t="n">
        <v>0.95</v>
      </c>
      <c r="D10" s="70" t="s">
        <v>352</v>
      </c>
    </row>
    <row r="11" customFormat="false" ht="15.75" hidden="false" customHeight="true" outlineLevel="0" collapsed="false">
      <c r="A11" s="68" t="s">
        <v>353</v>
      </c>
      <c r="B11" s="69" t="n">
        <v>0.87</v>
      </c>
      <c r="C11" s="69" t="n">
        <v>0.92</v>
      </c>
      <c r="D11" s="68" t="s">
        <v>354</v>
      </c>
    </row>
    <row r="12" customFormat="false" ht="15.75" hidden="false" customHeight="true" outlineLevel="0" collapsed="false">
      <c r="A12" s="70" t="s">
        <v>355</v>
      </c>
      <c r="B12" s="71" t="n">
        <v>0.87</v>
      </c>
      <c r="C12" s="71" t="n">
        <v>0.93</v>
      </c>
      <c r="D12" s="70" t="s">
        <v>356</v>
      </c>
    </row>
    <row r="13" customFormat="false" ht="15.75" hidden="false" customHeight="true" outlineLevel="0" collapsed="false">
      <c r="A13" s="68" t="s">
        <v>357</v>
      </c>
      <c r="B13" s="69" t="n">
        <v>0.93</v>
      </c>
      <c r="C13" s="69" t="n">
        <v>1</v>
      </c>
      <c r="D13" s="68" t="s">
        <v>358</v>
      </c>
    </row>
    <row r="14" customFormat="false" ht="15.75" hidden="false" customHeight="true" outlineLevel="0" collapsed="false">
      <c r="A14" s="70" t="s">
        <v>359</v>
      </c>
      <c r="B14" s="71" t="n">
        <v>0.82</v>
      </c>
      <c r="C14" s="71" t="n">
        <v>0.88</v>
      </c>
      <c r="D14" s="70" t="s">
        <v>360</v>
      </c>
    </row>
    <row r="16" customFormat="false" ht="7.5" hidden="false" customHeight="true" outlineLevel="0" collapsed="false"/>
    <row r="17" customFormat="false" ht="34.5" hidden="false" customHeight="true" outlineLevel="0" collapsed="false">
      <c r="A17" s="74" t="s">
        <v>361</v>
      </c>
      <c r="B17" s="74"/>
      <c r="C17" s="74"/>
      <c r="D17" s="74"/>
    </row>
  </sheetData>
  <mergeCells count="2">
    <mergeCell ref="A1:D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2026-05-12T20:23:39Z</dcterms:created>
  <dc:creator>openpyxl</dc:creator>
  <dc:description/>
  <dc:language>en-US</dc:language>
  <cp:lastModifiedBy/>
  <dcterms:modified xsi:type="dcterms:W3CDTF">2026-05-12T20:24:00Z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