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bil\estates-ai-tool\"/>
    </mc:Choice>
  </mc:AlternateContent>
  <xr:revisionPtr revIDLastSave="0" documentId="13_ncr:1_{D2ED5D8A-088E-420D-B3E0-AEFA293F278C}" xr6:coauthVersionLast="47" xr6:coauthVersionMax="47" xr10:uidLastSave="{00000000-0000-0000-0000-000000000000}"/>
  <bookViews>
    <workbookView xWindow="2250" yWindow="2250" windowWidth="21600" windowHeight="11295" tabRatio="500" firstSheet="1" activeTab="5" xr2:uid="{00000000-000D-0000-FFFF-FFFF00000000}"/>
  </bookViews>
  <sheets>
    <sheet name="0. Read Me" sheetId="1" r:id="rId1"/>
    <sheet name="1. Drivers" sheetId="2" r:id="rId2"/>
    <sheet name="2. Options" sheetId="3" r:id="rId3"/>
    <sheet name="3. Contracts" sheetId="4" r:id="rId4"/>
    <sheet name="4. Check" sheetId="5" r:id="rId5"/>
    <sheet name="5. Routes and contracts" sheetId="6" r:id="rId6"/>
  </sheets>
  <definedNames>
    <definedName name="_xlnm._FilterDatabase" localSheetId="2" hidden="1">'2. Options'!$A$1:$Z$16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5" l="1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A16" i="5"/>
  <c r="C7" i="5"/>
  <c r="G28" i="5" s="1"/>
  <c r="C6" i="5"/>
  <c r="F28" i="5" s="1"/>
  <c r="C5" i="5"/>
  <c r="E33" i="5" s="1"/>
  <c r="D29" i="2"/>
  <c r="D5" i="2" s="1"/>
  <c r="C4" i="5" s="1"/>
  <c r="G20" i="5" l="1"/>
  <c r="G23" i="5"/>
  <c r="G33" i="5"/>
  <c r="G29" i="5"/>
  <c r="D27" i="5"/>
  <c r="D22" i="5"/>
  <c r="D33" i="5"/>
  <c r="D28" i="5"/>
  <c r="D23" i="5"/>
  <c r="D34" i="5"/>
  <c r="D29" i="5"/>
  <c r="D24" i="5"/>
  <c r="D30" i="5"/>
  <c r="D25" i="5"/>
  <c r="D20" i="5"/>
  <c r="D31" i="5"/>
  <c r="D26" i="5"/>
  <c r="D21" i="5"/>
  <c r="D32" i="5"/>
  <c r="F22" i="5"/>
  <c r="E27" i="5"/>
  <c r="G22" i="5"/>
  <c r="F27" i="5"/>
  <c r="E32" i="5"/>
  <c r="E21" i="5"/>
  <c r="G27" i="5"/>
  <c r="F32" i="5"/>
  <c r="F21" i="5"/>
  <c r="E26" i="5"/>
  <c r="G32" i="5"/>
  <c r="G21" i="5"/>
  <c r="F26" i="5"/>
  <c r="E31" i="5"/>
  <c r="E20" i="5"/>
  <c r="G26" i="5"/>
  <c r="F31" i="5"/>
  <c r="F20" i="5"/>
  <c r="E25" i="5"/>
  <c r="G31" i="5"/>
  <c r="F25" i="5"/>
  <c r="E30" i="5"/>
  <c r="G25" i="5"/>
  <c r="F30" i="5"/>
  <c r="E24" i="5"/>
  <c r="G30" i="5"/>
  <c r="F24" i="5"/>
  <c r="E29" i="5"/>
  <c r="G24" i="5"/>
  <c r="F29" i="5"/>
  <c r="E34" i="5"/>
  <c r="E23" i="5"/>
  <c r="F34" i="5"/>
  <c r="F23" i="5"/>
  <c r="E28" i="5"/>
  <c r="G34" i="5"/>
  <c r="E22" i="5"/>
  <c r="F33" i="5"/>
  <c r="H25" i="5" l="1"/>
  <c r="I25" i="5" s="1"/>
  <c r="H32" i="5"/>
  <c r="I32" i="5" s="1"/>
  <c r="J32" i="5" s="1"/>
  <c r="H21" i="5"/>
  <c r="H30" i="5"/>
  <c r="I30" i="5" s="1"/>
  <c r="J30" i="5" s="1"/>
  <c r="H28" i="5"/>
  <c r="I28" i="5" s="1"/>
  <c r="H26" i="5"/>
  <c r="H24" i="5"/>
  <c r="H23" i="5"/>
  <c r="H33" i="5"/>
  <c r="H31" i="5"/>
  <c r="H20" i="5"/>
  <c r="H29" i="5"/>
  <c r="H34" i="5"/>
  <c r="H22" i="5"/>
  <c r="H27" i="5"/>
  <c r="I21" i="5" l="1"/>
  <c r="J21" i="5" s="1"/>
  <c r="K21" i="5" s="1"/>
  <c r="K32" i="5"/>
  <c r="K30" i="5"/>
  <c r="I22" i="5"/>
  <c r="J22" i="5" s="1"/>
  <c r="I27" i="5"/>
  <c r="I29" i="5"/>
  <c r="J29" i="5" s="1"/>
  <c r="I20" i="5"/>
  <c r="J20" i="5" s="1"/>
  <c r="I34" i="5"/>
  <c r="J34" i="5" s="1"/>
  <c r="I31" i="5"/>
  <c r="J31" i="5" s="1"/>
  <c r="I33" i="5"/>
  <c r="J33" i="5" s="1"/>
  <c r="I23" i="5"/>
  <c r="J23" i="5" s="1"/>
  <c r="I24" i="5"/>
  <c r="I26" i="5"/>
  <c r="L22" i="5" l="1"/>
  <c r="K22" i="5"/>
  <c r="L33" i="5"/>
  <c r="K33" i="5"/>
  <c r="L34" i="5"/>
  <c r="K34" i="5"/>
  <c r="L20" i="5"/>
  <c r="K20" i="5"/>
  <c r="L29" i="5"/>
  <c r="K29" i="5"/>
  <c r="L23" i="5"/>
  <c r="K23" i="5"/>
  <c r="L21" i="5"/>
  <c r="L30" i="5"/>
  <c r="L31" i="5"/>
  <c r="K31" i="5"/>
  <c r="L32" i="5"/>
  <c r="M32" i="5" l="1"/>
  <c r="M20" i="5"/>
  <c r="M34" i="5"/>
  <c r="M30" i="5"/>
  <c r="F11" i="5"/>
  <c r="E11" i="5"/>
  <c r="D11" i="5"/>
  <c r="G11" i="5" s="1"/>
  <c r="C11" i="5"/>
  <c r="B11" i="5"/>
  <c r="M23" i="5"/>
  <c r="M21" i="5"/>
  <c r="M29" i="5"/>
  <c r="F15" i="5"/>
  <c r="E15" i="5"/>
  <c r="D15" i="5"/>
  <c r="G15" i="5" s="1"/>
  <c r="C15" i="5"/>
  <c r="B15" i="5"/>
  <c r="M33" i="5"/>
  <c r="M31" i="5"/>
  <c r="M22" i="5"/>
  <c r="J25" i="5" l="1"/>
  <c r="J28" i="5"/>
  <c r="J24" i="5"/>
  <c r="J27" i="5"/>
  <c r="J26" i="5"/>
  <c r="K24" i="5"/>
  <c r="K25" i="5"/>
  <c r="K26" i="5"/>
  <c r="K27" i="5"/>
  <c r="K28" i="5"/>
  <c r="L26" i="5" l="1"/>
  <c r="L27" i="5"/>
  <c r="L28" i="5"/>
  <c r="M24" i="5"/>
  <c r="M28" i="5"/>
  <c r="M27" i="5"/>
  <c r="M26" i="5"/>
  <c r="M25" i="5"/>
  <c r="L25" i="5"/>
  <c r="L24" i="5"/>
  <c r="D12" i="5" l="1"/>
  <c r="G12" i="5" s="1"/>
  <c r="D14" i="5" s="1"/>
  <c r="C12" i="5"/>
  <c r="B12" i="5"/>
  <c r="F12" i="5" s="1"/>
  <c r="D13" i="5" l="1"/>
  <c r="E12" i="5"/>
  <c r="B14" i="5"/>
  <c r="B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8" authorId="0" shapeId="0" xr:uid="{00000000-0006-0000-0100-000001000000}">
      <text>
        <r>
          <rPr>
            <sz val="10"/>
            <rFont val="Arial"/>
            <family val="2"/>
          </rPr>
          <t>Procurement Act 2023 (Threshold Amounts) (Amendment) Regulations 2025, from 1 Jan 2026. Next review expected 1 Jan 2028.</t>
        </r>
      </text>
    </comment>
  </commentList>
</comments>
</file>

<file path=xl/sharedStrings.xml><?xml version="1.0" encoding="utf-8"?>
<sst xmlns="http://schemas.openxmlformats.org/spreadsheetml/2006/main" count="596" uniqueCount="408">
  <si>
    <t>Projento — Procurement Reference v2</t>
  </si>
  <si>
    <t>Version</t>
  </si>
  <si>
    <t>Purpose</t>
  </si>
  <si>
    <t>Gives each feasibility report a preferred and an alternative option for four procurement decisions, driven by four project drivers.</t>
  </si>
  <si>
    <t>DRIVERS (inputs)</t>
  </si>
  <si>
    <t>Value</t>
  </si>
  <si>
    <t>Construction cost excl. VAT — from the NRM1 workbook (mid-point).</t>
  </si>
  <si>
    <t>Duration</t>
  </si>
  <si>
    <t>Construction duration in weeks — from the Programme workbook.</t>
  </si>
  <si>
    <t>Risk</t>
  </si>
  <si>
    <t>Number of risks rated High in the report's risk register.</t>
  </si>
  <si>
    <t>Client top priority</t>
  </si>
  <si>
    <t>Q4.4 — the one thing that matters most.</t>
  </si>
  <si>
    <t>OUTPUTS</t>
  </si>
  <si>
    <t>Procurement route</t>
  </si>
  <si>
    <t>Traditional · Design and build · Two-stage (PCSA) · Construction management</t>
  </si>
  <si>
    <t>Commercial model</t>
  </si>
  <si>
    <t>Lump sum · GMP · Target cost · Remeasurement · Cost reimbursable</t>
  </si>
  <si>
    <t>Route to market</t>
  </si>
  <si>
    <t>Quotations · Open tender · Selective tender · Framework mini-competition · Framework direct award · Negotiated</t>
  </si>
  <si>
    <t>Contract type</t>
  </si>
  <si>
    <t>JCT form and the NEC4 equivalent</t>
  </si>
  <si>
    <t>HOW THE APP DECIDES</t>
  </si>
  <si>
    <t>1. Set levels</t>
  </si>
  <si>
    <t>For each driver, take the highest level in tab 1 whose 'From' the project meets.</t>
  </si>
  <si>
    <t>2. Score</t>
  </si>
  <si>
    <t>For each option in tab 2, read the four scores for those levels: 2 = good fit, 1 = possible, 0 = poor fit, X = not suitable (drop the option). Score = value + duration + risk + (2 × priority). Weights are in tab 1; maximum score is 10.</t>
  </si>
  <si>
    <t>3. Client filter</t>
  </si>
  <si>
    <t>Drop 'Public only' options for private clients and 'Private only' options for public clients.</t>
  </si>
  <si>
    <t>4. Procurement route</t>
  </si>
  <si>
    <t>Highest score = Preferred; second = Alternative. A tie goes to the option listed first.</t>
  </si>
  <si>
    <t>5. Commercial model</t>
  </si>
  <si>
    <t>Score only the models whose 'Works with routes' includes the route. Pick the best for the preferred route and the best for the alternative route.</t>
  </si>
  <si>
    <t>6. Contract type</t>
  </si>
  <si>
    <t>Look up route + model in tab 3. Use the JCT column for the value band and show the NEC4 option alongside.</t>
  </si>
  <si>
    <t>7. Route to market</t>
  </si>
  <si>
    <t>Highest score = Preferred; second = Alternative.</t>
  </si>
  <si>
    <t>8. Report text</t>
  </si>
  <si>
    <t>Build the section from the 'What it is', 'Best when' and 'Watch-outs' cells. The AI must not name any option or contract that is not in this workbook.</t>
  </si>
  <si>
    <t>CHECK TAB</t>
  </si>
  <si>
    <t>Tab 4 runs the same rules with formulas. Change the yellow cells to test any project. The app does not read tab 4.</t>
  </si>
  <si>
    <t>APP CHANGES NEEDED</t>
  </si>
  <si>
    <t>Top priority</t>
  </si>
  <si>
    <t>Q4.4 is multi-select. Add a follow-up: 'Which ONE matters most?' using the same seven options.</t>
  </si>
  <si>
    <t>Client type</t>
  </si>
  <si>
    <t>Add 'Is the client a public-sector body?' (Yes / No). Framework options are shown only when Yes.</t>
  </si>
  <si>
    <t>Wiring</t>
  </si>
  <si>
    <t>Add env var PROCUREMENT_FILE_URL and include this file in /api/rates-check.</t>
  </si>
  <si>
    <t>Editing</t>
  </si>
  <si>
    <t>Level names in tab 1 column C must match the score column headings in tab 2 exactly.</t>
  </si>
  <si>
    <t>BASIS</t>
  </si>
  <si>
    <t>Works threshold</t>
  </si>
  <si>
    <t>£5,193,000 incl. VAT — Procurement Act 2023 (Threshold Amounts) (Amendment) Regulations 2025, for procurements started from 1 January 2026.</t>
  </si>
  <si>
    <t>Scores and contract mapping</t>
  </si>
  <si>
    <t>Standard UK practice (JCT and NEC4 guidance, RICS and RIBA procurement guidance) applied by Claude. Review with a QS or procurement lead before relying on them.</t>
  </si>
  <si>
    <t>Contract editions</t>
  </si>
  <si>
    <t>Use the current edition of each form (JCT 2024 editions where published).</t>
  </si>
  <si>
    <t>Disclaimer</t>
  </si>
  <si>
    <t>Guidance for RIBA Stage 0–1 feasibility only. Not legal or procurement advice.</t>
  </si>
  <si>
    <t>Driver</t>
  </si>
  <si>
    <t>Code</t>
  </si>
  <si>
    <t>Level (column name in tab 2)</t>
  </si>
  <si>
    <t>From (project value is at least)</t>
  </si>
  <si>
    <t>Questionnaire answer / meaning</t>
  </si>
  <si>
    <t>Source in the app</t>
  </si>
  <si>
    <t>V1</t>
  </si>
  <si>
    <t>V1 Under £1m</t>
  </si>
  <si>
    <t>Construction cost excl. VAT (£)</t>
  </si>
  <si>
    <t>NRM1 workbook — construction cost mid-point, excl. VAT</t>
  </si>
  <si>
    <t>V2</t>
  </si>
  <si>
    <t>V2 £1m to threshold</t>
  </si>
  <si>
    <t>V3</t>
  </si>
  <si>
    <t>V3 Threshold to £20m</t>
  </si>
  <si>
    <t>V4</t>
  </si>
  <si>
    <t>V4 Over £20m</t>
  </si>
  <si>
    <t>D1</t>
  </si>
  <si>
    <t>D1 Up to 26 wks</t>
  </si>
  <si>
    <t>Construction duration (weeks)</t>
  </si>
  <si>
    <t>Programme workbook — construction duration</t>
  </si>
  <si>
    <t>D2</t>
  </si>
  <si>
    <t>D2 27–52 wks</t>
  </si>
  <si>
    <t>D3</t>
  </si>
  <si>
    <t>D3 Over 52 wks</t>
  </si>
  <si>
    <t>R1</t>
  </si>
  <si>
    <t>R1 Low</t>
  </si>
  <si>
    <t>0–1 risks rated High</t>
  </si>
  <si>
    <t>Report risk register — count of risks rated High</t>
  </si>
  <si>
    <t>R2</t>
  </si>
  <si>
    <t>R2 Medium</t>
  </si>
  <si>
    <t>2–3 risks rated High</t>
  </si>
  <si>
    <t>R3</t>
  </si>
  <si>
    <t>R3 High</t>
  </si>
  <si>
    <t>4 or more risks rated High</t>
  </si>
  <si>
    <t>P1</t>
  </si>
  <si>
    <t>P1 Lowest cost</t>
  </si>
  <si>
    <t>Lowest cost</t>
  </si>
  <si>
    <t>Q4.4 — the one that matters most</t>
  </si>
  <si>
    <t>P2</t>
  </si>
  <si>
    <t>P2 Fixed/certain final cost</t>
  </si>
  <si>
    <t>Fixed/certain final cost</t>
  </si>
  <si>
    <t>P3</t>
  </si>
  <si>
    <t>P3 Speed</t>
  </si>
  <si>
    <t>Speed</t>
  </si>
  <si>
    <t>P4</t>
  </si>
  <si>
    <t>P4 Design quality</t>
  </si>
  <si>
    <t>Design quality</t>
  </si>
  <si>
    <t>P5</t>
  </si>
  <si>
    <t>P5 Flexibility</t>
  </si>
  <si>
    <t>Flexibility</t>
  </si>
  <si>
    <t>P6</t>
  </si>
  <si>
    <t>P6 Minimise disruption</t>
  </si>
  <si>
    <t>Minimise disruption</t>
  </si>
  <si>
    <t>P7</t>
  </si>
  <si>
    <t>P7 Funder/compliance requirement</t>
  </si>
  <si>
    <t>Funder/compliance requirement</t>
  </si>
  <si>
    <t>WEIGHTS</t>
  </si>
  <si>
    <t>Weight — Value</t>
  </si>
  <si>
    <t>Weight — Duration</t>
  </si>
  <si>
    <t>Weight — Risk</t>
  </si>
  <si>
    <t>Weight — Client top priority</t>
  </si>
  <si>
    <t>Priority counts double: it is the client's explicit steer.</t>
  </si>
  <si>
    <t>KEY FIGURE</t>
  </si>
  <si>
    <t>Works threshold incl. VAT (£)</t>
  </si>
  <si>
    <t>Legal threshold for public works contracts. Review every two years.</t>
  </si>
  <si>
    <t>Works threshold excl. VAT (£)</t>
  </si>
  <si>
    <t>Used as the start of value level V3.</t>
  </si>
  <si>
    <t>ID</t>
  </si>
  <si>
    <t>Output</t>
  </si>
  <si>
    <t>Option</t>
  </si>
  <si>
    <t>What it is</t>
  </si>
  <si>
    <t>Best when</t>
  </si>
  <si>
    <t>Watch-outs</t>
  </si>
  <si>
    <t>Works with routes</t>
  </si>
  <si>
    <t>Client</t>
  </si>
  <si>
    <t>PR1</t>
  </si>
  <si>
    <t>Traditional</t>
  </si>
  <si>
    <t>The client's design team completes the design; contractors then price and build it. The client keeps design control.</t>
  </si>
  <si>
    <t>Design can be completed before tender; cost certainty and design quality matter more than speed.</t>
  </si>
  <si>
    <t>Slowest route to site. Gaps in the design become client variations. Little contractor input to buildability.</t>
  </si>
  <si>
    <t>All</t>
  </si>
  <si>
    <t>PR2</t>
  </si>
  <si>
    <t>The client sets its requirements; one contractor designs and builds for an agreed price. The client's designers may be novated to the contractor.</t>
  </si>
  <si>
    <t>Requirements are clear and the client wants one point of responsibility and price certainty.</t>
  </si>
  <si>
    <t>Quality depends on how well the requirements are written. Less control of detail. Changes after award are expensive.</t>
  </si>
  <si>
    <t>PR3</t>
  </si>
  <si>
    <t>A contractor is appointed early under a pre-construction services agreement on fees and prelims, helps develop the design, then prices the works open-book for the second stage.</t>
  </si>
  <si>
    <t>Complex, occupied or phased work, or poor existing information, where early contractor input to sequencing and buildability pays off.</t>
  </si>
  <si>
    <t>Less price competition at the second stage. Needs a strong cost consultant to test the price. Scope creep if not controlled.</t>
  </si>
  <si>
    <t>PR4</t>
  </si>
  <si>
    <t>The client contracts directly with each trade contractor; a construction manager is paid a fee to manage them.</t>
  </si>
  <si>
    <t>Large, complex or fast-track projects where the client is experienced and wants direct control of quality and change.</t>
  </si>
  <si>
    <t>The client carries most of the cost and interface risk. No overall price until the last package is let. Needs an experienced client team.</t>
  </si>
  <si>
    <t>X</t>
  </si>
  <si>
    <t>CM1</t>
  </si>
  <si>
    <t>Lump sum</t>
  </si>
  <si>
    <t>One agreed price for a defined scope; the contractor carries the risk of its own pricing.</t>
  </si>
  <si>
    <t>Scope and design are well defined and the client wants a firm price at award.</t>
  </si>
  <si>
    <t>Unclear or changing scope leads to variations and claims. Contractors add risk allowances where information is poor.</t>
  </si>
  <si>
    <t>PR1; PR2; PR3</t>
  </si>
  <si>
    <t>CM2</t>
  </si>
  <si>
    <t>Guaranteed maximum price (GMP)</t>
  </si>
  <si>
    <t>The contractor guarantees a ceiling price; the client usually shares any saving below it.</t>
  </si>
  <si>
    <t>Larger design and build work where the client needs a firm upper limit before the design is complete.</t>
  </si>
  <si>
    <t>Contractors price the cap with a risk premium. No standard form — needs legal amendments. Define clearly what can move the cap.</t>
  </si>
  <si>
    <t>PR2; PR3</t>
  </si>
  <si>
    <t>CM3</t>
  </si>
  <si>
    <t>Target cost</t>
  </si>
  <si>
    <t>A target price is agreed; the contractor is paid actual cost plus fee, and overruns or savings are shared by an agreed formula.</t>
  </si>
  <si>
    <t>Uncertain or evolving scope where client and contractor work together to control cost.</t>
  </si>
  <si>
    <t>No firm final price. Needs open-book cost auditing and an experienced client team.</t>
  </si>
  <si>
    <t>CM4</t>
  </si>
  <si>
    <t>Remeasurement</t>
  </si>
  <si>
    <t>Priced against approximate quantities or a schedule of rates; the work is measured as built and paid at the tendered rates.</t>
  </si>
  <si>
    <t>The type of work is known but not its quantity — repairs, refurbishment with hidden conditions, or rolling programmes.</t>
  </si>
  <si>
    <t>Final cost is only known at the end. Needs a reliable estimate of quantities and regular measurement.</t>
  </si>
  <si>
    <t>CM5</t>
  </si>
  <si>
    <t>Cost reimbursable</t>
  </si>
  <si>
    <t>The contractor is paid its actual costs plus an agreed fee.</t>
  </si>
  <si>
    <t>Urgent work that cannot be defined in time to price, or management-led routes.</t>
  </si>
  <si>
    <t>Lowest cost certainty and weakest incentive to save. Needs tight cost control and auditing.</t>
  </si>
  <si>
    <t>PR1; PR4</t>
  </si>
  <si>
    <t>RM1</t>
  </si>
  <si>
    <t>Quotations</t>
  </si>
  <si>
    <t>Written quotations from at least three suitable contractors against a clear specification.</t>
  </si>
  <si>
    <t>Low-value, simple, well-defined work within the client's standing-order limit.</t>
  </si>
  <si>
    <t>Only within standing-order limits (often £50k–£250k). A weak specification leads to disputes. CDM duties still apply.</t>
  </si>
  <si>
    <t>RM2</t>
  </si>
  <si>
    <t>Open tender</t>
  </si>
  <si>
    <t>Advertised publicly; any contractor meeting the conditions may bid.</t>
  </si>
  <si>
    <t>The client wants maximum competition and a transparent audit trail.</t>
  </si>
  <si>
    <t>Slowest route. Many bids to evaluate. Public bodies above the threshold must follow the Procurement Act 2023.</t>
  </si>
  <si>
    <t>RM3</t>
  </si>
  <si>
    <t>Selective tender</t>
  </si>
  <si>
    <t>A shortlist of 4–6 suitable contractors is invited to tender.</t>
  </si>
  <si>
    <t>The client wants competition among contractors of proven capability.</t>
  </si>
  <si>
    <t>Public bodies above the threshold need a compliant procedure (e.g. competitive flexible) to shortlist. Prequalification takes time.</t>
  </si>
  <si>
    <t>RM4</t>
  </si>
  <si>
    <t>Framework — mini-competition</t>
  </si>
  <si>
    <t>A competition among contractors already appointed to a public-sector framework.</t>
  </si>
  <si>
    <t>Public clients who want competition with pre-vetted contractors and standard terms, faster than an open tender.</t>
  </si>
  <si>
    <t>Public and eligible bodies only. Check the lot's scope, value band, region and expiry. Framework fees may apply.</t>
  </si>
  <si>
    <t>Public only</t>
  </si>
  <si>
    <t>RM5</t>
  </si>
  <si>
    <t>Framework — direct award</t>
  </si>
  <si>
    <t>Direct appointment of one framework contractor, where the framework rules allow.</t>
  </si>
  <si>
    <t>Speed is critical, or early engagement with a proven contractor is needed (often with two-stage).</t>
  </si>
  <si>
    <t>Public and eligible bodies only. Less price competition — needs a strong cost consultant. Must follow the framework's award rules.</t>
  </si>
  <si>
    <t>RM6</t>
  </si>
  <si>
    <t>Negotiated</t>
  </si>
  <si>
    <t>The client negotiates directly with one chosen contractor.</t>
  </si>
  <si>
    <t>Private clients with a trusted contractor, urgent work, or a follow-on phase.</t>
  </si>
  <si>
    <t>No competition, so value must be tested by a cost consultant. Not normally open to public bodies.</t>
  </si>
  <si>
    <t>Private only</t>
  </si>
  <si>
    <t>Scores: 2 = good fit · 1 = possible · 0 = poor fit · X = not suitable. Basis: standard UK practice applied by Claude — review before relying on it.</t>
  </si>
  <si>
    <t>Key (route|model)</t>
  </si>
  <si>
    <t>Route + commercial model</t>
  </si>
  <si>
    <t>JCT — V2 £1m to threshold</t>
  </si>
  <si>
    <t>JCT — V3/V4 above threshold</t>
  </si>
  <si>
    <t>NEC4 equivalent</t>
  </si>
  <si>
    <t>Notes</t>
  </si>
  <si>
    <t>PR1|CM1</t>
  </si>
  <si>
    <t>Traditional + Lump sum</t>
  </si>
  <si>
    <t>JCT Minor Works (MW) for simple work; JCT Intermediate (IC) if more complex</t>
  </si>
  <si>
    <t>JCT Intermediate (IC); ICD where the contractor designs part (e.g. M&amp;E)</t>
  </si>
  <si>
    <t>JCT Standard Building Contract with Quantities (SBC/Q) or without Quantities (SBC/XQ)</t>
  </si>
  <si>
    <t>ECC Option A (priced contract with activity schedule); ECSC for simple low-value work</t>
  </si>
  <si>
    <t>Tender on a full specification or bills of quantities.</t>
  </si>
  <si>
    <t>PR1|CM3</t>
  </si>
  <si>
    <t>Traditional + Target cost</t>
  </si>
  <si>
    <t>Not typical at this value</t>
  </si>
  <si>
    <t>JCT Constructing Excellence (CE) with target cost</t>
  </si>
  <si>
    <t>ECC Option C (target, activity schedule) or Option D (target, bill of quantities)</t>
  </si>
  <si>
    <t>Open-book cost auditing needed.</t>
  </si>
  <si>
    <t>PR1|CM4</t>
  </si>
  <si>
    <t>Traditional + Remeasurement</t>
  </si>
  <si>
    <t>JCT Measured Term Contract (MTC) for a programme of small works; otherwise SBC with Approximate Quantities (SBC/AQ)</t>
  </si>
  <si>
    <t>JCT SBC with Approximate Quantities (SBC/AQ)</t>
  </si>
  <si>
    <t>ECC Option B (priced contract with bill of quantities); Term Service Contract (TSC) for a programme</t>
  </si>
  <si>
    <t>Regular measurement needed through the works.</t>
  </si>
  <si>
    <t>PR1|CM5</t>
  </si>
  <si>
    <t>Traditional + Cost reimbursable</t>
  </si>
  <si>
    <t>JCT Prime Cost Building Contract (PCC)</t>
  </si>
  <si>
    <t>ECC Option E (cost reimbursable)</t>
  </si>
  <si>
    <t>Use only for urgent or undefinable work; needs tight cost control.</t>
  </si>
  <si>
    <t>PR2|CM1</t>
  </si>
  <si>
    <t>Design and build + Lump sum</t>
  </si>
  <si>
    <t>JCT Minor Works with Contractor's Design (MWD)</t>
  </si>
  <si>
    <t>JCT Design and Build (DB); ICD where the contractor designs only part</t>
  </si>
  <si>
    <t>JCT Design and Build (DB)</t>
  </si>
  <si>
    <t>ECC Option A with contractor's design</t>
  </si>
  <si>
    <t>Quality depends on the Employer's Requirements.</t>
  </si>
  <si>
    <t>PR2|CM2</t>
  </si>
  <si>
    <t>Design and build + GMP</t>
  </si>
  <si>
    <t>JCT Design and Build (DB) with GMP amendments</t>
  </si>
  <si>
    <t>ECC Option C with a price cap (bespoke Z clause)</t>
  </si>
  <si>
    <t>No standard GMP form — amendments need legal input.</t>
  </si>
  <si>
    <t>PR2|CM3</t>
  </si>
  <si>
    <t>Design and build + Target cost</t>
  </si>
  <si>
    <t>JCT Constructing Excellence (CE) with contractor's design and target cost</t>
  </si>
  <si>
    <t>ECC Option C with contractor's design</t>
  </si>
  <si>
    <t>PR3|CM1</t>
  </si>
  <si>
    <t>Two-stage + Lump sum</t>
  </si>
  <si>
    <t>JCT Pre-Construction Services Agreement (PCSA), then JCT DB (or SBC)</t>
  </si>
  <si>
    <t>First stage under NEC4 Professional Service Contract (PSC); construction under ECC Option A</t>
  </si>
  <si>
    <t>Test the second-stage price against benchmarks before signing.</t>
  </si>
  <si>
    <t>PR3|CM2</t>
  </si>
  <si>
    <t>Two-stage + GMP</t>
  </si>
  <si>
    <t>JCT PCSA, then JCT DB with GMP amendments</t>
  </si>
  <si>
    <t>ECC Option C with Option X22 (early contractor involvement) and a price cap (Z clause)</t>
  </si>
  <si>
    <t>PR3|CM3</t>
  </si>
  <si>
    <t>Two-stage + Target cost</t>
  </si>
  <si>
    <t>JCT PCSA, then JCT Constructing Excellence (CE) with target cost</t>
  </si>
  <si>
    <t>ECC Option C with Option X22 (early contractor involvement)</t>
  </si>
  <si>
    <t>Common NEC4 model for complex public work.</t>
  </si>
  <si>
    <t>PR4|CM5</t>
  </si>
  <si>
    <t>Construction management + Cost reimbursable</t>
  </si>
  <si>
    <t>JCT Construction Management Appointment (CM/A) and Trade Contracts (CM/TC); or JCT Management Building Contract (MC)</t>
  </si>
  <si>
    <t>PSC for the construction manager and ECC for each trade package; or ECC Option F (management contract)</t>
  </si>
  <si>
    <t>Trade packages are usually lump sum; the overall cost is not fixed until the last package is let.</t>
  </si>
  <si>
    <t>Check — test any project</t>
  </si>
  <si>
    <t>Change the yellow cells. Same rules as the app; the app does not read this tab.</t>
  </si>
  <si>
    <t>Input</t>
  </si>
  <si>
    <t>Level</t>
  </si>
  <si>
    <t>Construction cost (£, excl. VAT)</t>
  </si>
  <si>
    <t>Number of risks rated High in the risk register</t>
  </si>
  <si>
    <t>Client top priority (Q4.4)</t>
  </si>
  <si>
    <t>Public-sector client?</t>
  </si>
  <si>
    <t>Preferred</t>
  </si>
  <si>
    <t>Score</t>
  </si>
  <si>
    <t>Alternative</t>
  </si>
  <si>
    <t>Pref. ID</t>
  </si>
  <si>
    <t>Alt. ID</t>
  </si>
  <si>
    <t>Contract — JCT</t>
  </si>
  <si>
    <t>Contract — NEC4</t>
  </si>
  <si>
    <t>WORKINGS</t>
  </si>
  <si>
    <t>Priority</t>
  </si>
  <si>
    <t>Excluded</t>
  </si>
  <si>
    <t>Rank score (pref.)</t>
  </si>
  <si>
    <t>Rank score (alt.)</t>
  </si>
  <si>
    <t>Rank (pref.)</t>
  </si>
  <si>
    <t>Rank (alt.)</t>
  </si>
  <si>
    <t>No</t>
  </si>
  <si>
    <t>V0</t>
  </si>
  <si>
    <t>V0 Under £100k</t>
  </si>
  <si>
    <t>Project types</t>
  </si>
  <si>
    <t>External works only</t>
  </si>
  <si>
    <t>JCT — V0/V1 under £1m</t>
  </si>
  <si>
    <t>PROCUREMENT ROUTES AND THEIR CONTRACTS — RIBA Plan of Work 2020</t>
  </si>
  <si>
    <t>Route (RIBA)</t>
  </si>
  <si>
    <t>Contractor brought in</t>
  </si>
  <si>
    <t>Contract</t>
  </si>
  <si>
    <t>Form</t>
  </si>
  <si>
    <t>Use it when</t>
  </si>
  <si>
    <t>Programme effect</t>
  </si>
  <si>
    <t>Tender at the end of Stage 4</t>
  </si>
  <si>
    <t>Minor Works Building Contract (MW)</t>
  </si>
  <si>
    <t>JCT</t>
  </si>
  <si>
    <t>Simple work fully designed by the client's team; refurbishment, fit-out or external works; no specialist design</t>
  </si>
  <si>
    <t>Up to £1m</t>
  </si>
  <si>
    <t>Stage 3 and Stage 4 combined into one short design-and-specification stage</t>
  </si>
  <si>
    <t>Minor Works with Contractor's Design (MWD)</t>
  </si>
  <si>
    <t>As MW, where the contractor designs one named part (e.g. ventilation)</t>
  </si>
  <si>
    <t>As MW</t>
  </si>
  <si>
    <t>Engineering and Construction Short Contract (ECS)</t>
  </si>
  <si>
    <t>NEC4</t>
  </si>
  <si>
    <t>Simple, low-risk work (NEC4 equivalent of MW)</t>
  </si>
  <si>
    <t>Intermediate Building Contract (IC)</t>
  </si>
  <si>
    <t>Medium-sized work fully designed by the client's team</t>
  </si>
  <si>
    <t>£1m to threshold</t>
  </si>
  <si>
    <t>None</t>
  </si>
  <si>
    <t>Intermediate with Contractor's Design (ICD) — CDP option</t>
  </si>
  <si>
    <t>As IC, where the contractor designs named parts (services, cladding, roofing systems)</t>
  </si>
  <si>
    <t>Client's Stage 4 shorter (named parts by performance specification)</t>
  </si>
  <si>
    <t>Standard Building Contract with / without Quantities (SBC)</t>
  </si>
  <si>
    <t>Large or complex work fully designed by the client</t>
  </si>
  <si>
    <t>Above threshold</t>
  </si>
  <si>
    <t>Standard Building Contract with Contractor's Designed Portion (SBC + CDP) — CDP option</t>
  </si>
  <si>
    <t>As SBC, where the contractor designs named parts</t>
  </si>
  <si>
    <t>Client's Stage 4 shorter</t>
  </si>
  <si>
    <t>Engineering and Construction Contract (ECC) Option A or B</t>
  </si>
  <si>
    <t>Priced contract with activity schedule (A) or bill of quantities (B)</t>
  </si>
  <si>
    <t>Any</t>
  </si>
  <si>
    <t>Measured Term Contract (MTC) / Prime Cost (PCC)</t>
  </si>
  <si>
    <t>Repeat or term works (MTC); urgent or undefined work (PCC)</t>
  </si>
  <si>
    <t>Design &amp; Build 1 Stage</t>
  </si>
  <si>
    <t>Employer's Requirements at the end of Stage 3; contractor appointed at the start of Stage 4</t>
  </si>
  <si>
    <t>Design and Build Contract (DB)</t>
  </si>
  <si>
    <t>Client can state clear requirements; one point of responsibility</t>
  </si>
  <si>
    <t>£1m and above</t>
  </si>
  <si>
    <t>Tender after Stage 3; the contractor does Stage 4 after award, then builds</t>
  </si>
  <si>
    <t>Employer's Requirements at the end of Stage 3</t>
  </si>
  <si>
    <t>Small design and build work</t>
  </si>
  <si>
    <t>As DB</t>
  </si>
  <si>
    <t>NEC4 equivalent of DB</t>
  </si>
  <si>
    <t>Design &amp; Build 2 Stage</t>
  </si>
  <si>
    <t>Employer's Requirements at the end of Stage 2; contractor under a PCSA through Stage 3; price agreed and appointed at the start of Stage 4</t>
  </si>
  <si>
    <t>Pre-Construction Services Agreement (PCSA), then DB or Constructing Excellence (CE)</t>
  </si>
  <si>
    <t>Complex or time-critical projects needing early contractor input</t>
  </si>
  <si>
    <t>First-stage tender after Stage 2 alongside Stage 3; second-stage price at the end of Stage 3; contractor does Stage 4, then builds</t>
  </si>
  <si>
    <t>As above</t>
  </si>
  <si>
    <t>NEC4 equivalent, target cost</t>
  </si>
  <si>
    <t>Management Contract / Construction Management</t>
  </si>
  <si>
    <t>Contractor appointed at the end of Stage 2</t>
  </si>
  <si>
    <t>Management Building Contract (MC) / Construction Management Appointment + trade contracts</t>
  </si>
  <si>
    <t>Large, complex projects designed and let package by package</t>
  </si>
  <si>
    <t>Appointment after Stage 2 alongside Stage 3; packages tendered during Stage 4; site work after Stage 4</t>
  </si>
  <si>
    <t>ECC Option F (management contract)</t>
  </si>
  <si>
    <t>No overlap</t>
  </si>
  <si>
    <t>Owner (11 Oct 2026): work on site starts only when Stage 4 is complete, on every route. Contractor-led is not offered.</t>
  </si>
  <si>
    <t>▶ contract_rules</t>
  </si>
  <si>
    <t>Read by the app. Within the Traditional route: Minor Works (MW, or MWD with one specialist item) when every MW rule holds; otherwise the CDP option when the scope has at least CDP-SERVICES-MIN services items. Lists are separated by ";".</t>
  </si>
  <si>
    <t>Rule</t>
  </si>
  <si>
    <t>Meaning</t>
  </si>
  <si>
    <t>MW-VALUE-MAX</t>
  </si>
  <si>
    <t>Construction cost below this (£, excl. VAT) — owner, 11 Oct 2026</t>
  </si>
  <si>
    <t>MW-SIZE-MAX</t>
  </si>
  <si>
    <t>Floor area (Q1.5, m²) at or below this — owner, 11 Oct 2026</t>
  </si>
  <si>
    <t>MW-PROJECT-TYPES</t>
  </si>
  <si>
    <t>Refurbishment; Fit-out; External works only</t>
  </si>
  <si>
    <t>Project types (Q1.2) that can use Minor Works</t>
  </si>
  <si>
    <t>MW-EXCLUDE-LEVELS</t>
  </si>
  <si>
    <t>Reconfiguration or full redesign</t>
  </si>
  <si>
    <t>Levels of intervention (Q2.2) that rule Minor Works out</t>
  </si>
  <si>
    <t>MW-SPECIALIST</t>
  </si>
  <si>
    <t>Laboratory; Clinical; Cleanroom; Medical gases; Fume extraction; Lifts; Sprinklers; Smoke ventilation</t>
  </si>
  <si>
    <t>Scope items needing specialist design: none = MW, exactly one = MWD, more = not Minor Works</t>
  </si>
  <si>
    <t>MW-JCT</t>
  </si>
  <si>
    <t>JCT Minor Works Building Contract (MW)</t>
  </si>
  <si>
    <t>Contract shown for Minor Works</t>
  </si>
  <si>
    <t>MWD-JCT</t>
  </si>
  <si>
    <t>JCT Minor Works Building Contract with Contractor's Design (MWD)</t>
  </si>
  <si>
    <t>Contract shown when one specialist item is contractor-designed</t>
  </si>
  <si>
    <t>MW-NEC4</t>
  </si>
  <si>
    <t>NEC4 Engineering and Construction Short Contract (ECS)</t>
  </si>
  <si>
    <t>NEC4 equivalent for Minor Works</t>
  </si>
  <si>
    <t>CDP-SERVICES-MIN</t>
  </si>
  <si>
    <t>Services (Group 5) items in the scope at or above which the CDP option is used</t>
  </si>
  <si>
    <t>CDP-JCT-BELOW</t>
  </si>
  <si>
    <t>JCT Intermediate Building Contract with Contractor's Design (ICD)</t>
  </si>
  <si>
    <t>CDP contract below the works threshold</t>
  </si>
  <si>
    <t>CDP-JCT-ABOVE</t>
  </si>
  <si>
    <t>JCT Standard Building Contract with Contractor's Designed Portion (SBC + CDP)</t>
  </si>
  <si>
    <t>CDP contract at or above the works threshold</t>
  </si>
  <si>
    <t>CDP-NEC4</t>
  </si>
  <si>
    <t>NEC4 ECC Option A with contractor's design of named parts</t>
  </si>
  <si>
    <t>NEC4 equivalent for the CDP option</t>
  </si>
  <si>
    <t>The route decides WHEN the contractor is brought in and who designs; the contract is chosen WITHIN the route; the route to market (tab 2) decides how long the tender takes. The table above is reference; the app reads the ▶ contract_rules table below. The programme timing for each route is on the Programme workbook's 'Procurement' sheet.</t>
  </si>
  <si>
    <t>2.3 · 11 October 2026 · Nabil Kayali · replaces v2.2 (routes renamed to the RIBA Plan of Work 2020: Design &amp; Build 1 Stage, Design &amp; Build 2 Stage, Management Contract / Construction Management; tab 5 gains the ▶ contract_rules table the app reads — Minor Works (MW / MWD / NEC4 ECS) under £1m and up to 500 m², and the CDP option under Traditional). Scores and tab 3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</si>
</sst>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00"/>
  </numFmts>
  <fonts count="11" x14ac:knownFonts="1">
    <font>
      <sz val="11"/>
      <color theme="1"/>
      <name val="Calibri"/>
      <family val="2"/>
      <charset val="1"/>
    </font>
    <font>
      <b/>
      <sz val="14"/>
      <color rgb="FF1A2E4A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1A2E4A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i/>
      <sz val="9"/>
      <name val="Arial"/>
      <charset val="1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F4F1EA"/>
        <bgColor rgb="FFFFFFFF"/>
      </patternFill>
    </fill>
    <fill>
      <patternFill patternType="solid">
        <fgColor rgb="FFFFF2B3"/>
        <bgColor rgb="FFFFFF99"/>
      </patternFill>
    </fill>
    <fill>
      <patternFill patternType="solid">
        <fgColor rgb="FF1A2E4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4C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" fontId="6" fillId="3" borderId="1" xfId="0" applyNumberFormat="1" applyFont="1" applyFill="1" applyBorder="1" applyAlignment="1">
      <alignment vertical="top" wrapText="1"/>
    </xf>
    <xf numFmtId="1" fontId="6" fillId="0" borderId="1" xfId="0" applyNumberFormat="1" applyFont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/>
    <xf numFmtId="164" fontId="6" fillId="0" borderId="0" xfId="0" applyNumberFormat="1" applyFont="1"/>
    <xf numFmtId="164" fontId="2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8" fillId="0" borderId="0" xfId="0" applyFont="1"/>
    <xf numFmtId="0" fontId="1" fillId="0" borderId="0" xfId="0" applyFont="1"/>
    <xf numFmtId="0" fontId="5" fillId="2" borderId="0" xfId="0" applyFont="1" applyFill="1"/>
    <xf numFmtId="164" fontId="6" fillId="4" borderId="0" xfId="0" applyNumberFormat="1" applyFont="1" applyFill="1"/>
    <xf numFmtId="1" fontId="6" fillId="4" borderId="0" xfId="0" applyNumberFormat="1" applyFont="1" applyFill="1"/>
    <xf numFmtId="0" fontId="6" fillId="4" borderId="0" xfId="0" applyFont="1" applyFill="1"/>
    <xf numFmtId="0" fontId="2" fillId="0" borderId="1" xfId="0" applyFont="1" applyBorder="1"/>
    <xf numFmtId="165" fontId="2" fillId="0" borderId="1" xfId="0" applyNumberFormat="1" applyFont="1" applyBorder="1" applyAlignment="1">
      <alignment horizontal="center" vertical="top"/>
    </xf>
    <xf numFmtId="0" fontId="9" fillId="0" borderId="0" xfId="0" applyFont="1"/>
    <xf numFmtId="0" fontId="10" fillId="5" borderId="0" xfId="0" applyFont="1" applyFill="1"/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10" fillId="5" borderId="0" xfId="0" applyFont="1" applyFill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BFBFBF"/>
        </patternFill>
      </fill>
    </dxf>
    <dxf>
      <fill>
        <patternFill>
          <bgColor rgb="FFF8D7D3"/>
        </patternFill>
      </fill>
    </dxf>
    <dxf>
      <fill>
        <patternFill>
          <bgColor rgb="FFD5E8D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B3"/>
      <rgbColor rgb="FFF4F1EA"/>
      <rgbColor rgb="FF660066"/>
      <rgbColor rgb="FFFF8080"/>
      <rgbColor rgb="FF0066CC"/>
      <rgbColor rgb="FFD9D4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zoomScaleNormal="100" workbookViewId="0">
      <selection activeCell="B18" sqref="B18"/>
    </sheetView>
  </sheetViews>
  <sheetFormatPr defaultColWidth="8.7109375" defaultRowHeight="15" x14ac:dyDescent="0.25"/>
  <cols>
    <col min="1" max="1" width="30" customWidth="1"/>
    <col min="2" max="2" width="105" customWidth="1"/>
  </cols>
  <sheetData>
    <row r="1" spans="1:2" ht="54" x14ac:dyDescent="0.25">
      <c r="A1" s="1" t="s">
        <v>0</v>
      </c>
      <c r="B1" s="2"/>
    </row>
    <row r="2" spans="1:2" ht="51" x14ac:dyDescent="0.25">
      <c r="A2" s="3" t="s">
        <v>1</v>
      </c>
      <c r="B2" s="2" t="s">
        <v>407</v>
      </c>
    </row>
    <row r="3" spans="1:2" ht="25.5" x14ac:dyDescent="0.25">
      <c r="A3" s="3" t="s">
        <v>2</v>
      </c>
      <c r="B3" s="2" t="s">
        <v>3</v>
      </c>
    </row>
    <row r="4" spans="1:2" x14ac:dyDescent="0.25">
      <c r="A4" s="3"/>
      <c r="B4" s="2"/>
    </row>
    <row r="5" spans="1:2" x14ac:dyDescent="0.25">
      <c r="A5" s="4" t="s">
        <v>4</v>
      </c>
      <c r="B5" s="2"/>
    </row>
    <row r="6" spans="1:2" x14ac:dyDescent="0.25">
      <c r="A6" s="3" t="s">
        <v>5</v>
      </c>
      <c r="B6" s="2" t="s">
        <v>6</v>
      </c>
    </row>
    <row r="7" spans="1:2" x14ac:dyDescent="0.25">
      <c r="A7" s="3" t="s">
        <v>7</v>
      </c>
      <c r="B7" s="2" t="s">
        <v>8</v>
      </c>
    </row>
    <row r="8" spans="1:2" x14ac:dyDescent="0.25">
      <c r="A8" s="3" t="s">
        <v>9</v>
      </c>
      <c r="B8" s="2" t="s">
        <v>10</v>
      </c>
    </row>
    <row r="9" spans="1:2" x14ac:dyDescent="0.25">
      <c r="A9" s="3" t="s">
        <v>11</v>
      </c>
      <c r="B9" s="2" t="s">
        <v>12</v>
      </c>
    </row>
    <row r="10" spans="1:2" x14ac:dyDescent="0.25">
      <c r="A10" s="3"/>
      <c r="B10" s="2"/>
    </row>
    <row r="11" spans="1:2" x14ac:dyDescent="0.25">
      <c r="A11" s="4" t="s">
        <v>13</v>
      </c>
      <c r="B11" s="2"/>
    </row>
    <row r="12" spans="1:2" x14ac:dyDescent="0.25">
      <c r="A12" s="3" t="s">
        <v>14</v>
      </c>
      <c r="B12" s="2" t="s">
        <v>15</v>
      </c>
    </row>
    <row r="13" spans="1:2" x14ac:dyDescent="0.25">
      <c r="A13" s="3" t="s">
        <v>16</v>
      </c>
      <c r="B13" s="2" t="s">
        <v>17</v>
      </c>
    </row>
    <row r="14" spans="1:2" x14ac:dyDescent="0.25">
      <c r="A14" s="3" t="s">
        <v>18</v>
      </c>
      <c r="B14" s="2" t="s">
        <v>19</v>
      </c>
    </row>
    <row r="15" spans="1:2" x14ac:dyDescent="0.25">
      <c r="A15" s="3" t="s">
        <v>20</v>
      </c>
      <c r="B15" s="2" t="s">
        <v>21</v>
      </c>
    </row>
    <row r="16" spans="1:2" x14ac:dyDescent="0.25">
      <c r="A16" s="3"/>
      <c r="B16" s="2"/>
    </row>
    <row r="17" spans="1:2" x14ac:dyDescent="0.25">
      <c r="A17" s="4" t="s">
        <v>22</v>
      </c>
      <c r="B17" s="2"/>
    </row>
    <row r="18" spans="1:2" x14ac:dyDescent="0.25">
      <c r="A18" s="3" t="s">
        <v>23</v>
      </c>
      <c r="B18" s="2" t="s">
        <v>24</v>
      </c>
    </row>
    <row r="19" spans="1:2" ht="25.5" x14ac:dyDescent="0.25">
      <c r="A19" s="3" t="s">
        <v>25</v>
      </c>
      <c r="B19" s="2" t="s">
        <v>26</v>
      </c>
    </row>
    <row r="20" spans="1:2" x14ac:dyDescent="0.25">
      <c r="A20" s="3" t="s">
        <v>27</v>
      </c>
      <c r="B20" s="2" t="s">
        <v>28</v>
      </c>
    </row>
    <row r="21" spans="1:2" x14ac:dyDescent="0.25">
      <c r="A21" s="3" t="s">
        <v>29</v>
      </c>
      <c r="B21" s="2" t="s">
        <v>30</v>
      </c>
    </row>
    <row r="22" spans="1:2" ht="25.5" x14ac:dyDescent="0.25">
      <c r="A22" s="3" t="s">
        <v>31</v>
      </c>
      <c r="B22" s="2" t="s">
        <v>32</v>
      </c>
    </row>
    <row r="23" spans="1:2" x14ac:dyDescent="0.25">
      <c r="A23" s="3" t="s">
        <v>33</v>
      </c>
      <c r="B23" s="2" t="s">
        <v>34</v>
      </c>
    </row>
    <row r="24" spans="1:2" x14ac:dyDescent="0.25">
      <c r="A24" s="3" t="s">
        <v>35</v>
      </c>
      <c r="B24" s="2" t="s">
        <v>36</v>
      </c>
    </row>
    <row r="25" spans="1:2" ht="25.5" x14ac:dyDescent="0.25">
      <c r="A25" s="3" t="s">
        <v>37</v>
      </c>
      <c r="B25" s="2" t="s">
        <v>38</v>
      </c>
    </row>
    <row r="26" spans="1:2" x14ac:dyDescent="0.25">
      <c r="A26" s="3"/>
      <c r="B26" s="2"/>
    </row>
    <row r="27" spans="1:2" x14ac:dyDescent="0.25">
      <c r="A27" s="3" t="s">
        <v>39</v>
      </c>
      <c r="B27" s="2" t="s">
        <v>40</v>
      </c>
    </row>
    <row r="28" spans="1:2" x14ac:dyDescent="0.25">
      <c r="A28" s="3"/>
      <c r="B28" s="2"/>
    </row>
    <row r="29" spans="1:2" x14ac:dyDescent="0.25">
      <c r="A29" s="4" t="s">
        <v>41</v>
      </c>
      <c r="B29" s="2"/>
    </row>
    <row r="30" spans="1:2" x14ac:dyDescent="0.25">
      <c r="A30" s="3" t="s">
        <v>42</v>
      </c>
      <c r="B30" s="2" t="s">
        <v>43</v>
      </c>
    </row>
    <row r="31" spans="1:2" x14ac:dyDescent="0.25">
      <c r="A31" s="3" t="s">
        <v>44</v>
      </c>
      <c r="B31" s="2" t="s">
        <v>45</v>
      </c>
    </row>
    <row r="32" spans="1:2" x14ac:dyDescent="0.25">
      <c r="A32" s="3" t="s">
        <v>46</v>
      </c>
      <c r="B32" s="2" t="s">
        <v>47</v>
      </c>
    </row>
    <row r="33" spans="1:2" x14ac:dyDescent="0.25">
      <c r="A33" s="3" t="s">
        <v>48</v>
      </c>
      <c r="B33" s="2" t="s">
        <v>49</v>
      </c>
    </row>
    <row r="34" spans="1:2" x14ac:dyDescent="0.25">
      <c r="A34" s="3"/>
      <c r="B34" s="2"/>
    </row>
    <row r="35" spans="1:2" x14ac:dyDescent="0.25">
      <c r="A35" s="4" t="s">
        <v>50</v>
      </c>
      <c r="B35" s="2"/>
    </row>
    <row r="36" spans="1:2" ht="25.5" x14ac:dyDescent="0.25">
      <c r="A36" s="3" t="s">
        <v>51</v>
      </c>
      <c r="B36" s="2" t="s">
        <v>52</v>
      </c>
    </row>
    <row r="37" spans="1:2" ht="25.5" x14ac:dyDescent="0.25">
      <c r="A37" s="3" t="s">
        <v>53</v>
      </c>
      <c r="B37" s="2" t="s">
        <v>54</v>
      </c>
    </row>
    <row r="38" spans="1:2" x14ac:dyDescent="0.25">
      <c r="A38" s="3" t="s">
        <v>55</v>
      </c>
      <c r="B38" s="2" t="s">
        <v>56</v>
      </c>
    </row>
    <row r="39" spans="1:2" x14ac:dyDescent="0.25">
      <c r="A39" s="3" t="s">
        <v>57</v>
      </c>
      <c r="B39" s="2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zoomScaleNormal="100" workbookViewId="0">
      <pane ySplit="1" topLeftCell="A2" activePane="bottomLeft" state="frozen"/>
      <selection pane="bottomLeft" activeCell="A9" sqref="A9:XFD11"/>
    </sheetView>
  </sheetViews>
  <sheetFormatPr defaultColWidth="8.7109375" defaultRowHeight="15" x14ac:dyDescent="0.25"/>
  <cols>
    <col min="1" max="1" width="20" customWidth="1"/>
    <col min="2" max="2" width="8" customWidth="1"/>
    <col min="3" max="3" width="32" customWidth="1"/>
    <col min="4" max="4" width="20" customWidth="1"/>
    <col min="5" max="5" width="36" customWidth="1"/>
    <col min="6" max="6" width="46" customWidth="1"/>
  </cols>
  <sheetData>
    <row r="1" spans="1:6" ht="31.5" customHeight="1" x14ac:dyDescent="0.25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</row>
    <row r="2" spans="1:6" ht="25.5" x14ac:dyDescent="0.25">
      <c r="A2" s="6" t="s">
        <v>5</v>
      </c>
      <c r="B2" s="7" t="s">
        <v>302</v>
      </c>
      <c r="C2" s="7" t="s">
        <v>303</v>
      </c>
      <c r="D2" s="8">
        <v>0</v>
      </c>
      <c r="E2" s="7" t="s">
        <v>67</v>
      </c>
      <c r="F2" s="7" t="s">
        <v>68</v>
      </c>
    </row>
    <row r="3" spans="1:6" ht="25.5" x14ac:dyDescent="0.25">
      <c r="A3" s="6" t="s">
        <v>5</v>
      </c>
      <c r="B3" s="7" t="s">
        <v>65</v>
      </c>
      <c r="C3" s="7" t="s">
        <v>66</v>
      </c>
      <c r="D3" s="8">
        <v>100000</v>
      </c>
      <c r="E3" s="7" t="s">
        <v>67</v>
      </c>
      <c r="F3" s="7" t="s">
        <v>68</v>
      </c>
    </row>
    <row r="4" spans="1:6" ht="25.5" x14ac:dyDescent="0.25">
      <c r="A4" s="9" t="s">
        <v>5</v>
      </c>
      <c r="B4" s="10" t="s">
        <v>69</v>
      </c>
      <c r="C4" s="10" t="s">
        <v>70</v>
      </c>
      <c r="D4" s="11">
        <v>1000000</v>
      </c>
      <c r="E4" s="10" t="s">
        <v>67</v>
      </c>
      <c r="F4" s="10" t="s">
        <v>68</v>
      </c>
    </row>
    <row r="5" spans="1:6" ht="25.5" x14ac:dyDescent="0.25">
      <c r="A5" s="6" t="s">
        <v>5</v>
      </c>
      <c r="B5" s="7" t="s">
        <v>71</v>
      </c>
      <c r="C5" s="7" t="s">
        <v>72</v>
      </c>
      <c r="D5" s="12">
        <f>$D$29</f>
        <v>4327500</v>
      </c>
      <c r="E5" s="7" t="s">
        <v>67</v>
      </c>
      <c r="F5" s="7" t="s">
        <v>68</v>
      </c>
    </row>
    <row r="6" spans="1:6" ht="25.5" x14ac:dyDescent="0.25">
      <c r="A6" s="9" t="s">
        <v>5</v>
      </c>
      <c r="B6" s="10" t="s">
        <v>73</v>
      </c>
      <c r="C6" s="10" t="s">
        <v>74</v>
      </c>
      <c r="D6" s="11">
        <v>20000000</v>
      </c>
      <c r="E6" s="10" t="s">
        <v>67</v>
      </c>
      <c r="F6" s="10" t="s">
        <v>68</v>
      </c>
    </row>
    <row r="7" spans="1:6" x14ac:dyDescent="0.25">
      <c r="A7" s="6" t="s">
        <v>7</v>
      </c>
      <c r="B7" s="7" t="s">
        <v>75</v>
      </c>
      <c r="C7" s="7" t="s">
        <v>76</v>
      </c>
      <c r="D7" s="13">
        <v>0</v>
      </c>
      <c r="E7" s="7" t="s">
        <v>77</v>
      </c>
      <c r="F7" s="7" t="s">
        <v>78</v>
      </c>
    </row>
    <row r="8" spans="1:6" x14ac:dyDescent="0.25">
      <c r="A8" s="9" t="s">
        <v>7</v>
      </c>
      <c r="B8" s="10" t="s">
        <v>79</v>
      </c>
      <c r="C8" s="10" t="s">
        <v>80</v>
      </c>
      <c r="D8" s="14">
        <v>27</v>
      </c>
      <c r="E8" s="10" t="s">
        <v>77</v>
      </c>
      <c r="F8" s="10" t="s">
        <v>78</v>
      </c>
    </row>
    <row r="9" spans="1:6" x14ac:dyDescent="0.25">
      <c r="A9" s="6" t="s">
        <v>7</v>
      </c>
      <c r="B9" s="7" t="s">
        <v>81</v>
      </c>
      <c r="C9" s="7" t="s">
        <v>82</v>
      </c>
      <c r="D9" s="13">
        <v>53</v>
      </c>
      <c r="E9" s="7" t="s">
        <v>77</v>
      </c>
      <c r="F9" s="7" t="s">
        <v>78</v>
      </c>
    </row>
    <row r="10" spans="1:6" x14ac:dyDescent="0.25">
      <c r="A10" s="9" t="s">
        <v>9</v>
      </c>
      <c r="B10" s="10" t="s">
        <v>83</v>
      </c>
      <c r="C10" s="10" t="s">
        <v>84</v>
      </c>
      <c r="D10" s="14">
        <v>0</v>
      </c>
      <c r="E10" s="10" t="s">
        <v>85</v>
      </c>
      <c r="F10" s="10" t="s">
        <v>86</v>
      </c>
    </row>
    <row r="11" spans="1:6" x14ac:dyDescent="0.25">
      <c r="A11" s="6" t="s">
        <v>9</v>
      </c>
      <c r="B11" s="7" t="s">
        <v>87</v>
      </c>
      <c r="C11" s="7" t="s">
        <v>88</v>
      </c>
      <c r="D11" s="13">
        <v>2</v>
      </c>
      <c r="E11" s="7" t="s">
        <v>89</v>
      </c>
      <c r="F11" s="7" t="s">
        <v>86</v>
      </c>
    </row>
    <row r="12" spans="1:6" x14ac:dyDescent="0.25">
      <c r="A12" s="9" t="s">
        <v>9</v>
      </c>
      <c r="B12" s="10" t="s">
        <v>90</v>
      </c>
      <c r="C12" s="10" t="s">
        <v>91</v>
      </c>
      <c r="D12" s="14">
        <v>4</v>
      </c>
      <c r="E12" s="10" t="s">
        <v>92</v>
      </c>
      <c r="F12" s="10" t="s">
        <v>86</v>
      </c>
    </row>
    <row r="13" spans="1:6" x14ac:dyDescent="0.25">
      <c r="A13" s="6" t="s">
        <v>11</v>
      </c>
      <c r="B13" s="7" t="s">
        <v>93</v>
      </c>
      <c r="C13" s="7" t="s">
        <v>94</v>
      </c>
      <c r="D13" s="7"/>
      <c r="E13" s="7" t="s">
        <v>95</v>
      </c>
      <c r="F13" s="7" t="s">
        <v>96</v>
      </c>
    </row>
    <row r="14" spans="1:6" x14ac:dyDescent="0.25">
      <c r="A14" s="9" t="s">
        <v>11</v>
      </c>
      <c r="B14" s="10" t="s">
        <v>97</v>
      </c>
      <c r="C14" s="10" t="s">
        <v>98</v>
      </c>
      <c r="D14" s="10"/>
      <c r="E14" s="10" t="s">
        <v>99</v>
      </c>
      <c r="F14" s="10" t="s">
        <v>96</v>
      </c>
    </row>
    <row r="15" spans="1:6" x14ac:dyDescent="0.25">
      <c r="A15" s="6" t="s">
        <v>11</v>
      </c>
      <c r="B15" s="7" t="s">
        <v>100</v>
      </c>
      <c r="C15" s="7" t="s">
        <v>101</v>
      </c>
      <c r="D15" s="7"/>
      <c r="E15" s="7" t="s">
        <v>102</v>
      </c>
      <c r="F15" s="7" t="s">
        <v>96</v>
      </c>
    </row>
    <row r="16" spans="1:6" x14ac:dyDescent="0.25">
      <c r="A16" s="9" t="s">
        <v>11</v>
      </c>
      <c r="B16" s="10" t="s">
        <v>103</v>
      </c>
      <c r="C16" s="10" t="s">
        <v>104</v>
      </c>
      <c r="D16" s="10"/>
      <c r="E16" s="10" t="s">
        <v>105</v>
      </c>
      <c r="F16" s="10" t="s">
        <v>96</v>
      </c>
    </row>
    <row r="17" spans="1:6" x14ac:dyDescent="0.25">
      <c r="A17" s="6" t="s">
        <v>11</v>
      </c>
      <c r="B17" s="7" t="s">
        <v>106</v>
      </c>
      <c r="C17" s="7" t="s">
        <v>107</v>
      </c>
      <c r="D17" s="7"/>
      <c r="E17" s="7" t="s">
        <v>108</v>
      </c>
      <c r="F17" s="7" t="s">
        <v>96</v>
      </c>
    </row>
    <row r="18" spans="1:6" x14ac:dyDescent="0.25">
      <c r="A18" s="9" t="s">
        <v>11</v>
      </c>
      <c r="B18" s="10" t="s">
        <v>109</v>
      </c>
      <c r="C18" s="10" t="s">
        <v>110</v>
      </c>
      <c r="D18" s="10"/>
      <c r="E18" s="10" t="s">
        <v>111</v>
      </c>
      <c r="F18" s="10" t="s">
        <v>96</v>
      </c>
    </row>
    <row r="19" spans="1:6" x14ac:dyDescent="0.25">
      <c r="A19" s="6" t="s">
        <v>11</v>
      </c>
      <c r="B19" s="7" t="s">
        <v>112</v>
      </c>
      <c r="C19" s="7" t="s">
        <v>113</v>
      </c>
      <c r="D19" s="7"/>
      <c r="E19" s="7" t="s">
        <v>114</v>
      </c>
      <c r="F19" s="7" t="s">
        <v>96</v>
      </c>
    </row>
    <row r="21" spans="1:6" x14ac:dyDescent="0.25">
      <c r="A21" s="15" t="s">
        <v>115</v>
      </c>
    </row>
    <row r="22" spans="1:6" x14ac:dyDescent="0.25">
      <c r="A22" s="16" t="s">
        <v>116</v>
      </c>
      <c r="D22" s="17">
        <v>1</v>
      </c>
      <c r="E22" s="18"/>
    </row>
    <row r="23" spans="1:6" x14ac:dyDescent="0.25">
      <c r="A23" s="16" t="s">
        <v>117</v>
      </c>
      <c r="D23" s="17">
        <v>1</v>
      </c>
      <c r="E23" s="18"/>
    </row>
    <row r="24" spans="1:6" x14ac:dyDescent="0.25">
      <c r="A24" s="16" t="s">
        <v>118</v>
      </c>
      <c r="D24" s="17">
        <v>1</v>
      </c>
      <c r="E24" s="18"/>
    </row>
    <row r="25" spans="1:6" x14ac:dyDescent="0.25">
      <c r="A25" s="16" t="s">
        <v>119</v>
      </c>
      <c r="D25" s="17">
        <v>2</v>
      </c>
      <c r="E25" s="18" t="s">
        <v>120</v>
      </c>
    </row>
    <row r="27" spans="1:6" x14ac:dyDescent="0.25">
      <c r="A27" s="15" t="s">
        <v>121</v>
      </c>
    </row>
    <row r="28" spans="1:6" x14ac:dyDescent="0.25">
      <c r="A28" s="16" t="s">
        <v>122</v>
      </c>
      <c r="D28" s="19">
        <v>5193000</v>
      </c>
      <c r="E28" s="18" t="s">
        <v>123</v>
      </c>
    </row>
    <row r="29" spans="1:6" x14ac:dyDescent="0.25">
      <c r="A29" s="16" t="s">
        <v>124</v>
      </c>
      <c r="D29" s="20">
        <f>D28/1.2</f>
        <v>4327500</v>
      </c>
      <c r="E29" s="18" t="s">
        <v>125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1" sqref="A11:XFD16"/>
    </sheetView>
  </sheetViews>
  <sheetFormatPr defaultColWidth="8.7109375" defaultRowHeight="15" x14ac:dyDescent="0.25"/>
  <cols>
    <col min="1" max="1" width="7" customWidth="1"/>
    <col min="2" max="2" width="17" customWidth="1"/>
    <col min="3" max="3" width="26" customWidth="1"/>
    <col min="4" max="4" width="46" customWidth="1"/>
    <col min="5" max="5" width="44" customWidth="1"/>
    <col min="6" max="6" width="46" customWidth="1"/>
    <col min="7" max="7" width="13" customWidth="1"/>
    <col min="8" max="8" width="12" customWidth="1"/>
    <col min="9" max="25" width="10" customWidth="1"/>
    <col min="26" max="27" width="16" customWidth="1"/>
  </cols>
  <sheetData>
    <row r="1" spans="1:27" ht="57.75" customHeight="1" x14ac:dyDescent="0.25">
      <c r="A1" s="5" t="s">
        <v>126</v>
      </c>
      <c r="B1" s="5" t="s">
        <v>127</v>
      </c>
      <c r="C1" s="5" t="s">
        <v>128</v>
      </c>
      <c r="D1" s="5" t="s">
        <v>129</v>
      </c>
      <c r="E1" s="5" t="s">
        <v>130</v>
      </c>
      <c r="F1" s="5" t="s">
        <v>131</v>
      </c>
      <c r="G1" s="5" t="s">
        <v>132</v>
      </c>
      <c r="H1" s="5" t="s">
        <v>133</v>
      </c>
      <c r="I1" s="5" t="s">
        <v>303</v>
      </c>
      <c r="J1" s="5" t="s">
        <v>66</v>
      </c>
      <c r="K1" s="5" t="s">
        <v>70</v>
      </c>
      <c r="L1" s="5" t="s">
        <v>72</v>
      </c>
      <c r="M1" s="5" t="s">
        <v>74</v>
      </c>
      <c r="N1" s="5" t="s">
        <v>76</v>
      </c>
      <c r="O1" s="5" t="s">
        <v>80</v>
      </c>
      <c r="P1" s="5" t="s">
        <v>82</v>
      </c>
      <c r="Q1" s="5" t="s">
        <v>84</v>
      </c>
      <c r="R1" s="5" t="s">
        <v>88</v>
      </c>
      <c r="S1" s="5" t="s">
        <v>91</v>
      </c>
      <c r="T1" s="5" t="s">
        <v>94</v>
      </c>
      <c r="U1" s="5" t="s">
        <v>98</v>
      </c>
      <c r="V1" s="5" t="s">
        <v>101</v>
      </c>
      <c r="W1" s="5" t="s">
        <v>104</v>
      </c>
      <c r="X1" s="5" t="s">
        <v>107</v>
      </c>
      <c r="Y1" s="5" t="s">
        <v>110</v>
      </c>
      <c r="Z1" s="5" t="s">
        <v>113</v>
      </c>
      <c r="AA1" s="5" t="s">
        <v>304</v>
      </c>
    </row>
    <row r="2" spans="1:27" ht="38.25" x14ac:dyDescent="0.25">
      <c r="A2" s="6" t="s">
        <v>134</v>
      </c>
      <c r="B2" s="7" t="s">
        <v>14</v>
      </c>
      <c r="C2" s="6" t="s">
        <v>135</v>
      </c>
      <c r="D2" s="7" t="s">
        <v>136</v>
      </c>
      <c r="E2" s="7" t="s">
        <v>137</v>
      </c>
      <c r="F2" s="7" t="s">
        <v>138</v>
      </c>
      <c r="G2" s="7"/>
      <c r="H2" s="7" t="s">
        <v>139</v>
      </c>
      <c r="I2" s="21">
        <v>2</v>
      </c>
      <c r="J2" s="21">
        <v>2</v>
      </c>
      <c r="K2" s="21">
        <v>2</v>
      </c>
      <c r="L2" s="21">
        <v>1</v>
      </c>
      <c r="M2" s="21">
        <v>1</v>
      </c>
      <c r="N2" s="21">
        <v>2</v>
      </c>
      <c r="O2" s="21">
        <v>2</v>
      </c>
      <c r="P2" s="21">
        <v>1</v>
      </c>
      <c r="Q2" s="21">
        <v>2</v>
      </c>
      <c r="R2" s="21">
        <v>1</v>
      </c>
      <c r="S2" s="21">
        <v>0</v>
      </c>
      <c r="T2" s="21">
        <v>2</v>
      </c>
      <c r="U2" s="21">
        <v>2</v>
      </c>
      <c r="V2" s="21">
        <v>0</v>
      </c>
      <c r="W2" s="21">
        <v>2</v>
      </c>
      <c r="X2" s="21">
        <v>1</v>
      </c>
      <c r="Y2" s="21">
        <v>1</v>
      </c>
      <c r="Z2" s="21">
        <v>2</v>
      </c>
      <c r="AA2" s="21"/>
    </row>
    <row r="3" spans="1:27" ht="38.25" x14ac:dyDescent="0.25">
      <c r="A3" s="9" t="s">
        <v>140</v>
      </c>
      <c r="B3" s="10" t="s">
        <v>14</v>
      </c>
      <c r="C3" s="9" t="s">
        <v>344</v>
      </c>
      <c r="D3" s="10" t="s">
        <v>141</v>
      </c>
      <c r="E3" s="10" t="s">
        <v>142</v>
      </c>
      <c r="F3" s="10" t="s">
        <v>143</v>
      </c>
      <c r="G3" s="10"/>
      <c r="H3" s="10" t="s">
        <v>139</v>
      </c>
      <c r="I3" s="21">
        <v>1</v>
      </c>
      <c r="J3" s="21">
        <v>1</v>
      </c>
      <c r="K3" s="21">
        <v>2</v>
      </c>
      <c r="L3" s="21">
        <v>2</v>
      </c>
      <c r="M3" s="21">
        <v>2</v>
      </c>
      <c r="N3" s="21">
        <v>1</v>
      </c>
      <c r="O3" s="21">
        <v>2</v>
      </c>
      <c r="P3" s="21">
        <v>2</v>
      </c>
      <c r="Q3" s="21">
        <v>2</v>
      </c>
      <c r="R3" s="21">
        <v>1</v>
      </c>
      <c r="S3" s="21">
        <v>1</v>
      </c>
      <c r="T3" s="21">
        <v>1</v>
      </c>
      <c r="U3" s="21">
        <v>2</v>
      </c>
      <c r="V3" s="21">
        <v>1</v>
      </c>
      <c r="W3" s="21">
        <v>1</v>
      </c>
      <c r="X3" s="21">
        <v>0</v>
      </c>
      <c r="Y3" s="21">
        <v>1</v>
      </c>
      <c r="Z3" s="21">
        <v>1</v>
      </c>
      <c r="AA3" s="21"/>
    </row>
    <row r="4" spans="1:27" ht="51" x14ac:dyDescent="0.25">
      <c r="A4" s="6" t="s">
        <v>144</v>
      </c>
      <c r="B4" s="7" t="s">
        <v>14</v>
      </c>
      <c r="C4" s="6" t="s">
        <v>354</v>
      </c>
      <c r="D4" s="7" t="s">
        <v>145</v>
      </c>
      <c r="E4" s="7" t="s">
        <v>146</v>
      </c>
      <c r="F4" s="7" t="s">
        <v>147</v>
      </c>
      <c r="G4" s="7"/>
      <c r="H4" s="7" t="s">
        <v>139</v>
      </c>
      <c r="I4" s="21">
        <v>0</v>
      </c>
      <c r="J4" s="21">
        <v>0</v>
      </c>
      <c r="K4" s="21">
        <v>1</v>
      </c>
      <c r="L4" s="21">
        <v>2</v>
      </c>
      <c r="M4" s="21">
        <v>2</v>
      </c>
      <c r="N4" s="21">
        <v>0</v>
      </c>
      <c r="O4" s="21">
        <v>1</v>
      </c>
      <c r="P4" s="21">
        <v>2</v>
      </c>
      <c r="Q4" s="21">
        <v>0</v>
      </c>
      <c r="R4" s="21">
        <v>2</v>
      </c>
      <c r="S4" s="21">
        <v>2</v>
      </c>
      <c r="T4" s="21">
        <v>0</v>
      </c>
      <c r="U4" s="21">
        <v>1</v>
      </c>
      <c r="V4" s="21">
        <v>2</v>
      </c>
      <c r="W4" s="21">
        <v>1</v>
      </c>
      <c r="X4" s="21">
        <v>1</v>
      </c>
      <c r="Y4" s="21">
        <v>2</v>
      </c>
      <c r="Z4" s="21">
        <v>1</v>
      </c>
      <c r="AA4" s="21"/>
    </row>
    <row r="5" spans="1:27" ht="38.25" x14ac:dyDescent="0.25">
      <c r="A5" s="9" t="s">
        <v>148</v>
      </c>
      <c r="B5" s="10" t="s">
        <v>14</v>
      </c>
      <c r="C5" s="9" t="s">
        <v>361</v>
      </c>
      <c r="D5" s="10" t="s">
        <v>149</v>
      </c>
      <c r="E5" s="10" t="s">
        <v>150</v>
      </c>
      <c r="F5" s="10" t="s">
        <v>151</v>
      </c>
      <c r="G5" s="10"/>
      <c r="H5" s="10" t="s">
        <v>139</v>
      </c>
      <c r="I5" s="21" t="s">
        <v>152</v>
      </c>
      <c r="J5" s="21" t="s">
        <v>152</v>
      </c>
      <c r="K5" s="21" t="s">
        <v>152</v>
      </c>
      <c r="L5" s="21">
        <v>0</v>
      </c>
      <c r="M5" s="21">
        <v>2</v>
      </c>
      <c r="N5" s="21">
        <v>0</v>
      </c>
      <c r="O5" s="21">
        <v>1</v>
      </c>
      <c r="P5" s="21">
        <v>2</v>
      </c>
      <c r="Q5" s="21">
        <v>0</v>
      </c>
      <c r="R5" s="21">
        <v>1</v>
      </c>
      <c r="S5" s="21">
        <v>2</v>
      </c>
      <c r="T5" s="21">
        <v>0</v>
      </c>
      <c r="U5" s="21">
        <v>0</v>
      </c>
      <c r="V5" s="21">
        <v>2</v>
      </c>
      <c r="W5" s="21">
        <v>2</v>
      </c>
      <c r="X5" s="21">
        <v>2</v>
      </c>
      <c r="Y5" s="21">
        <v>1</v>
      </c>
      <c r="Z5" s="21">
        <v>0</v>
      </c>
      <c r="AA5" s="21"/>
    </row>
    <row r="6" spans="1:27" ht="38.25" x14ac:dyDescent="0.25">
      <c r="A6" s="6" t="s">
        <v>153</v>
      </c>
      <c r="B6" s="7" t="s">
        <v>16</v>
      </c>
      <c r="C6" s="6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139</v>
      </c>
      <c r="I6" s="21">
        <v>2</v>
      </c>
      <c r="J6" s="21">
        <v>2</v>
      </c>
      <c r="K6" s="21">
        <v>2</v>
      </c>
      <c r="L6" s="21">
        <v>2</v>
      </c>
      <c r="M6" s="21">
        <v>1</v>
      </c>
      <c r="N6" s="21">
        <v>2</v>
      </c>
      <c r="O6" s="21">
        <v>2</v>
      </c>
      <c r="P6" s="21">
        <v>1</v>
      </c>
      <c r="Q6" s="21">
        <v>2</v>
      </c>
      <c r="R6" s="21">
        <v>1</v>
      </c>
      <c r="S6" s="21">
        <v>0</v>
      </c>
      <c r="T6" s="21">
        <v>2</v>
      </c>
      <c r="U6" s="21">
        <v>2</v>
      </c>
      <c r="V6" s="21">
        <v>1</v>
      </c>
      <c r="W6" s="21">
        <v>1</v>
      </c>
      <c r="X6" s="21">
        <v>0</v>
      </c>
      <c r="Y6" s="21">
        <v>1</v>
      </c>
      <c r="Z6" s="21">
        <v>2</v>
      </c>
      <c r="AA6" s="21"/>
    </row>
    <row r="7" spans="1:27" ht="38.25" x14ac:dyDescent="0.25">
      <c r="A7" s="9" t="s">
        <v>159</v>
      </c>
      <c r="B7" s="10" t="s">
        <v>16</v>
      </c>
      <c r="C7" s="9" t="s">
        <v>160</v>
      </c>
      <c r="D7" s="10" t="s">
        <v>161</v>
      </c>
      <c r="E7" s="10" t="s">
        <v>162</v>
      </c>
      <c r="F7" s="10" t="s">
        <v>163</v>
      </c>
      <c r="G7" s="10" t="s">
        <v>164</v>
      </c>
      <c r="H7" s="10" t="s">
        <v>139</v>
      </c>
      <c r="I7" s="21">
        <v>0</v>
      </c>
      <c r="J7" s="21">
        <v>0</v>
      </c>
      <c r="K7" s="21">
        <v>1</v>
      </c>
      <c r="L7" s="21">
        <v>2</v>
      </c>
      <c r="M7" s="21">
        <v>2</v>
      </c>
      <c r="N7" s="21">
        <v>0</v>
      </c>
      <c r="O7" s="21">
        <v>1</v>
      </c>
      <c r="P7" s="21">
        <v>2</v>
      </c>
      <c r="Q7" s="21">
        <v>0</v>
      </c>
      <c r="R7" s="21">
        <v>2</v>
      </c>
      <c r="S7" s="21">
        <v>1</v>
      </c>
      <c r="T7" s="21">
        <v>0</v>
      </c>
      <c r="U7" s="21">
        <v>2</v>
      </c>
      <c r="V7" s="21">
        <v>1</v>
      </c>
      <c r="W7" s="21">
        <v>0</v>
      </c>
      <c r="X7" s="21">
        <v>1</v>
      </c>
      <c r="Y7" s="21">
        <v>1</v>
      </c>
      <c r="Z7" s="21">
        <v>1</v>
      </c>
      <c r="AA7" s="21"/>
    </row>
    <row r="8" spans="1:27" ht="38.25" x14ac:dyDescent="0.25">
      <c r="A8" s="6" t="s">
        <v>165</v>
      </c>
      <c r="B8" s="7" t="s">
        <v>16</v>
      </c>
      <c r="C8" s="6" t="s">
        <v>166</v>
      </c>
      <c r="D8" s="7" t="s">
        <v>167</v>
      </c>
      <c r="E8" s="7" t="s">
        <v>168</v>
      </c>
      <c r="F8" s="7" t="s">
        <v>169</v>
      </c>
      <c r="G8" s="7" t="s">
        <v>158</v>
      </c>
      <c r="H8" s="7" t="s">
        <v>139</v>
      </c>
      <c r="I8" s="21">
        <v>0</v>
      </c>
      <c r="J8" s="21">
        <v>0</v>
      </c>
      <c r="K8" s="21">
        <v>1</v>
      </c>
      <c r="L8" s="21">
        <v>2</v>
      </c>
      <c r="M8" s="21">
        <v>2</v>
      </c>
      <c r="N8" s="21">
        <v>0</v>
      </c>
      <c r="O8" s="21">
        <v>1</v>
      </c>
      <c r="P8" s="21">
        <v>2</v>
      </c>
      <c r="Q8" s="21">
        <v>0</v>
      </c>
      <c r="R8" s="21">
        <v>1</v>
      </c>
      <c r="S8" s="21">
        <v>2</v>
      </c>
      <c r="T8" s="21">
        <v>1</v>
      </c>
      <c r="U8" s="21">
        <v>0</v>
      </c>
      <c r="V8" s="21">
        <v>2</v>
      </c>
      <c r="W8" s="21">
        <v>1</v>
      </c>
      <c r="X8" s="21">
        <v>2</v>
      </c>
      <c r="Y8" s="21">
        <v>2</v>
      </c>
      <c r="Z8" s="21">
        <v>0</v>
      </c>
      <c r="AA8" s="21"/>
    </row>
    <row r="9" spans="1:27" ht="38.25" x14ac:dyDescent="0.25">
      <c r="A9" s="9" t="s">
        <v>170</v>
      </c>
      <c r="B9" s="10" t="s">
        <v>16</v>
      </c>
      <c r="C9" s="9" t="s">
        <v>171</v>
      </c>
      <c r="D9" s="10" t="s">
        <v>172</v>
      </c>
      <c r="E9" s="10" t="s">
        <v>173</v>
      </c>
      <c r="F9" s="10" t="s">
        <v>174</v>
      </c>
      <c r="G9" s="10" t="s">
        <v>134</v>
      </c>
      <c r="H9" s="10" t="s">
        <v>139</v>
      </c>
      <c r="I9" s="21">
        <v>2</v>
      </c>
      <c r="J9" s="21">
        <v>2</v>
      </c>
      <c r="K9" s="21">
        <v>2</v>
      </c>
      <c r="L9" s="21">
        <v>1</v>
      </c>
      <c r="M9" s="21">
        <v>1</v>
      </c>
      <c r="N9" s="21">
        <v>1</v>
      </c>
      <c r="O9" s="21">
        <v>2</v>
      </c>
      <c r="P9" s="21">
        <v>2</v>
      </c>
      <c r="Q9" s="21">
        <v>1</v>
      </c>
      <c r="R9" s="21">
        <v>2</v>
      </c>
      <c r="S9" s="21">
        <v>2</v>
      </c>
      <c r="T9" s="21">
        <v>1</v>
      </c>
      <c r="U9" s="21">
        <v>0</v>
      </c>
      <c r="V9" s="21">
        <v>2</v>
      </c>
      <c r="W9" s="21">
        <v>1</v>
      </c>
      <c r="X9" s="21">
        <v>2</v>
      </c>
      <c r="Y9" s="21">
        <v>1</v>
      </c>
      <c r="Z9" s="21">
        <v>1</v>
      </c>
      <c r="AA9" s="21" t="s">
        <v>305</v>
      </c>
    </row>
    <row r="10" spans="1:27" ht="25.5" x14ac:dyDescent="0.25">
      <c r="A10" s="6" t="s">
        <v>175</v>
      </c>
      <c r="B10" s="7" t="s">
        <v>16</v>
      </c>
      <c r="C10" s="6" t="s">
        <v>176</v>
      </c>
      <c r="D10" s="7" t="s">
        <v>177</v>
      </c>
      <c r="E10" s="7" t="s">
        <v>178</v>
      </c>
      <c r="F10" s="7" t="s">
        <v>179</v>
      </c>
      <c r="G10" s="7" t="s">
        <v>180</v>
      </c>
      <c r="H10" s="7" t="s">
        <v>139</v>
      </c>
      <c r="I10" s="21">
        <v>1</v>
      </c>
      <c r="J10" s="21">
        <v>1</v>
      </c>
      <c r="K10" s="21">
        <v>0</v>
      </c>
      <c r="L10" s="21">
        <v>0</v>
      </c>
      <c r="M10" s="21">
        <v>1</v>
      </c>
      <c r="N10" s="21">
        <v>2</v>
      </c>
      <c r="O10" s="21">
        <v>1</v>
      </c>
      <c r="P10" s="21">
        <v>1</v>
      </c>
      <c r="Q10" s="21">
        <v>0</v>
      </c>
      <c r="R10" s="21">
        <v>1</v>
      </c>
      <c r="S10" s="21">
        <v>2</v>
      </c>
      <c r="T10" s="21">
        <v>0</v>
      </c>
      <c r="U10" s="21">
        <v>0</v>
      </c>
      <c r="V10" s="21">
        <v>2</v>
      </c>
      <c r="W10" s="21">
        <v>1</v>
      </c>
      <c r="X10" s="21">
        <v>2</v>
      </c>
      <c r="Y10" s="21">
        <v>1</v>
      </c>
      <c r="Z10" s="21">
        <v>0</v>
      </c>
      <c r="AA10" s="21"/>
    </row>
    <row r="11" spans="1:27" ht="38.25" x14ac:dyDescent="0.25">
      <c r="A11" s="9" t="s">
        <v>181</v>
      </c>
      <c r="B11" s="10" t="s">
        <v>18</v>
      </c>
      <c r="C11" s="9" t="s">
        <v>182</v>
      </c>
      <c r="D11" s="10" t="s">
        <v>183</v>
      </c>
      <c r="E11" s="10" t="s">
        <v>184</v>
      </c>
      <c r="F11" s="10" t="s">
        <v>185</v>
      </c>
      <c r="G11" s="10"/>
      <c r="H11" s="10" t="s">
        <v>139</v>
      </c>
      <c r="I11" s="21">
        <v>2</v>
      </c>
      <c r="J11" s="21" t="s">
        <v>152</v>
      </c>
      <c r="K11" s="21" t="s">
        <v>152</v>
      </c>
      <c r="L11" s="21" t="s">
        <v>152</v>
      </c>
      <c r="M11" s="21" t="s">
        <v>152</v>
      </c>
      <c r="N11" s="21">
        <v>2</v>
      </c>
      <c r="O11" s="21">
        <v>1</v>
      </c>
      <c r="P11" s="21">
        <v>0</v>
      </c>
      <c r="Q11" s="21">
        <v>2</v>
      </c>
      <c r="R11" s="21">
        <v>1</v>
      </c>
      <c r="S11" s="21">
        <v>0</v>
      </c>
      <c r="T11" s="21">
        <v>1</v>
      </c>
      <c r="U11" s="21">
        <v>1</v>
      </c>
      <c r="V11" s="21">
        <v>2</v>
      </c>
      <c r="W11" s="21">
        <v>0</v>
      </c>
      <c r="X11" s="21">
        <v>1</v>
      </c>
      <c r="Y11" s="21">
        <v>0</v>
      </c>
      <c r="Z11" s="21">
        <v>0</v>
      </c>
      <c r="AA11" s="21"/>
    </row>
    <row r="12" spans="1:27" ht="38.25" x14ac:dyDescent="0.25">
      <c r="A12" s="6" t="s">
        <v>186</v>
      </c>
      <c r="B12" s="7" t="s">
        <v>18</v>
      </c>
      <c r="C12" s="6" t="s">
        <v>187</v>
      </c>
      <c r="D12" s="7" t="s">
        <v>188</v>
      </c>
      <c r="E12" s="7" t="s">
        <v>189</v>
      </c>
      <c r="F12" s="7" t="s">
        <v>190</v>
      </c>
      <c r="G12" s="7"/>
      <c r="H12" s="7" t="s">
        <v>139</v>
      </c>
      <c r="I12" s="21">
        <v>1</v>
      </c>
      <c r="J12" s="21">
        <v>1</v>
      </c>
      <c r="K12" s="21">
        <v>2</v>
      </c>
      <c r="L12" s="21">
        <v>2</v>
      </c>
      <c r="M12" s="21">
        <v>1</v>
      </c>
      <c r="N12" s="21">
        <v>0</v>
      </c>
      <c r="O12" s="21">
        <v>1</v>
      </c>
      <c r="P12" s="21">
        <v>2</v>
      </c>
      <c r="Q12" s="21">
        <v>2</v>
      </c>
      <c r="R12" s="21">
        <v>1</v>
      </c>
      <c r="S12" s="21">
        <v>0</v>
      </c>
      <c r="T12" s="21">
        <v>2</v>
      </c>
      <c r="U12" s="21">
        <v>2</v>
      </c>
      <c r="V12" s="21">
        <v>0</v>
      </c>
      <c r="W12" s="21">
        <v>0</v>
      </c>
      <c r="X12" s="21">
        <v>0</v>
      </c>
      <c r="Y12" s="21">
        <v>0</v>
      </c>
      <c r="Z12" s="21">
        <v>2</v>
      </c>
      <c r="AA12" s="21"/>
    </row>
    <row r="13" spans="1:27" ht="38.25" x14ac:dyDescent="0.25">
      <c r="A13" s="9" t="s">
        <v>191</v>
      </c>
      <c r="B13" s="10" t="s">
        <v>18</v>
      </c>
      <c r="C13" s="9" t="s">
        <v>192</v>
      </c>
      <c r="D13" s="10" t="s">
        <v>193</v>
      </c>
      <c r="E13" s="10" t="s">
        <v>194</v>
      </c>
      <c r="F13" s="10" t="s">
        <v>195</v>
      </c>
      <c r="G13" s="10"/>
      <c r="H13" s="10" t="s">
        <v>139</v>
      </c>
      <c r="I13" s="21">
        <v>2</v>
      </c>
      <c r="J13" s="21">
        <v>2</v>
      </c>
      <c r="K13" s="21">
        <v>2</v>
      </c>
      <c r="L13" s="21">
        <v>1</v>
      </c>
      <c r="M13" s="21">
        <v>1</v>
      </c>
      <c r="N13" s="21">
        <v>1</v>
      </c>
      <c r="O13" s="21">
        <v>2</v>
      </c>
      <c r="P13" s="21">
        <v>2</v>
      </c>
      <c r="Q13" s="21">
        <v>2</v>
      </c>
      <c r="R13" s="21">
        <v>2</v>
      </c>
      <c r="S13" s="21">
        <v>1</v>
      </c>
      <c r="T13" s="21">
        <v>2</v>
      </c>
      <c r="U13" s="21">
        <v>2</v>
      </c>
      <c r="V13" s="21">
        <v>1</v>
      </c>
      <c r="W13" s="21">
        <v>2</v>
      </c>
      <c r="X13" s="21">
        <v>1</v>
      </c>
      <c r="Y13" s="21">
        <v>1</v>
      </c>
      <c r="Z13" s="21">
        <v>2</v>
      </c>
      <c r="AA13" s="21"/>
    </row>
    <row r="14" spans="1:27" ht="38.25" x14ac:dyDescent="0.25">
      <c r="A14" s="6" t="s">
        <v>196</v>
      </c>
      <c r="B14" s="7" t="s">
        <v>18</v>
      </c>
      <c r="C14" s="6" t="s">
        <v>197</v>
      </c>
      <c r="D14" s="7" t="s">
        <v>198</v>
      </c>
      <c r="E14" s="7" t="s">
        <v>199</v>
      </c>
      <c r="F14" s="7" t="s">
        <v>200</v>
      </c>
      <c r="G14" s="7"/>
      <c r="H14" s="7" t="s">
        <v>201</v>
      </c>
      <c r="I14" s="21">
        <v>1</v>
      </c>
      <c r="J14" s="21">
        <v>1</v>
      </c>
      <c r="K14" s="21">
        <v>2</v>
      </c>
      <c r="L14" s="21">
        <v>2</v>
      </c>
      <c r="M14" s="21">
        <v>2</v>
      </c>
      <c r="N14" s="21">
        <v>1</v>
      </c>
      <c r="O14" s="21">
        <v>2</v>
      </c>
      <c r="P14" s="21">
        <v>2</v>
      </c>
      <c r="Q14" s="21">
        <v>1</v>
      </c>
      <c r="R14" s="21">
        <v>2</v>
      </c>
      <c r="S14" s="21">
        <v>2</v>
      </c>
      <c r="T14" s="21">
        <v>1</v>
      </c>
      <c r="U14" s="21">
        <v>2</v>
      </c>
      <c r="V14" s="21">
        <v>1</v>
      </c>
      <c r="W14" s="21">
        <v>1</v>
      </c>
      <c r="X14" s="21">
        <v>1</v>
      </c>
      <c r="Y14" s="21">
        <v>1</v>
      </c>
      <c r="Z14" s="21">
        <v>2</v>
      </c>
      <c r="AA14" s="21"/>
    </row>
    <row r="15" spans="1:27" ht="38.25" x14ac:dyDescent="0.25">
      <c r="A15" s="9" t="s">
        <v>202</v>
      </c>
      <c r="B15" s="10" t="s">
        <v>18</v>
      </c>
      <c r="C15" s="9" t="s">
        <v>203</v>
      </c>
      <c r="D15" s="10" t="s">
        <v>204</v>
      </c>
      <c r="E15" s="10" t="s">
        <v>205</v>
      </c>
      <c r="F15" s="10" t="s">
        <v>206</v>
      </c>
      <c r="G15" s="10"/>
      <c r="H15" s="10" t="s">
        <v>201</v>
      </c>
      <c r="I15" s="21">
        <v>1</v>
      </c>
      <c r="J15" s="21">
        <v>1</v>
      </c>
      <c r="K15" s="21">
        <v>1</v>
      </c>
      <c r="L15" s="21">
        <v>2</v>
      </c>
      <c r="M15" s="21">
        <v>2</v>
      </c>
      <c r="N15" s="21">
        <v>2</v>
      </c>
      <c r="O15" s="21">
        <v>2</v>
      </c>
      <c r="P15" s="21">
        <v>1</v>
      </c>
      <c r="Q15" s="21">
        <v>1</v>
      </c>
      <c r="R15" s="21">
        <v>1</v>
      </c>
      <c r="S15" s="21">
        <v>2</v>
      </c>
      <c r="T15" s="21">
        <v>0</v>
      </c>
      <c r="U15" s="21">
        <v>1</v>
      </c>
      <c r="V15" s="21">
        <v>2</v>
      </c>
      <c r="W15" s="21">
        <v>1</v>
      </c>
      <c r="X15" s="21">
        <v>2</v>
      </c>
      <c r="Y15" s="21">
        <v>2</v>
      </c>
      <c r="Z15" s="21">
        <v>1</v>
      </c>
      <c r="AA15" s="21"/>
    </row>
    <row r="16" spans="1:27" ht="25.5" x14ac:dyDescent="0.25">
      <c r="A16" s="6" t="s">
        <v>207</v>
      </c>
      <c r="B16" s="7" t="s">
        <v>18</v>
      </c>
      <c r="C16" s="6" t="s">
        <v>208</v>
      </c>
      <c r="D16" s="7" t="s">
        <v>209</v>
      </c>
      <c r="E16" s="7" t="s">
        <v>210</v>
      </c>
      <c r="F16" s="7" t="s">
        <v>211</v>
      </c>
      <c r="G16" s="7"/>
      <c r="H16" s="7" t="s">
        <v>212</v>
      </c>
      <c r="I16" s="21">
        <v>2</v>
      </c>
      <c r="J16" s="21">
        <v>2</v>
      </c>
      <c r="K16" s="21">
        <v>1</v>
      </c>
      <c r="L16" s="21">
        <v>1</v>
      </c>
      <c r="M16" s="21">
        <v>1</v>
      </c>
      <c r="N16" s="21">
        <v>2</v>
      </c>
      <c r="O16" s="21">
        <v>1</v>
      </c>
      <c r="P16" s="21">
        <v>1</v>
      </c>
      <c r="Q16" s="21">
        <v>1</v>
      </c>
      <c r="R16" s="21">
        <v>1</v>
      </c>
      <c r="S16" s="21">
        <v>2</v>
      </c>
      <c r="T16" s="21">
        <v>0</v>
      </c>
      <c r="U16" s="21">
        <v>1</v>
      </c>
      <c r="V16" s="21">
        <v>2</v>
      </c>
      <c r="W16" s="21">
        <v>1</v>
      </c>
      <c r="X16" s="21">
        <v>2</v>
      </c>
      <c r="Y16" s="21">
        <v>2</v>
      </c>
      <c r="Z16" s="21">
        <v>0</v>
      </c>
      <c r="AA16" s="21"/>
    </row>
    <row r="18" spans="1:1" x14ac:dyDescent="0.25">
      <c r="A18" s="22" t="s">
        <v>213</v>
      </c>
    </row>
  </sheetData>
  <autoFilter ref="A1:Z16" xr:uid="{00000000-0009-0000-0000-000002000000}"/>
  <conditionalFormatting sqref="I2:AA16">
    <cfRule type="cellIs" dxfId="2" priority="1" operator="equal">
      <formula>2</formula>
    </cfRule>
    <cfRule type="cellIs" dxfId="1" priority="2" operator="equal">
      <formula>0</formula>
    </cfRule>
    <cfRule type="cellIs" dxfId="0" priority="3" operator="equal">
      <formula>"X"</formula>
    </cfRule>
  </conditionalFormatting>
  <dataValidations count="1">
    <dataValidation type="list" sqref="I2:AA16" xr:uid="{00000000-0002-0000-0200-000000000000}">
      <formula1>"0,1,2,X"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2" sqref="B42"/>
    </sheetView>
  </sheetViews>
  <sheetFormatPr defaultColWidth="8.7109375" defaultRowHeight="15" x14ac:dyDescent="0.25"/>
  <cols>
    <col min="1" max="1" width="14" customWidth="1"/>
    <col min="2" max="2" width="30" customWidth="1"/>
    <col min="3" max="5" width="36" customWidth="1"/>
    <col min="6" max="6" width="40" customWidth="1"/>
    <col min="7" max="7" width="36" customWidth="1"/>
  </cols>
  <sheetData>
    <row r="1" spans="1:7" ht="31.5" customHeight="1" x14ac:dyDescent="0.25">
      <c r="A1" s="5" t="s">
        <v>214</v>
      </c>
      <c r="B1" s="5" t="s">
        <v>215</v>
      </c>
      <c r="C1" s="5" t="s">
        <v>306</v>
      </c>
      <c r="D1" s="5" t="s">
        <v>216</v>
      </c>
      <c r="E1" s="5" t="s">
        <v>217</v>
      </c>
      <c r="F1" s="5" t="s">
        <v>218</v>
      </c>
      <c r="G1" s="5" t="s">
        <v>219</v>
      </c>
    </row>
    <row r="2" spans="1:7" ht="38.25" x14ac:dyDescent="0.25">
      <c r="A2" s="6" t="s">
        <v>220</v>
      </c>
      <c r="B2" s="7" t="s">
        <v>221</v>
      </c>
      <c r="C2" s="7" t="s">
        <v>222</v>
      </c>
      <c r="D2" s="7" t="s">
        <v>223</v>
      </c>
      <c r="E2" s="7" t="s">
        <v>224</v>
      </c>
      <c r="F2" s="7" t="s">
        <v>225</v>
      </c>
      <c r="G2" s="7" t="s">
        <v>226</v>
      </c>
    </row>
    <row r="3" spans="1:7" ht="25.5" x14ac:dyDescent="0.25">
      <c r="A3" s="9" t="s">
        <v>227</v>
      </c>
      <c r="B3" s="10" t="s">
        <v>228</v>
      </c>
      <c r="C3" s="10" t="s">
        <v>229</v>
      </c>
      <c r="D3" s="10" t="s">
        <v>230</v>
      </c>
      <c r="E3" s="10" t="s">
        <v>230</v>
      </c>
      <c r="F3" s="10" t="s">
        <v>231</v>
      </c>
      <c r="G3" s="10" t="s">
        <v>232</v>
      </c>
    </row>
    <row r="4" spans="1:7" ht="51" x14ac:dyDescent="0.25">
      <c r="A4" s="6" t="s">
        <v>233</v>
      </c>
      <c r="B4" s="7" t="s">
        <v>234</v>
      </c>
      <c r="C4" s="7" t="s">
        <v>235</v>
      </c>
      <c r="D4" s="7" t="s">
        <v>236</v>
      </c>
      <c r="E4" s="7" t="s">
        <v>236</v>
      </c>
      <c r="F4" s="7" t="s">
        <v>237</v>
      </c>
      <c r="G4" s="7" t="s">
        <v>238</v>
      </c>
    </row>
    <row r="5" spans="1:7" ht="25.5" x14ac:dyDescent="0.25">
      <c r="A5" s="9" t="s">
        <v>239</v>
      </c>
      <c r="B5" s="10" t="s">
        <v>240</v>
      </c>
      <c r="C5" s="10" t="s">
        <v>241</v>
      </c>
      <c r="D5" s="10" t="s">
        <v>241</v>
      </c>
      <c r="E5" s="10" t="s">
        <v>241</v>
      </c>
      <c r="F5" s="10" t="s">
        <v>242</v>
      </c>
      <c r="G5" s="10" t="s">
        <v>243</v>
      </c>
    </row>
    <row r="6" spans="1:7" ht="25.5" x14ac:dyDescent="0.25">
      <c r="A6" s="6" t="s">
        <v>244</v>
      </c>
      <c r="B6" s="7" t="s">
        <v>245</v>
      </c>
      <c r="C6" s="7" t="s">
        <v>246</v>
      </c>
      <c r="D6" s="7" t="s">
        <v>247</v>
      </c>
      <c r="E6" s="7" t="s">
        <v>248</v>
      </c>
      <c r="F6" s="7" t="s">
        <v>249</v>
      </c>
      <c r="G6" s="7" t="s">
        <v>250</v>
      </c>
    </row>
    <row r="7" spans="1:7" ht="25.5" x14ac:dyDescent="0.25">
      <c r="A7" s="9" t="s">
        <v>251</v>
      </c>
      <c r="B7" s="10" t="s">
        <v>252</v>
      </c>
      <c r="C7" s="10" t="s">
        <v>229</v>
      </c>
      <c r="D7" s="10" t="s">
        <v>253</v>
      </c>
      <c r="E7" s="10" t="s">
        <v>253</v>
      </c>
      <c r="F7" s="10" t="s">
        <v>254</v>
      </c>
      <c r="G7" s="10" t="s">
        <v>255</v>
      </c>
    </row>
    <row r="8" spans="1:7" ht="25.5" x14ac:dyDescent="0.25">
      <c r="A8" s="6" t="s">
        <v>256</v>
      </c>
      <c r="B8" s="7" t="s">
        <v>257</v>
      </c>
      <c r="C8" s="7" t="s">
        <v>229</v>
      </c>
      <c r="D8" s="7" t="s">
        <v>258</v>
      </c>
      <c r="E8" s="7" t="s">
        <v>258</v>
      </c>
      <c r="F8" s="7" t="s">
        <v>259</v>
      </c>
      <c r="G8" s="7" t="s">
        <v>232</v>
      </c>
    </row>
    <row r="9" spans="1:7" ht="38.25" x14ac:dyDescent="0.25">
      <c r="A9" s="9" t="s">
        <v>260</v>
      </c>
      <c r="B9" s="10" t="s">
        <v>261</v>
      </c>
      <c r="C9" s="10" t="s">
        <v>229</v>
      </c>
      <c r="D9" s="10" t="s">
        <v>262</v>
      </c>
      <c r="E9" s="10" t="s">
        <v>262</v>
      </c>
      <c r="F9" s="10" t="s">
        <v>263</v>
      </c>
      <c r="G9" s="10" t="s">
        <v>264</v>
      </c>
    </row>
    <row r="10" spans="1:7" ht="38.25" x14ac:dyDescent="0.25">
      <c r="A10" s="6" t="s">
        <v>265</v>
      </c>
      <c r="B10" s="7" t="s">
        <v>266</v>
      </c>
      <c r="C10" s="7" t="s">
        <v>229</v>
      </c>
      <c r="D10" s="7" t="s">
        <v>267</v>
      </c>
      <c r="E10" s="7" t="s">
        <v>267</v>
      </c>
      <c r="F10" s="7" t="s">
        <v>268</v>
      </c>
      <c r="G10" s="7" t="s">
        <v>255</v>
      </c>
    </row>
    <row r="11" spans="1:7" ht="25.5" x14ac:dyDescent="0.25">
      <c r="A11" s="9" t="s">
        <v>269</v>
      </c>
      <c r="B11" s="10" t="s">
        <v>270</v>
      </c>
      <c r="C11" s="10" t="s">
        <v>229</v>
      </c>
      <c r="D11" s="10" t="s">
        <v>271</v>
      </c>
      <c r="E11" s="10" t="s">
        <v>271</v>
      </c>
      <c r="F11" s="10" t="s">
        <v>272</v>
      </c>
      <c r="G11" s="10" t="s">
        <v>273</v>
      </c>
    </row>
    <row r="12" spans="1:7" ht="51" x14ac:dyDescent="0.25">
      <c r="A12" s="6" t="s">
        <v>274</v>
      </c>
      <c r="B12" s="7" t="s">
        <v>275</v>
      </c>
      <c r="C12" s="7" t="s">
        <v>229</v>
      </c>
      <c r="D12" s="7" t="s">
        <v>229</v>
      </c>
      <c r="E12" s="7" t="s">
        <v>276</v>
      </c>
      <c r="F12" s="7" t="s">
        <v>277</v>
      </c>
      <c r="G12" s="7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8.7109375" defaultRowHeight="15" x14ac:dyDescent="0.25"/>
  <cols>
    <col min="1" max="1" width="42" customWidth="1"/>
    <col min="2" max="2" width="40" customWidth="1"/>
    <col min="3" max="3" width="30" customWidth="1"/>
    <col min="4" max="4" width="40" customWidth="1"/>
    <col min="5" max="5" width="9" customWidth="1"/>
    <col min="6" max="13" width="11" customWidth="1"/>
  </cols>
  <sheetData>
    <row r="1" spans="1:7" ht="18" x14ac:dyDescent="0.25">
      <c r="A1" s="23" t="s">
        <v>279</v>
      </c>
    </row>
    <row r="2" spans="1:7" x14ac:dyDescent="0.25">
      <c r="A2" s="22" t="s">
        <v>280</v>
      </c>
    </row>
    <row r="3" spans="1:7" x14ac:dyDescent="0.25">
      <c r="A3" s="24" t="s">
        <v>281</v>
      </c>
      <c r="B3" s="24" t="s">
        <v>5</v>
      </c>
      <c r="C3" s="24" t="s">
        <v>282</v>
      </c>
    </row>
    <row r="4" spans="1:7" x14ac:dyDescent="0.25">
      <c r="A4" s="16" t="s">
        <v>283</v>
      </c>
      <c r="B4" s="25">
        <v>10000000</v>
      </c>
      <c r="C4" s="18" t="str">
        <f>INDEX('1. Drivers'!$C$3:$C$6,MATCH(B4,'1. Drivers'!$D$3:$D$6,1))</f>
        <v>V3 Threshold to £20m</v>
      </c>
    </row>
    <row r="5" spans="1:7" x14ac:dyDescent="0.25">
      <c r="A5" s="16" t="s">
        <v>77</v>
      </c>
      <c r="B5" s="26">
        <v>40</v>
      </c>
      <c r="C5" s="18" t="str">
        <f>INDEX('1. Drivers'!$C$7:$C$9,MATCH(B5,'1. Drivers'!$D$7:$D$9,1))</f>
        <v>D2 27–52 wks</v>
      </c>
    </row>
    <row r="6" spans="1:7" x14ac:dyDescent="0.25">
      <c r="A6" s="16" t="s">
        <v>284</v>
      </c>
      <c r="B6" s="26">
        <v>5</v>
      </c>
      <c r="C6" s="18" t="str">
        <f>INDEX('1. Drivers'!$C$10:$C$12,MATCH(B6,'1. Drivers'!$D$10:$D$12,1))</f>
        <v>R3 High</v>
      </c>
    </row>
    <row r="7" spans="1:7" x14ac:dyDescent="0.25">
      <c r="A7" s="16" t="s">
        <v>285</v>
      </c>
      <c r="B7" s="27" t="s">
        <v>99</v>
      </c>
      <c r="C7" s="18" t="str">
        <f>INDEX('1. Drivers'!$C$13:$C$19,MATCH(B7,'1. Drivers'!$E$13:$E$19,0))</f>
        <v>P2 Fixed/certain final cost</v>
      </c>
    </row>
    <row r="8" spans="1:7" x14ac:dyDescent="0.25">
      <c r="A8" s="16" t="s">
        <v>286</v>
      </c>
      <c r="B8" s="27" t="s">
        <v>301</v>
      </c>
    </row>
    <row r="10" spans="1:7" x14ac:dyDescent="0.25">
      <c r="A10" s="24" t="s">
        <v>127</v>
      </c>
      <c r="B10" s="24" t="s">
        <v>287</v>
      </c>
      <c r="C10" s="24" t="s">
        <v>288</v>
      </c>
      <c r="D10" s="24" t="s">
        <v>289</v>
      </c>
      <c r="E10" s="24" t="s">
        <v>288</v>
      </c>
      <c r="F10" s="24" t="s">
        <v>290</v>
      </c>
      <c r="G10" s="24" t="s">
        <v>291</v>
      </c>
    </row>
    <row r="11" spans="1:7" x14ac:dyDescent="0.25">
      <c r="A11" s="16" t="s">
        <v>14</v>
      </c>
      <c r="B11" s="9" t="str">
        <f>IF(INDEX($J$20:$J$23,MATCH(1,$L$20:$L$23,0))&lt;0,"—",INDEX($C$20:$C$23,MATCH(1,$L$20:$L$23,0)))</f>
        <v>Design &amp; Build 1 Stage</v>
      </c>
      <c r="C11" s="10">
        <f>IF(INDEX($J$20:$J$23,MATCH(1,$L$20:$L$23,0))&lt;0,"",INDEX($I$20:$I$23,MATCH(1,$L$20:$L$23,0)))</f>
        <v>9</v>
      </c>
      <c r="D11" s="9" t="str">
        <f>IF(INDEX($J$20:$J$23,MATCH(2,$L$20:$L$23,0))&lt;0,"—",INDEX($C$20:$C$23,MATCH(2,$L$20:$L$23,0)))</f>
        <v>Traditional</v>
      </c>
      <c r="E11" s="10">
        <f>IF(INDEX($J$20:$J$23,MATCH(2,$L$20:$L$23,0))&lt;0,"",INDEX($I$20:$I$23,MATCH(2,$L$20:$L$23,0)))</f>
        <v>7</v>
      </c>
      <c r="F11" s="10" t="str">
        <f>INDEX($A$20:$A$23,MATCH(1,$L$20:$L$23,0))</f>
        <v>PR2</v>
      </c>
      <c r="G11" s="10" t="str">
        <f>IF(D11="—","",INDEX($A$20:$A$23,MATCH(2,$L$20:$L$23,0)))</f>
        <v>PR1</v>
      </c>
    </row>
    <row r="12" spans="1:7" x14ac:dyDescent="0.25">
      <c r="A12" s="16" t="s">
        <v>16</v>
      </c>
      <c r="B12" s="9" t="str">
        <f>IF(INDEX($J$24:$J$28,MATCH(1,$L$24:$L$28,0))&lt;0,"—",INDEX($C$24:$C$28,MATCH(1,$L$24:$L$28,0)))</f>
        <v>Lump sum</v>
      </c>
      <c r="C12" s="10">
        <f>IF(INDEX($J$24:$J$28,MATCH(1,$L$24:$L$28,0))&lt;0,"",INDEX($I$24:$I$28,MATCH(1,$L$24:$L$28,0)))</f>
        <v>8</v>
      </c>
      <c r="D12" s="9" t="str">
        <f>IF(G11="","—",IF(INDEX($K$24:$K$28,MATCH(1,$M$24:$M$28,0))&lt;0,"—",INDEX($C$24:$C$28,MATCH(1,$M$24:$M$28,0))))</f>
        <v>Lump sum</v>
      </c>
      <c r="E12" s="10">
        <f>IF(D12="—","",INDEX($I$24:$I$28,MATCH(1,$M$24:$M$28,0)))</f>
        <v>8</v>
      </c>
      <c r="F12" s="10" t="str">
        <f>IF(B12="—","",INDEX($A$24:$A$28,MATCH(1,$L$24:$L$28,0)))</f>
        <v>CM1</v>
      </c>
      <c r="G12" s="10" t="str">
        <f>IF(D12="—","",INDEX($A$24:$A$28,MATCH(1,$M$24:$M$28,0)))</f>
        <v>CM1</v>
      </c>
    </row>
    <row r="13" spans="1:7" ht="38.25" x14ac:dyDescent="0.25">
      <c r="A13" s="16" t="s">
        <v>292</v>
      </c>
      <c r="B13" s="9" t="str">
        <f>IFERROR(INDEX('3. Contracts'!$C$2:$E$12,MATCH($F$11&amp;"|"&amp;$F$12,'3. Contracts'!$A$2:$A$12,0),MIN(3,MATCH($B$4,'1. Drivers'!$D$3:$D$6,1))),"—")</f>
        <v>JCT Design and Build (DB)</v>
      </c>
      <c r="C13" s="10"/>
      <c r="D13" s="9" t="str">
        <f>IFERROR(INDEX('3. Contracts'!$C$2:$E$12,MATCH($G$11&amp;"|"&amp;$G$12,'3. Contracts'!$A$2:$A$12,0),MIN(3,MATCH($B$4,'1. Drivers'!$D$3:$D$6,1))),"—")</f>
        <v>JCT Standard Building Contract with Quantities (SBC/Q) or without Quantities (SBC/XQ)</v>
      </c>
      <c r="E13" s="10"/>
      <c r="F13" s="10"/>
      <c r="G13" s="10"/>
    </row>
    <row r="14" spans="1:7" ht="38.25" x14ac:dyDescent="0.25">
      <c r="A14" s="16" t="s">
        <v>293</v>
      </c>
      <c r="B14" s="9" t="str">
        <f>IFERROR(INDEX('3. Contracts'!$F$2:$F$12,MATCH($F$11&amp;"|"&amp;$F$12,'3. Contracts'!$A$2:$A$12,0)),"—")</f>
        <v>ECC Option A with contractor's design</v>
      </c>
      <c r="C14" s="10"/>
      <c r="D14" s="9" t="str">
        <f>IFERROR(INDEX('3. Contracts'!$F$2:$F$12,MATCH($G$11&amp;"|"&amp;$G$12,'3. Contracts'!$A$2:$A$12,0)),"—")</f>
        <v>ECC Option A (priced contract with activity schedule); ECSC for simple low-value work</v>
      </c>
      <c r="E14" s="10"/>
      <c r="F14" s="10"/>
      <c r="G14" s="10"/>
    </row>
    <row r="15" spans="1:7" x14ac:dyDescent="0.25">
      <c r="A15" s="16" t="s">
        <v>18</v>
      </c>
      <c r="B15" s="9" t="str">
        <f>IF(INDEX($J$29:$J$34,MATCH(1,$L$29:$L$34,0))&lt;0,"—",INDEX($C$29:$C$34,MATCH(1,$L$29:$L$34,0)))</f>
        <v>Selective tender</v>
      </c>
      <c r="C15" s="10">
        <f>IF(INDEX($J$29:$J$34,MATCH(1,$L$29:$L$34,0))&lt;0,"",INDEX($I$29:$I$34,MATCH(1,$L$29:$L$34,0)))</f>
        <v>8</v>
      </c>
      <c r="D15" s="9" t="str">
        <f>IF(INDEX($J$29:$J$34,MATCH(2,$L$29:$L$34,0))&lt;0,"—",INDEX($C$29:$C$34,MATCH(2,$L$29:$L$34,0)))</f>
        <v>Open tender</v>
      </c>
      <c r="E15" s="10">
        <f>IF(INDEX($J$29:$J$34,MATCH(2,$L$29:$L$34,0))&lt;0,"",INDEX($I$29:$I$34,MATCH(2,$L$29:$L$34,0)))</f>
        <v>7</v>
      </c>
      <c r="F15" s="10" t="str">
        <f>INDEX($A$29:$A$34,MATCH(1,$L$29:$L$34,0))</f>
        <v>RM3</v>
      </c>
      <c r="G15" s="10" t="str">
        <f>IF(D15="—","",INDEX($A$29:$A$34,MATCH(2,$L$29:$L$34,0)))</f>
        <v>RM2</v>
      </c>
    </row>
    <row r="16" spans="1:7" x14ac:dyDescent="0.25">
      <c r="A16" s="22" t="str">
        <f>"Maximum score: "&amp;(2*('1. Drivers'!$D$22+'1. Drivers'!$D$23+'1. Drivers'!$D$24+'1. Drivers'!$D$25))&amp;". Commercial model and contract in the Alternative column go with the alternative route."</f>
        <v>Maximum score: 10. Commercial model and contract in the Alternative column go with the alternative route.</v>
      </c>
    </row>
    <row r="18" spans="1:13" x14ac:dyDescent="0.25">
      <c r="A18" s="15" t="s">
        <v>294</v>
      </c>
    </row>
    <row r="19" spans="1:13" ht="30" customHeight="1" x14ac:dyDescent="0.25">
      <c r="A19" s="5" t="s">
        <v>126</v>
      </c>
      <c r="B19" s="5" t="s">
        <v>127</v>
      </c>
      <c r="C19" s="5" t="s">
        <v>128</v>
      </c>
      <c r="D19" s="5" t="s">
        <v>5</v>
      </c>
      <c r="E19" s="5" t="s">
        <v>7</v>
      </c>
      <c r="F19" s="5" t="s">
        <v>9</v>
      </c>
      <c r="G19" s="5" t="s">
        <v>295</v>
      </c>
      <c r="H19" s="5" t="s">
        <v>296</v>
      </c>
      <c r="I19" s="5" t="s">
        <v>288</v>
      </c>
      <c r="J19" s="5" t="s">
        <v>297</v>
      </c>
      <c r="K19" s="5" t="s">
        <v>298</v>
      </c>
      <c r="L19" s="5" t="s">
        <v>299</v>
      </c>
      <c r="M19" s="5" t="s">
        <v>300</v>
      </c>
    </row>
    <row r="20" spans="1:13" x14ac:dyDescent="0.25">
      <c r="A20" s="28" t="str">
        <f>'2. Options'!A2</f>
        <v>PR1</v>
      </c>
      <c r="B20" s="28" t="str">
        <f>'2. Options'!B2</f>
        <v>Procurement route</v>
      </c>
      <c r="C20" s="28" t="str">
        <f>'2. Options'!C2</f>
        <v>Traditional</v>
      </c>
      <c r="D20" s="21">
        <f>INDEX('2. Options'!$J2:$M2,1,MATCH($C$4,'2. Options'!$J$1:$M$1,0))</f>
        <v>1</v>
      </c>
      <c r="E20" s="21">
        <f>INDEX('2. Options'!$N2:$P2,1,MATCH($C$5,'2. Options'!$N$1:$P$1,0))</f>
        <v>2</v>
      </c>
      <c r="F20" s="21">
        <f>INDEX('2. Options'!$Q2:$S2,1,MATCH($C$6,'2. Options'!$Q$1:$S$1,0))</f>
        <v>0</v>
      </c>
      <c r="G20" s="21">
        <f>INDEX('2. Options'!$T2:$Z2,1,MATCH($C$7,'2. Options'!$T$1:$Z$1,0))</f>
        <v>2</v>
      </c>
      <c r="H20" s="21" t="str">
        <f>IF(OR(D20="X",E20="X",F20="X",G20="X",AND($B$8="Yes",'2. Options'!H2="Private only"),AND($B$8="No",'2. Options'!H2="Public only")),"Yes","No")</f>
        <v>No</v>
      </c>
      <c r="I20" s="21">
        <f>IF(H20="Yes","",D20*'1. Drivers'!$D$22+E20*'1. Drivers'!$D$23+F20*'1. Drivers'!$D$24+G20*'1. Drivers'!$D$25)</f>
        <v>7</v>
      </c>
      <c r="J20" s="29">
        <f>IF(H20="Yes",-100,I20)-ROW()/1000</f>
        <v>6.98</v>
      </c>
      <c r="K20" s="29">
        <f>J20</f>
        <v>6.98</v>
      </c>
      <c r="L20" s="21">
        <f>COUNTIF($J$20:$J$23,"&gt;"&amp;J20)+1</f>
        <v>2</v>
      </c>
      <c r="M20" s="21">
        <f>COUNTIF($K$20:$K$23,"&gt;"&amp;K20)+1</f>
        <v>2</v>
      </c>
    </row>
    <row r="21" spans="1:13" x14ac:dyDescent="0.25">
      <c r="A21" s="28" t="str">
        <f>'2. Options'!A3</f>
        <v>PR2</v>
      </c>
      <c r="B21" s="28" t="str">
        <f>'2. Options'!B3</f>
        <v>Procurement route</v>
      </c>
      <c r="C21" s="28" t="str">
        <f>'2. Options'!C3</f>
        <v>Design &amp; Build 1 Stage</v>
      </c>
      <c r="D21" s="21">
        <f>INDEX('2. Options'!$J3:$M3,1,MATCH($C$4,'2. Options'!$J$1:$M$1,0))</f>
        <v>2</v>
      </c>
      <c r="E21" s="21">
        <f>INDEX('2. Options'!$N3:$P3,1,MATCH($C$5,'2. Options'!$N$1:$P$1,0))</f>
        <v>2</v>
      </c>
      <c r="F21" s="21">
        <f>INDEX('2. Options'!$Q3:$S3,1,MATCH($C$6,'2. Options'!$Q$1:$S$1,0))</f>
        <v>1</v>
      </c>
      <c r="G21" s="21">
        <f>INDEX('2. Options'!$T3:$Z3,1,MATCH($C$7,'2. Options'!$T$1:$Z$1,0))</f>
        <v>2</v>
      </c>
      <c r="H21" s="21" t="str">
        <f>IF(OR(D21="X",E21="X",F21="X",G21="X",AND($B$8="Yes",'2. Options'!H3="Private only"),AND($B$8="No",'2. Options'!H3="Public only")),"Yes","No")</f>
        <v>No</v>
      </c>
      <c r="I21" s="21">
        <f>IF(H21="Yes","",D21*'1. Drivers'!$D$22+E21*'1. Drivers'!$D$23+F21*'1. Drivers'!$D$24+G21*'1. Drivers'!$D$25)</f>
        <v>9</v>
      </c>
      <c r="J21" s="29">
        <f>IF(H21="Yes",-100,I21)-ROW()/1000</f>
        <v>8.9789999999999992</v>
      </c>
      <c r="K21" s="29">
        <f>J21</f>
        <v>8.9789999999999992</v>
      </c>
      <c r="L21" s="21">
        <f>COUNTIF($J$20:$J$23,"&gt;"&amp;J21)+1</f>
        <v>1</v>
      </c>
      <c r="M21" s="21">
        <f>COUNTIF($K$20:$K$23,"&gt;"&amp;K21)+1</f>
        <v>1</v>
      </c>
    </row>
    <row r="22" spans="1:13" x14ac:dyDescent="0.25">
      <c r="A22" s="28" t="str">
        <f>'2. Options'!A4</f>
        <v>PR3</v>
      </c>
      <c r="B22" s="28" t="str">
        <f>'2. Options'!B4</f>
        <v>Procurement route</v>
      </c>
      <c r="C22" s="28" t="str">
        <f>'2. Options'!C4</f>
        <v>Design &amp; Build 2 Stage</v>
      </c>
      <c r="D22" s="21">
        <f>INDEX('2. Options'!$J4:$M4,1,MATCH($C$4,'2. Options'!$J$1:$M$1,0))</f>
        <v>2</v>
      </c>
      <c r="E22" s="21">
        <f>INDEX('2. Options'!$N4:$P4,1,MATCH($C$5,'2. Options'!$N$1:$P$1,0))</f>
        <v>1</v>
      </c>
      <c r="F22" s="21">
        <f>INDEX('2. Options'!$Q4:$S4,1,MATCH($C$6,'2. Options'!$Q$1:$S$1,0))</f>
        <v>2</v>
      </c>
      <c r="G22" s="21">
        <f>INDEX('2. Options'!$T4:$Z4,1,MATCH($C$7,'2. Options'!$T$1:$Z$1,0))</f>
        <v>1</v>
      </c>
      <c r="H22" s="21" t="str">
        <f>IF(OR(D22="X",E22="X",F22="X",G22="X",AND($B$8="Yes",'2. Options'!H4="Private only"),AND($B$8="No",'2. Options'!H4="Public only")),"Yes","No")</f>
        <v>No</v>
      </c>
      <c r="I22" s="21">
        <f>IF(H22="Yes","",D22*'1. Drivers'!$D$22+E22*'1. Drivers'!$D$23+F22*'1. Drivers'!$D$24+G22*'1. Drivers'!$D$25)</f>
        <v>7</v>
      </c>
      <c r="J22" s="29">
        <f>IF(H22="Yes",-100,I22)-ROW()/1000</f>
        <v>6.9779999999999998</v>
      </c>
      <c r="K22" s="29">
        <f>J22</f>
        <v>6.9779999999999998</v>
      </c>
      <c r="L22" s="21">
        <f>COUNTIF($J$20:$J$23,"&gt;"&amp;J22)+1</f>
        <v>3</v>
      </c>
      <c r="M22" s="21">
        <f>COUNTIF($K$20:$K$23,"&gt;"&amp;K22)+1</f>
        <v>3</v>
      </c>
    </row>
    <row r="23" spans="1:13" x14ac:dyDescent="0.25">
      <c r="A23" s="28" t="str">
        <f>'2. Options'!A5</f>
        <v>PR4</v>
      </c>
      <c r="B23" s="28" t="str">
        <f>'2. Options'!B5</f>
        <v>Procurement route</v>
      </c>
      <c r="C23" s="28" t="str">
        <f>'2. Options'!C5</f>
        <v>Management Contract / Construction Management</v>
      </c>
      <c r="D23" s="21">
        <f>INDEX('2. Options'!$J5:$M5,1,MATCH($C$4,'2. Options'!$J$1:$M$1,0))</f>
        <v>0</v>
      </c>
      <c r="E23" s="21">
        <f>INDEX('2. Options'!$N5:$P5,1,MATCH($C$5,'2. Options'!$N$1:$P$1,0))</f>
        <v>1</v>
      </c>
      <c r="F23" s="21">
        <f>INDEX('2. Options'!$Q5:$S5,1,MATCH($C$6,'2. Options'!$Q$1:$S$1,0))</f>
        <v>2</v>
      </c>
      <c r="G23" s="21">
        <f>INDEX('2. Options'!$T5:$Z5,1,MATCH($C$7,'2. Options'!$T$1:$Z$1,0))</f>
        <v>0</v>
      </c>
      <c r="H23" s="21" t="str">
        <f>IF(OR(D23="X",E23="X",F23="X",G23="X",AND($B$8="Yes",'2. Options'!H5="Private only"),AND($B$8="No",'2. Options'!H5="Public only")),"Yes","No")</f>
        <v>No</v>
      </c>
      <c r="I23" s="21">
        <f>IF(H23="Yes","",D23*'1. Drivers'!$D$22+E23*'1. Drivers'!$D$23+F23*'1. Drivers'!$D$24+G23*'1. Drivers'!$D$25)</f>
        <v>3</v>
      </c>
      <c r="J23" s="29">
        <f>IF(H23="Yes",-100,I23)-ROW()/1000</f>
        <v>2.9769999999999999</v>
      </c>
      <c r="K23" s="29">
        <f>J23</f>
        <v>2.9769999999999999</v>
      </c>
      <c r="L23" s="21">
        <f>COUNTIF($J$20:$J$23,"&gt;"&amp;J23)+1</f>
        <v>4</v>
      </c>
      <c r="M23" s="21">
        <f>COUNTIF($K$20:$K$23,"&gt;"&amp;K23)+1</f>
        <v>4</v>
      </c>
    </row>
    <row r="24" spans="1:13" x14ac:dyDescent="0.25">
      <c r="A24" s="28" t="str">
        <f>'2. Options'!A6</f>
        <v>CM1</v>
      </c>
      <c r="B24" s="28" t="str">
        <f>'2. Options'!B6</f>
        <v>Commercial model</v>
      </c>
      <c r="C24" s="28" t="str">
        <f>'2. Options'!C6</f>
        <v>Lump sum</v>
      </c>
      <c r="D24" s="21">
        <f>INDEX('2. Options'!$J6:$M6,1,MATCH($C$4,'2. Options'!$J$1:$M$1,0))</f>
        <v>2</v>
      </c>
      <c r="E24" s="21">
        <f>INDEX('2. Options'!$N6:$P6,1,MATCH($C$5,'2. Options'!$N$1:$P$1,0))</f>
        <v>2</v>
      </c>
      <c r="F24" s="21">
        <f>INDEX('2. Options'!$Q6:$S6,1,MATCH($C$6,'2. Options'!$Q$1:$S$1,0))</f>
        <v>0</v>
      </c>
      <c r="G24" s="21">
        <f>INDEX('2. Options'!$T6:$Z6,1,MATCH($C$7,'2. Options'!$T$1:$Z$1,0))</f>
        <v>2</v>
      </c>
      <c r="H24" s="21" t="str">
        <f>IF(OR(D24="X",E24="X",F24="X",G24="X",AND($B$8="Yes",'2. Options'!H6="Private only"),AND($B$8="No",'2. Options'!H6="Public only")),"Yes","No")</f>
        <v>No</v>
      </c>
      <c r="I24" s="21">
        <f>IF(H24="Yes","",D24*'1. Drivers'!$D$22+E24*'1. Drivers'!$D$23+F24*'1. Drivers'!$D$24+G24*'1. Drivers'!$D$25)</f>
        <v>8</v>
      </c>
      <c r="J24" s="29">
        <f>IF(OR(H24="Yes",ISERROR(SEARCH($F$11,'2. Options'!G6))),-100,I24)-ROW()/1000</f>
        <v>7.976</v>
      </c>
      <c r="K24" s="29">
        <f>IF(OR($G$11="",H24="Yes",ISERROR(SEARCH($G$11,'2. Options'!G6))),-100,I24)-ROW()/1000</f>
        <v>7.976</v>
      </c>
      <c r="L24" s="21">
        <f>COUNTIF($J$24:$J$28,"&gt;"&amp;J24)+1</f>
        <v>1</v>
      </c>
      <c r="M24" s="21">
        <f>COUNTIF($K$24:$K$28,"&gt;"&amp;K24)+1</f>
        <v>1</v>
      </c>
    </row>
    <row r="25" spans="1:13" x14ac:dyDescent="0.25">
      <c r="A25" s="28" t="str">
        <f>'2. Options'!A7</f>
        <v>CM2</v>
      </c>
      <c r="B25" s="28" t="str">
        <f>'2. Options'!B7</f>
        <v>Commercial model</v>
      </c>
      <c r="C25" s="28" t="str">
        <f>'2. Options'!C7</f>
        <v>Guaranteed maximum price (GMP)</v>
      </c>
      <c r="D25" s="21">
        <f>INDEX('2. Options'!$J7:$M7,1,MATCH($C$4,'2. Options'!$J$1:$M$1,0))</f>
        <v>2</v>
      </c>
      <c r="E25" s="21">
        <f>INDEX('2. Options'!$N7:$P7,1,MATCH($C$5,'2. Options'!$N$1:$P$1,0))</f>
        <v>1</v>
      </c>
      <c r="F25" s="21">
        <f>INDEX('2. Options'!$Q7:$S7,1,MATCH($C$6,'2. Options'!$Q$1:$S$1,0))</f>
        <v>1</v>
      </c>
      <c r="G25" s="21">
        <f>INDEX('2. Options'!$T7:$Z7,1,MATCH($C$7,'2. Options'!$T$1:$Z$1,0))</f>
        <v>2</v>
      </c>
      <c r="H25" s="21" t="str">
        <f>IF(OR(D25="X",E25="X",F25="X",G25="X",AND($B$8="Yes",'2. Options'!H7="Private only"),AND($B$8="No",'2. Options'!H7="Public only")),"Yes","No")</f>
        <v>No</v>
      </c>
      <c r="I25" s="21">
        <f>IF(H25="Yes","",D25*'1. Drivers'!$D$22+E25*'1. Drivers'!$D$23+F25*'1. Drivers'!$D$24+G25*'1. Drivers'!$D$25)</f>
        <v>8</v>
      </c>
      <c r="J25" s="29">
        <f>IF(OR(H25="Yes",ISERROR(SEARCH($F$11,'2. Options'!G7))),-100,I25)-ROW()/1000</f>
        <v>7.9749999999999996</v>
      </c>
      <c r="K25" s="29">
        <f>IF(OR($G$11="",H25="Yes",ISERROR(SEARCH($G$11,'2. Options'!G7))),-100,I25)-ROW()/1000</f>
        <v>-100.02500000000001</v>
      </c>
      <c r="L25" s="21">
        <f>COUNTIF($J$24:$J$28,"&gt;"&amp;J25)+1</f>
        <v>2</v>
      </c>
      <c r="M25" s="21">
        <f>COUNTIF($K$24:$K$28,"&gt;"&amp;K25)+1</f>
        <v>5</v>
      </c>
    </row>
    <row r="26" spans="1:13" x14ac:dyDescent="0.25">
      <c r="A26" s="28" t="str">
        <f>'2. Options'!A8</f>
        <v>CM3</v>
      </c>
      <c r="B26" s="28" t="str">
        <f>'2. Options'!B8</f>
        <v>Commercial model</v>
      </c>
      <c r="C26" s="28" t="str">
        <f>'2. Options'!C8</f>
        <v>Target cost</v>
      </c>
      <c r="D26" s="21">
        <f>INDEX('2. Options'!$J8:$M8,1,MATCH($C$4,'2. Options'!$J$1:$M$1,0))</f>
        <v>2</v>
      </c>
      <c r="E26" s="21">
        <f>INDEX('2. Options'!$N8:$P8,1,MATCH($C$5,'2. Options'!$N$1:$P$1,0))</f>
        <v>1</v>
      </c>
      <c r="F26" s="21">
        <f>INDEX('2. Options'!$Q8:$S8,1,MATCH($C$6,'2. Options'!$Q$1:$S$1,0))</f>
        <v>2</v>
      </c>
      <c r="G26" s="21">
        <f>INDEX('2. Options'!$T8:$Z8,1,MATCH($C$7,'2. Options'!$T$1:$Z$1,0))</f>
        <v>0</v>
      </c>
      <c r="H26" s="21" t="str">
        <f>IF(OR(D26="X",E26="X",F26="X",G26="X",AND($B$8="Yes",'2. Options'!H8="Private only"),AND($B$8="No",'2. Options'!H8="Public only")),"Yes","No")</f>
        <v>No</v>
      </c>
      <c r="I26" s="21">
        <f>IF(H26="Yes","",D26*'1. Drivers'!$D$22+E26*'1. Drivers'!$D$23+F26*'1. Drivers'!$D$24+G26*'1. Drivers'!$D$25)</f>
        <v>5</v>
      </c>
      <c r="J26" s="29">
        <f>IF(OR(H26="Yes",ISERROR(SEARCH($F$11,'2. Options'!G8))),-100,I26)-ROW()/1000</f>
        <v>4.9740000000000002</v>
      </c>
      <c r="K26" s="29">
        <f>IF(OR($G$11="",H26="Yes",ISERROR(SEARCH($G$11,'2. Options'!G8))),-100,I26)-ROW()/1000</f>
        <v>4.9740000000000002</v>
      </c>
      <c r="L26" s="21">
        <f>COUNTIF($J$24:$J$28,"&gt;"&amp;J26)+1</f>
        <v>3</v>
      </c>
      <c r="M26" s="21">
        <f>COUNTIF($K$24:$K$28,"&gt;"&amp;K26)+1</f>
        <v>2</v>
      </c>
    </row>
    <row r="27" spans="1:13" x14ac:dyDescent="0.25">
      <c r="A27" s="28" t="str">
        <f>'2. Options'!A9</f>
        <v>CM4</v>
      </c>
      <c r="B27" s="28" t="str">
        <f>'2. Options'!B9</f>
        <v>Commercial model</v>
      </c>
      <c r="C27" s="28" t="str">
        <f>'2. Options'!C9</f>
        <v>Remeasurement</v>
      </c>
      <c r="D27" s="21">
        <f>INDEX('2. Options'!$J9:$M9,1,MATCH($C$4,'2. Options'!$J$1:$M$1,0))</f>
        <v>1</v>
      </c>
      <c r="E27" s="21">
        <f>INDEX('2. Options'!$N9:$P9,1,MATCH($C$5,'2. Options'!$N$1:$P$1,0))</f>
        <v>2</v>
      </c>
      <c r="F27" s="21">
        <f>INDEX('2. Options'!$Q9:$S9,1,MATCH($C$6,'2. Options'!$Q$1:$S$1,0))</f>
        <v>2</v>
      </c>
      <c r="G27" s="21">
        <f>INDEX('2. Options'!$T9:$Z9,1,MATCH($C$7,'2. Options'!$T$1:$Z$1,0))</f>
        <v>0</v>
      </c>
      <c r="H27" s="21" t="str">
        <f>IF(OR(D27="X",E27="X",F27="X",G27="X",AND($B$8="Yes",'2. Options'!H9="Private only"),AND($B$8="No",'2. Options'!H9="Public only")),"Yes","No")</f>
        <v>No</v>
      </c>
      <c r="I27" s="21">
        <f>IF(H27="Yes","",D27*'1. Drivers'!$D$22+E27*'1. Drivers'!$D$23+F27*'1. Drivers'!$D$24+G27*'1. Drivers'!$D$25)</f>
        <v>5</v>
      </c>
      <c r="J27" s="29">
        <f>IF(OR(H27="Yes",ISERROR(SEARCH($F$11,'2. Options'!G9))),-100,I27)-ROW()/1000</f>
        <v>-100.027</v>
      </c>
      <c r="K27" s="29">
        <f>IF(OR($G$11="",H27="Yes",ISERROR(SEARCH($G$11,'2. Options'!G9))),-100,I27)-ROW()/1000</f>
        <v>4.9729999999999999</v>
      </c>
      <c r="L27" s="21">
        <f>COUNTIF($J$24:$J$28,"&gt;"&amp;J27)+1</f>
        <v>4</v>
      </c>
      <c r="M27" s="21">
        <f>COUNTIF($K$24:$K$28,"&gt;"&amp;K27)+1</f>
        <v>3</v>
      </c>
    </row>
    <row r="28" spans="1:13" x14ac:dyDescent="0.25">
      <c r="A28" s="28" t="str">
        <f>'2. Options'!A10</f>
        <v>CM5</v>
      </c>
      <c r="B28" s="28" t="str">
        <f>'2. Options'!B10</f>
        <v>Commercial model</v>
      </c>
      <c r="C28" s="28" t="str">
        <f>'2. Options'!C10</f>
        <v>Cost reimbursable</v>
      </c>
      <c r="D28" s="21">
        <f>INDEX('2. Options'!$J10:$M10,1,MATCH($C$4,'2. Options'!$J$1:$M$1,0))</f>
        <v>0</v>
      </c>
      <c r="E28" s="21">
        <f>INDEX('2. Options'!$N10:$P10,1,MATCH($C$5,'2. Options'!$N$1:$P$1,0))</f>
        <v>1</v>
      </c>
      <c r="F28" s="21">
        <f>INDEX('2. Options'!$Q10:$S10,1,MATCH($C$6,'2. Options'!$Q$1:$S$1,0))</f>
        <v>2</v>
      </c>
      <c r="G28" s="21">
        <f>INDEX('2. Options'!$T10:$Z10,1,MATCH($C$7,'2. Options'!$T$1:$Z$1,0))</f>
        <v>0</v>
      </c>
      <c r="H28" s="21" t="str">
        <f>IF(OR(D28="X",E28="X",F28="X",G28="X",AND($B$8="Yes",'2. Options'!H10="Private only"),AND($B$8="No",'2. Options'!H10="Public only")),"Yes","No")</f>
        <v>No</v>
      </c>
      <c r="I28" s="21">
        <f>IF(H28="Yes","",D28*'1. Drivers'!$D$22+E28*'1. Drivers'!$D$23+F28*'1. Drivers'!$D$24+G28*'1. Drivers'!$D$25)</f>
        <v>3</v>
      </c>
      <c r="J28" s="29">
        <f>IF(OR(H28="Yes",ISERROR(SEARCH($F$11,'2. Options'!G10))),-100,I28)-ROW()/1000</f>
        <v>-100.02800000000001</v>
      </c>
      <c r="K28" s="29">
        <f>IF(OR($G$11="",H28="Yes",ISERROR(SEARCH($G$11,'2. Options'!G10))),-100,I28)-ROW()/1000</f>
        <v>2.972</v>
      </c>
      <c r="L28" s="21">
        <f>COUNTIF($J$24:$J$28,"&gt;"&amp;J28)+1</f>
        <v>5</v>
      </c>
      <c r="M28" s="21">
        <f>COUNTIF($K$24:$K$28,"&gt;"&amp;K28)+1</f>
        <v>4</v>
      </c>
    </row>
    <row r="29" spans="1:13" x14ac:dyDescent="0.25">
      <c r="A29" s="28" t="str">
        <f>'2. Options'!A11</f>
        <v>RM1</v>
      </c>
      <c r="B29" s="28" t="str">
        <f>'2. Options'!B11</f>
        <v>Route to market</v>
      </c>
      <c r="C29" s="28" t="str">
        <f>'2. Options'!C11</f>
        <v>Quotations</v>
      </c>
      <c r="D29" s="21" t="str">
        <f>INDEX('2. Options'!$J11:$M11,1,MATCH($C$4,'2. Options'!$J$1:$M$1,0))</f>
        <v>X</v>
      </c>
      <c r="E29" s="21">
        <f>INDEX('2. Options'!$N11:$P11,1,MATCH($C$5,'2. Options'!$N$1:$P$1,0))</f>
        <v>1</v>
      </c>
      <c r="F29" s="21">
        <f>INDEX('2. Options'!$Q11:$S11,1,MATCH($C$6,'2. Options'!$Q$1:$S$1,0))</f>
        <v>0</v>
      </c>
      <c r="G29" s="21">
        <f>INDEX('2. Options'!$T11:$Z11,1,MATCH($C$7,'2. Options'!$T$1:$Z$1,0))</f>
        <v>1</v>
      </c>
      <c r="H29" s="21" t="str">
        <f>IF(OR(D29="X",E29="X",F29="X",G29="X",AND($B$8="Yes",'2. Options'!H11="Private only"),AND($B$8="No",'2. Options'!H11="Public only")),"Yes","No")</f>
        <v>Yes</v>
      </c>
      <c r="I29" s="21" t="str">
        <f>IF(H29="Yes","",D29*'1. Drivers'!$D$22+E29*'1. Drivers'!$D$23+F29*'1. Drivers'!$D$24+G29*'1. Drivers'!$D$25)</f>
        <v/>
      </c>
      <c r="J29" s="29">
        <f t="shared" ref="J29:J34" si="0">IF(H29="Yes",-100,I29)-ROW()/1000</f>
        <v>-100.029</v>
      </c>
      <c r="K29" s="29">
        <f t="shared" ref="K29:K34" si="1">J29</f>
        <v>-100.029</v>
      </c>
      <c r="L29" s="21">
        <f t="shared" ref="L29:L34" si="2">COUNTIF($J$29:$J$34,"&gt;"&amp;J29)+1</f>
        <v>4</v>
      </c>
      <c r="M29" s="21">
        <f t="shared" ref="M29:M34" si="3">COUNTIF($K$29:$K$34,"&gt;"&amp;K29)+1</f>
        <v>4</v>
      </c>
    </row>
    <row r="30" spans="1:13" x14ac:dyDescent="0.25">
      <c r="A30" s="28" t="str">
        <f>'2. Options'!A12</f>
        <v>RM2</v>
      </c>
      <c r="B30" s="28" t="str">
        <f>'2. Options'!B12</f>
        <v>Route to market</v>
      </c>
      <c r="C30" s="28" t="str">
        <f>'2. Options'!C12</f>
        <v>Open tender</v>
      </c>
      <c r="D30" s="21">
        <f>INDEX('2. Options'!$J12:$M12,1,MATCH($C$4,'2. Options'!$J$1:$M$1,0))</f>
        <v>2</v>
      </c>
      <c r="E30" s="21">
        <f>INDEX('2. Options'!$N12:$P12,1,MATCH($C$5,'2. Options'!$N$1:$P$1,0))</f>
        <v>1</v>
      </c>
      <c r="F30" s="21">
        <f>INDEX('2. Options'!$Q12:$S12,1,MATCH($C$6,'2. Options'!$Q$1:$S$1,0))</f>
        <v>0</v>
      </c>
      <c r="G30" s="21">
        <f>INDEX('2. Options'!$T12:$Z12,1,MATCH($C$7,'2. Options'!$T$1:$Z$1,0))</f>
        <v>2</v>
      </c>
      <c r="H30" s="21" t="str">
        <f>IF(OR(D30="X",E30="X",F30="X",G30="X",AND($B$8="Yes",'2. Options'!H12="Private only"),AND($B$8="No",'2. Options'!H12="Public only")),"Yes","No")</f>
        <v>No</v>
      </c>
      <c r="I30" s="21">
        <f>IF(H30="Yes","",D30*'1. Drivers'!$D$22+E30*'1. Drivers'!$D$23+F30*'1. Drivers'!$D$24+G30*'1. Drivers'!$D$25)</f>
        <v>7</v>
      </c>
      <c r="J30" s="29">
        <f t="shared" si="0"/>
        <v>6.97</v>
      </c>
      <c r="K30" s="29">
        <f t="shared" si="1"/>
        <v>6.97</v>
      </c>
      <c r="L30" s="21">
        <f t="shared" si="2"/>
        <v>2</v>
      </c>
      <c r="M30" s="21">
        <f t="shared" si="3"/>
        <v>2</v>
      </c>
    </row>
    <row r="31" spans="1:13" x14ac:dyDescent="0.25">
      <c r="A31" s="28" t="str">
        <f>'2. Options'!A13</f>
        <v>RM3</v>
      </c>
      <c r="B31" s="28" t="str">
        <f>'2. Options'!B13</f>
        <v>Route to market</v>
      </c>
      <c r="C31" s="28" t="str">
        <f>'2. Options'!C13</f>
        <v>Selective tender</v>
      </c>
      <c r="D31" s="21">
        <f>INDEX('2. Options'!$J13:$M13,1,MATCH($C$4,'2. Options'!$J$1:$M$1,0))</f>
        <v>1</v>
      </c>
      <c r="E31" s="21">
        <f>INDEX('2. Options'!$N13:$P13,1,MATCH($C$5,'2. Options'!$N$1:$P$1,0))</f>
        <v>2</v>
      </c>
      <c r="F31" s="21">
        <f>INDEX('2. Options'!$Q13:$S13,1,MATCH($C$6,'2. Options'!$Q$1:$S$1,0))</f>
        <v>1</v>
      </c>
      <c r="G31" s="21">
        <f>INDEX('2. Options'!$T13:$Z13,1,MATCH($C$7,'2. Options'!$T$1:$Z$1,0))</f>
        <v>2</v>
      </c>
      <c r="H31" s="21" t="str">
        <f>IF(OR(D31="X",E31="X",F31="X",G31="X",AND($B$8="Yes",'2. Options'!H13="Private only"),AND($B$8="No",'2. Options'!H13="Public only")),"Yes","No")</f>
        <v>No</v>
      </c>
      <c r="I31" s="21">
        <f>IF(H31="Yes","",D31*'1. Drivers'!$D$22+E31*'1. Drivers'!$D$23+F31*'1. Drivers'!$D$24+G31*'1. Drivers'!$D$25)</f>
        <v>8</v>
      </c>
      <c r="J31" s="29">
        <f t="shared" si="0"/>
        <v>7.9690000000000003</v>
      </c>
      <c r="K31" s="29">
        <f t="shared" si="1"/>
        <v>7.9690000000000003</v>
      </c>
      <c r="L31" s="21">
        <f t="shared" si="2"/>
        <v>1</v>
      </c>
      <c r="M31" s="21">
        <f t="shared" si="3"/>
        <v>1</v>
      </c>
    </row>
    <row r="32" spans="1:13" x14ac:dyDescent="0.25">
      <c r="A32" s="28" t="str">
        <f>'2. Options'!A14</f>
        <v>RM4</v>
      </c>
      <c r="B32" s="28" t="str">
        <f>'2. Options'!B14</f>
        <v>Route to market</v>
      </c>
      <c r="C32" s="28" t="str">
        <f>'2. Options'!C14</f>
        <v>Framework — mini-competition</v>
      </c>
      <c r="D32" s="21">
        <f>INDEX('2. Options'!$J14:$M14,1,MATCH($C$4,'2. Options'!$J$1:$M$1,0))</f>
        <v>2</v>
      </c>
      <c r="E32" s="21">
        <f>INDEX('2. Options'!$N14:$P14,1,MATCH($C$5,'2. Options'!$N$1:$P$1,0))</f>
        <v>2</v>
      </c>
      <c r="F32" s="21">
        <f>INDEX('2. Options'!$Q14:$S14,1,MATCH($C$6,'2. Options'!$Q$1:$S$1,0))</f>
        <v>2</v>
      </c>
      <c r="G32" s="21">
        <f>INDEX('2. Options'!$T14:$Z14,1,MATCH($C$7,'2. Options'!$T$1:$Z$1,0))</f>
        <v>2</v>
      </c>
      <c r="H32" s="21" t="str">
        <f>IF(OR(D32="X",E32="X",F32="X",G32="X",AND($B$8="Yes",'2. Options'!H14="Private only"),AND($B$8="No",'2. Options'!H14="Public only")),"Yes","No")</f>
        <v>Yes</v>
      </c>
      <c r="I32" s="21" t="str">
        <f>IF(H32="Yes","",D32*'1. Drivers'!$D$22+E32*'1. Drivers'!$D$23+F32*'1. Drivers'!$D$24+G32*'1. Drivers'!$D$25)</f>
        <v/>
      </c>
      <c r="J32" s="29">
        <f t="shared" si="0"/>
        <v>-100.032</v>
      </c>
      <c r="K32" s="29">
        <f t="shared" si="1"/>
        <v>-100.032</v>
      </c>
      <c r="L32" s="21">
        <f t="shared" si="2"/>
        <v>5</v>
      </c>
      <c r="M32" s="21">
        <f t="shared" si="3"/>
        <v>5</v>
      </c>
    </row>
    <row r="33" spans="1:13" x14ac:dyDescent="0.25">
      <c r="A33" s="28" t="str">
        <f>'2. Options'!A15</f>
        <v>RM5</v>
      </c>
      <c r="B33" s="28" t="str">
        <f>'2. Options'!B15</f>
        <v>Route to market</v>
      </c>
      <c r="C33" s="28" t="str">
        <f>'2. Options'!C15</f>
        <v>Framework — direct award</v>
      </c>
      <c r="D33" s="21">
        <f>INDEX('2. Options'!$J15:$M15,1,MATCH($C$4,'2. Options'!$J$1:$M$1,0))</f>
        <v>2</v>
      </c>
      <c r="E33" s="21">
        <f>INDEX('2. Options'!$N15:$P15,1,MATCH($C$5,'2. Options'!$N$1:$P$1,0))</f>
        <v>2</v>
      </c>
      <c r="F33" s="21">
        <f>INDEX('2. Options'!$Q15:$S15,1,MATCH($C$6,'2. Options'!$Q$1:$S$1,0))</f>
        <v>2</v>
      </c>
      <c r="G33" s="21">
        <f>INDEX('2. Options'!$T15:$Z15,1,MATCH($C$7,'2. Options'!$T$1:$Z$1,0))</f>
        <v>1</v>
      </c>
      <c r="H33" s="21" t="str">
        <f>IF(OR(D33="X",E33="X",F33="X",G33="X",AND($B$8="Yes",'2. Options'!H15="Private only"),AND($B$8="No",'2. Options'!H15="Public only")),"Yes","No")</f>
        <v>Yes</v>
      </c>
      <c r="I33" s="21" t="str">
        <f>IF(H33="Yes","",D33*'1. Drivers'!$D$22+E33*'1. Drivers'!$D$23+F33*'1. Drivers'!$D$24+G33*'1. Drivers'!$D$25)</f>
        <v/>
      </c>
      <c r="J33" s="29">
        <f t="shared" si="0"/>
        <v>-100.033</v>
      </c>
      <c r="K33" s="29">
        <f t="shared" si="1"/>
        <v>-100.033</v>
      </c>
      <c r="L33" s="21">
        <f t="shared" si="2"/>
        <v>6</v>
      </c>
      <c r="M33" s="21">
        <f t="shared" si="3"/>
        <v>6</v>
      </c>
    </row>
    <row r="34" spans="1:13" x14ac:dyDescent="0.25">
      <c r="A34" s="28" t="str">
        <f>'2. Options'!A16</f>
        <v>RM6</v>
      </c>
      <c r="B34" s="28" t="str">
        <f>'2. Options'!B16</f>
        <v>Route to market</v>
      </c>
      <c r="C34" s="28" t="str">
        <f>'2. Options'!C16</f>
        <v>Negotiated</v>
      </c>
      <c r="D34" s="21">
        <f>INDEX('2. Options'!$J16:$M16,1,MATCH($C$4,'2. Options'!$J$1:$M$1,0))</f>
        <v>1</v>
      </c>
      <c r="E34" s="21">
        <f>INDEX('2. Options'!$N16:$P16,1,MATCH($C$5,'2. Options'!$N$1:$P$1,0))</f>
        <v>1</v>
      </c>
      <c r="F34" s="21">
        <f>INDEX('2. Options'!$Q16:$S16,1,MATCH($C$6,'2. Options'!$Q$1:$S$1,0))</f>
        <v>2</v>
      </c>
      <c r="G34" s="21">
        <f>INDEX('2. Options'!$T16:$Z16,1,MATCH($C$7,'2. Options'!$T$1:$Z$1,0))</f>
        <v>1</v>
      </c>
      <c r="H34" s="21" t="str">
        <f>IF(OR(D34="X",E34="X",F34="X",G34="X",AND($B$8="Yes",'2. Options'!H16="Private only"),AND($B$8="No",'2. Options'!H16="Public only")),"Yes","No")</f>
        <v>No</v>
      </c>
      <c r="I34" s="21">
        <f>IF(H34="Yes","",D34*'1. Drivers'!$D$22+E34*'1. Drivers'!$D$23+F34*'1. Drivers'!$D$24+G34*'1. Drivers'!$D$25)</f>
        <v>6</v>
      </c>
      <c r="J34" s="29">
        <f t="shared" si="0"/>
        <v>5.9660000000000002</v>
      </c>
      <c r="K34" s="29">
        <f t="shared" si="1"/>
        <v>5.9660000000000002</v>
      </c>
      <c r="L34" s="21">
        <f t="shared" si="2"/>
        <v>3</v>
      </c>
      <c r="M34" s="21">
        <f t="shared" si="3"/>
        <v>3</v>
      </c>
    </row>
  </sheetData>
  <dataValidations count="1">
    <dataValidation type="list" sqref="B8" xr:uid="{00000000-0002-0000-04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'1. Drivers'!$E$13:$E$19</xm:f>
          </x14:formula1>
          <x14:formula2>
            <xm:f>0</xm:f>
          </x14:formula2>
          <xm:sqref>B7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48C4-12DC-4602-B3F1-74D2B9672822}">
  <dimension ref="A1:G37"/>
  <sheetViews>
    <sheetView tabSelected="1" workbookViewId="0"/>
  </sheetViews>
  <sheetFormatPr defaultRowHeight="15" x14ac:dyDescent="0.25"/>
  <cols>
    <col min="1" max="1" width="26.7109375" customWidth="1"/>
    <col min="2" max="2" width="40.7109375" customWidth="1"/>
    <col min="3" max="3" width="46.7109375" customWidth="1"/>
    <col min="4" max="4" width="8.7109375" customWidth="1"/>
    <col min="5" max="5" width="50.7109375" customWidth="1"/>
    <col min="6" max="6" width="18.7109375" customWidth="1"/>
    <col min="7" max="7" width="50.7109375" customWidth="1"/>
  </cols>
  <sheetData>
    <row r="1" spans="1:7" x14ac:dyDescent="0.25">
      <c r="A1" s="30" t="s">
        <v>307</v>
      </c>
    </row>
    <row r="2" spans="1:7" x14ac:dyDescent="0.25">
      <c r="A2" t="s">
        <v>406</v>
      </c>
    </row>
    <row r="4" spans="1:7" x14ac:dyDescent="0.25">
      <c r="A4" s="31" t="s">
        <v>308</v>
      </c>
      <c r="B4" s="31" t="s">
        <v>309</v>
      </c>
      <c r="C4" s="31" t="s">
        <v>310</v>
      </c>
      <c r="D4" s="31" t="s">
        <v>311</v>
      </c>
      <c r="E4" s="31" t="s">
        <v>312</v>
      </c>
      <c r="F4" s="31" t="s">
        <v>5</v>
      </c>
      <c r="G4" s="31" t="s">
        <v>313</v>
      </c>
    </row>
    <row r="5" spans="1:7" ht="45" x14ac:dyDescent="0.25">
      <c r="A5" s="32" t="s">
        <v>135</v>
      </c>
      <c r="B5" s="32" t="s">
        <v>314</v>
      </c>
      <c r="C5" s="32" t="s">
        <v>315</v>
      </c>
      <c r="D5" s="32" t="s">
        <v>316</v>
      </c>
      <c r="E5" s="32" t="s">
        <v>317</v>
      </c>
      <c r="F5" s="32" t="s">
        <v>318</v>
      </c>
      <c r="G5" s="32" t="s">
        <v>319</v>
      </c>
    </row>
    <row r="6" spans="1:7" ht="30" x14ac:dyDescent="0.25">
      <c r="A6" s="32" t="s">
        <v>135</v>
      </c>
      <c r="B6" s="32" t="s">
        <v>314</v>
      </c>
      <c r="C6" s="32" t="s">
        <v>320</v>
      </c>
      <c r="D6" s="32" t="s">
        <v>316</v>
      </c>
      <c r="E6" s="32" t="s">
        <v>321</v>
      </c>
      <c r="F6" s="32" t="s">
        <v>318</v>
      </c>
      <c r="G6" s="32" t="s">
        <v>322</v>
      </c>
    </row>
    <row r="7" spans="1:7" x14ac:dyDescent="0.25">
      <c r="A7" s="32" t="s">
        <v>135</v>
      </c>
      <c r="B7" s="32" t="s">
        <v>314</v>
      </c>
      <c r="C7" s="32" t="s">
        <v>323</v>
      </c>
      <c r="D7" s="32" t="s">
        <v>324</v>
      </c>
      <c r="E7" s="32" t="s">
        <v>325</v>
      </c>
      <c r="F7" s="32" t="s">
        <v>318</v>
      </c>
      <c r="G7" s="32" t="s">
        <v>322</v>
      </c>
    </row>
    <row r="8" spans="1:7" x14ac:dyDescent="0.25">
      <c r="A8" s="32" t="s">
        <v>135</v>
      </c>
      <c r="B8" s="32" t="s">
        <v>314</v>
      </c>
      <c r="C8" s="32" t="s">
        <v>326</v>
      </c>
      <c r="D8" s="32" t="s">
        <v>316</v>
      </c>
      <c r="E8" s="32" t="s">
        <v>327</v>
      </c>
      <c r="F8" s="32" t="s">
        <v>328</v>
      </c>
      <c r="G8" s="32" t="s">
        <v>329</v>
      </c>
    </row>
    <row r="9" spans="1:7" ht="30" x14ac:dyDescent="0.25">
      <c r="A9" s="32" t="s">
        <v>135</v>
      </c>
      <c r="B9" s="32" t="s">
        <v>314</v>
      </c>
      <c r="C9" s="32" t="s">
        <v>330</v>
      </c>
      <c r="D9" s="32" t="s">
        <v>316</v>
      </c>
      <c r="E9" s="32" t="s">
        <v>331</v>
      </c>
      <c r="F9" s="32" t="s">
        <v>328</v>
      </c>
      <c r="G9" s="32" t="s">
        <v>332</v>
      </c>
    </row>
    <row r="10" spans="1:7" ht="30" x14ac:dyDescent="0.25">
      <c r="A10" s="32" t="s">
        <v>135</v>
      </c>
      <c r="B10" s="32" t="s">
        <v>314</v>
      </c>
      <c r="C10" s="32" t="s">
        <v>333</v>
      </c>
      <c r="D10" s="32" t="s">
        <v>316</v>
      </c>
      <c r="E10" s="32" t="s">
        <v>334</v>
      </c>
      <c r="F10" s="32" t="s">
        <v>335</v>
      </c>
      <c r="G10" s="32" t="s">
        <v>329</v>
      </c>
    </row>
    <row r="11" spans="1:7" ht="30" x14ac:dyDescent="0.25">
      <c r="A11" s="32" t="s">
        <v>135</v>
      </c>
      <c r="B11" s="32" t="s">
        <v>314</v>
      </c>
      <c r="C11" s="32" t="s">
        <v>336</v>
      </c>
      <c r="D11" s="32" t="s">
        <v>316</v>
      </c>
      <c r="E11" s="32" t="s">
        <v>337</v>
      </c>
      <c r="F11" s="32" t="s">
        <v>335</v>
      </c>
      <c r="G11" s="32" t="s">
        <v>338</v>
      </c>
    </row>
    <row r="12" spans="1:7" ht="30" x14ac:dyDescent="0.25">
      <c r="A12" s="32" t="s">
        <v>135</v>
      </c>
      <c r="B12" s="32" t="s">
        <v>314</v>
      </c>
      <c r="C12" s="32" t="s">
        <v>339</v>
      </c>
      <c r="D12" s="32" t="s">
        <v>324</v>
      </c>
      <c r="E12" s="32" t="s">
        <v>340</v>
      </c>
      <c r="F12" s="32" t="s">
        <v>341</v>
      </c>
      <c r="G12" s="32" t="s">
        <v>329</v>
      </c>
    </row>
    <row r="13" spans="1:7" ht="30" x14ac:dyDescent="0.25">
      <c r="A13" s="32" t="s">
        <v>135</v>
      </c>
      <c r="B13" s="32" t="s">
        <v>314</v>
      </c>
      <c r="C13" s="32" t="s">
        <v>342</v>
      </c>
      <c r="D13" s="32" t="s">
        <v>316</v>
      </c>
      <c r="E13" s="32" t="s">
        <v>343</v>
      </c>
      <c r="F13" s="32" t="s">
        <v>341</v>
      </c>
      <c r="G13" s="32" t="s">
        <v>329</v>
      </c>
    </row>
    <row r="14" spans="1:7" ht="45" x14ac:dyDescent="0.25">
      <c r="A14" s="32" t="s">
        <v>344</v>
      </c>
      <c r="B14" s="32" t="s">
        <v>345</v>
      </c>
      <c r="C14" s="32" t="s">
        <v>346</v>
      </c>
      <c r="D14" s="32" t="s">
        <v>316</v>
      </c>
      <c r="E14" s="32" t="s">
        <v>347</v>
      </c>
      <c r="F14" s="32" t="s">
        <v>348</v>
      </c>
      <c r="G14" s="32" t="s">
        <v>349</v>
      </c>
    </row>
    <row r="15" spans="1:7" ht="30" x14ac:dyDescent="0.25">
      <c r="A15" s="32" t="s">
        <v>344</v>
      </c>
      <c r="B15" s="32" t="s">
        <v>350</v>
      </c>
      <c r="C15" s="32" t="s">
        <v>320</v>
      </c>
      <c r="D15" s="32" t="s">
        <v>316</v>
      </c>
      <c r="E15" s="32" t="s">
        <v>351</v>
      </c>
      <c r="F15" s="32" t="s">
        <v>318</v>
      </c>
      <c r="G15" s="32" t="s">
        <v>352</v>
      </c>
    </row>
    <row r="16" spans="1:7" ht="30" x14ac:dyDescent="0.25">
      <c r="A16" s="32" t="s">
        <v>344</v>
      </c>
      <c r="B16" s="32" t="s">
        <v>350</v>
      </c>
      <c r="C16" s="32" t="s">
        <v>249</v>
      </c>
      <c r="D16" s="32" t="s">
        <v>324</v>
      </c>
      <c r="E16" s="32" t="s">
        <v>353</v>
      </c>
      <c r="F16" s="32" t="s">
        <v>341</v>
      </c>
      <c r="G16" s="32" t="s">
        <v>352</v>
      </c>
    </row>
    <row r="17" spans="1:7" ht="60" x14ac:dyDescent="0.25">
      <c r="A17" s="32" t="s">
        <v>354</v>
      </c>
      <c r="B17" s="32" t="s">
        <v>355</v>
      </c>
      <c r="C17" s="32" t="s">
        <v>356</v>
      </c>
      <c r="D17" s="32" t="s">
        <v>316</v>
      </c>
      <c r="E17" s="32" t="s">
        <v>357</v>
      </c>
      <c r="F17" s="32" t="s">
        <v>348</v>
      </c>
      <c r="G17" s="32" t="s">
        <v>358</v>
      </c>
    </row>
    <row r="18" spans="1:7" ht="30" x14ac:dyDescent="0.25">
      <c r="A18" s="32" t="s">
        <v>354</v>
      </c>
      <c r="B18" s="32" t="s">
        <v>359</v>
      </c>
      <c r="C18" s="32" t="s">
        <v>272</v>
      </c>
      <c r="D18" s="32" t="s">
        <v>324</v>
      </c>
      <c r="E18" s="32" t="s">
        <v>360</v>
      </c>
      <c r="F18" s="32" t="s">
        <v>348</v>
      </c>
      <c r="G18" s="32" t="s">
        <v>359</v>
      </c>
    </row>
    <row r="19" spans="1:7" ht="45" x14ac:dyDescent="0.25">
      <c r="A19" s="32" t="s">
        <v>361</v>
      </c>
      <c r="B19" s="32" t="s">
        <v>362</v>
      </c>
      <c r="C19" s="32" t="s">
        <v>363</v>
      </c>
      <c r="D19" s="32" t="s">
        <v>316</v>
      </c>
      <c r="E19" s="32" t="s">
        <v>364</v>
      </c>
      <c r="F19" s="32" t="s">
        <v>335</v>
      </c>
      <c r="G19" s="32" t="s">
        <v>365</v>
      </c>
    </row>
    <row r="20" spans="1:7" ht="30" x14ac:dyDescent="0.25">
      <c r="A20" s="32" t="s">
        <v>361</v>
      </c>
      <c r="B20" s="32" t="s">
        <v>359</v>
      </c>
      <c r="C20" s="32" t="s">
        <v>366</v>
      </c>
      <c r="D20" s="32" t="s">
        <v>324</v>
      </c>
      <c r="E20" s="32" t="s">
        <v>218</v>
      </c>
      <c r="F20" s="32" t="s">
        <v>335</v>
      </c>
      <c r="G20" s="32" t="s">
        <v>359</v>
      </c>
    </row>
    <row r="21" spans="1:7" x14ac:dyDescent="0.25">
      <c r="A21" s="32"/>
      <c r="B21" s="32"/>
      <c r="C21" s="32"/>
      <c r="D21" s="32"/>
      <c r="E21" s="32"/>
      <c r="F21" s="32"/>
      <c r="G21" s="32"/>
    </row>
    <row r="22" spans="1:7" ht="90" x14ac:dyDescent="0.25">
      <c r="A22" s="33" t="s">
        <v>369</v>
      </c>
      <c r="B22" s="32" t="s">
        <v>370</v>
      </c>
      <c r="C22" s="32"/>
      <c r="D22" s="32"/>
      <c r="E22" s="32"/>
      <c r="F22" s="32"/>
      <c r="G22" s="32"/>
    </row>
    <row r="23" spans="1:7" x14ac:dyDescent="0.25">
      <c r="A23" s="34" t="s">
        <v>371</v>
      </c>
      <c r="B23" s="34" t="s">
        <v>5</v>
      </c>
      <c r="C23" s="34" t="s">
        <v>372</v>
      </c>
      <c r="D23" s="32"/>
      <c r="E23" s="32"/>
      <c r="F23" s="32"/>
      <c r="G23" s="32"/>
    </row>
    <row r="24" spans="1:7" ht="30" x14ac:dyDescent="0.25">
      <c r="A24" s="32" t="s">
        <v>373</v>
      </c>
      <c r="B24" s="32">
        <v>1000000</v>
      </c>
      <c r="C24" s="32" t="s">
        <v>374</v>
      </c>
      <c r="D24" s="32"/>
      <c r="E24" s="32"/>
      <c r="F24" s="32"/>
      <c r="G24" s="32"/>
    </row>
    <row r="25" spans="1:7" ht="30" x14ac:dyDescent="0.25">
      <c r="A25" s="32" t="s">
        <v>375</v>
      </c>
      <c r="B25" s="32">
        <v>500</v>
      </c>
      <c r="C25" s="32" t="s">
        <v>376</v>
      </c>
      <c r="D25" s="32"/>
      <c r="E25" s="32"/>
      <c r="F25" s="32"/>
      <c r="G25" s="32"/>
    </row>
    <row r="26" spans="1:7" x14ac:dyDescent="0.25">
      <c r="A26" s="32" t="s">
        <v>377</v>
      </c>
      <c r="B26" s="32" t="s">
        <v>378</v>
      </c>
      <c r="C26" s="32" t="s">
        <v>379</v>
      </c>
      <c r="D26" s="32"/>
      <c r="E26" s="32"/>
      <c r="F26" s="32"/>
      <c r="G26" s="32"/>
    </row>
    <row r="27" spans="1:7" ht="30" x14ac:dyDescent="0.25">
      <c r="A27" s="32" t="s">
        <v>380</v>
      </c>
      <c r="B27" s="32" t="s">
        <v>381</v>
      </c>
      <c r="C27" s="32" t="s">
        <v>382</v>
      </c>
      <c r="D27" s="32"/>
      <c r="E27" s="32"/>
      <c r="F27" s="32"/>
      <c r="G27" s="32"/>
    </row>
    <row r="28" spans="1:7" ht="45" x14ac:dyDescent="0.25">
      <c r="A28" s="32" t="s">
        <v>383</v>
      </c>
      <c r="B28" s="32" t="s">
        <v>384</v>
      </c>
      <c r="C28" s="32" t="s">
        <v>385</v>
      </c>
      <c r="D28" s="32"/>
      <c r="E28" s="32"/>
      <c r="F28" s="32"/>
      <c r="G28" s="32"/>
    </row>
    <row r="29" spans="1:7" x14ac:dyDescent="0.25">
      <c r="A29" s="32" t="s">
        <v>386</v>
      </c>
      <c r="B29" s="32" t="s">
        <v>387</v>
      </c>
      <c r="C29" s="32" t="s">
        <v>388</v>
      </c>
      <c r="D29" s="32"/>
      <c r="E29" s="32"/>
      <c r="F29" s="32"/>
      <c r="G29" s="32"/>
    </row>
    <row r="30" spans="1:7" ht="30" x14ac:dyDescent="0.25">
      <c r="A30" s="32" t="s">
        <v>389</v>
      </c>
      <c r="B30" s="32" t="s">
        <v>390</v>
      </c>
      <c r="C30" s="32" t="s">
        <v>391</v>
      </c>
      <c r="D30" s="32"/>
      <c r="E30" s="32"/>
      <c r="F30" s="32"/>
      <c r="G30" s="32"/>
    </row>
    <row r="31" spans="1:7" ht="30" x14ac:dyDescent="0.25">
      <c r="A31" s="32" t="s">
        <v>392</v>
      </c>
      <c r="B31" s="32" t="s">
        <v>393</v>
      </c>
      <c r="C31" s="32" t="s">
        <v>394</v>
      </c>
      <c r="D31" s="32"/>
      <c r="E31" s="32"/>
      <c r="F31" s="32"/>
      <c r="G31" s="32"/>
    </row>
    <row r="32" spans="1:7" ht="30" x14ac:dyDescent="0.25">
      <c r="A32" s="32" t="s">
        <v>395</v>
      </c>
      <c r="B32" s="32">
        <v>4</v>
      </c>
      <c r="C32" s="32" t="s">
        <v>396</v>
      </c>
      <c r="D32" s="32"/>
      <c r="E32" s="32"/>
      <c r="F32" s="32"/>
      <c r="G32" s="32"/>
    </row>
    <row r="33" spans="1:7" ht="30" x14ac:dyDescent="0.25">
      <c r="A33" s="32" t="s">
        <v>397</v>
      </c>
      <c r="B33" s="32" t="s">
        <v>398</v>
      </c>
      <c r="C33" s="32" t="s">
        <v>399</v>
      </c>
      <c r="D33" s="32"/>
      <c r="E33" s="32"/>
      <c r="F33" s="32"/>
      <c r="G33" s="32"/>
    </row>
    <row r="34" spans="1:7" ht="30" x14ac:dyDescent="0.25">
      <c r="A34" s="32" t="s">
        <v>400</v>
      </c>
      <c r="B34" s="32" t="s">
        <v>401</v>
      </c>
      <c r="C34" s="32" t="s">
        <v>402</v>
      </c>
      <c r="D34" s="32"/>
      <c r="E34" s="32"/>
      <c r="F34" s="32"/>
      <c r="G34" s="32"/>
    </row>
    <row r="35" spans="1:7" ht="30" x14ac:dyDescent="0.25">
      <c r="A35" s="32" t="s">
        <v>403</v>
      </c>
      <c r="B35" s="32" t="s">
        <v>404</v>
      </c>
      <c r="C35" s="32" t="s">
        <v>405</v>
      </c>
      <c r="D35" s="32"/>
      <c r="E35" s="32"/>
      <c r="F35" s="32"/>
      <c r="G35" s="32"/>
    </row>
    <row r="36" spans="1:7" x14ac:dyDescent="0.25">
      <c r="A36" s="32"/>
      <c r="B36" s="32"/>
      <c r="C36" s="32"/>
      <c r="D36" s="32"/>
      <c r="E36" s="32"/>
      <c r="F36" s="32"/>
      <c r="G36" s="32"/>
    </row>
    <row r="37" spans="1:7" ht="45" x14ac:dyDescent="0.25">
      <c r="A37" s="33" t="s">
        <v>367</v>
      </c>
      <c r="B37" s="32" t="s">
        <v>368</v>
      </c>
      <c r="C37" s="32"/>
      <c r="D37" s="32"/>
      <c r="E37" s="32"/>
      <c r="F37" s="32"/>
      <c r="G37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 Read Me</vt:lpstr>
      <vt:lpstr>1. Drivers</vt:lpstr>
      <vt:lpstr>2. Options</vt:lpstr>
      <vt:lpstr>3. Contracts</vt:lpstr>
      <vt:lpstr>4. Check</vt:lpstr>
      <vt:lpstr>5. Routes and 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Nabil Kayali</cp:lastModifiedBy>
  <cp:revision>0</cp:revision>
  <dcterms:created xsi:type="dcterms:W3CDTF">2026-09-28T19:13:42Z</dcterms:created>
  <dcterms:modified xsi:type="dcterms:W3CDTF">2026-10-11T17:23:25Z</dcterms:modified>
  <dc:language>en-US</dc:language>
</cp:coreProperties>
</file>