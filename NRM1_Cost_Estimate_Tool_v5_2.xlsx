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<sst xmlns="http://schemas.openxmlformats.org/spreadsheetml/2006/main" count="4243" uniqueCount="1805">
  <si>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</si>
  <si>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</si>
  <si>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</si>
  <si>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</si>
  <si>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</si>
  <si>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</si>
  <si>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</si>
  <si>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</si>
  <si>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</si>
  <si>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</si>
  <si>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</si>
  <si>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</si>
  <si>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</si>
  <si>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</si>
  <si>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</si>
  <si>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</si>
  <si>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</si>
  <si>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</si>
  <si>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</si>
  <si>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</si>
  <si>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</si>
  <si>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</si>
  <si>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</si>
  <si>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</si>
  <si>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</si>
  <si>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</si>
  <si>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</si>
  <si>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</si>
  <si>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</si>
  <si>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</si>
  <si>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</si>
  <si>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</si>
  <si>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</si>
  <si>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</si>
  <si>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</si>
  <si>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</si>
  <si>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</si>
  <si>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</si>
  <si>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</si>
  <si>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</si>
  <si>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</si>
  <si>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</si>
  <si>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</si>
  <si>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</si>
  <si>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</si>
  <si>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</si>
  <si>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</si>
  <si>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</si>
  <si>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</si>
  <si>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</si>
  <si>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</si>
  <si>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</si>
  <si>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</si>
  <si>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</si>
  <si>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</si>
  <si>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</si>
  <si>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</si>
  <si>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</si>
  <si>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</si>
  <si>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</si>
  <si>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</si>
  <si>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</si>
  <si>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</si>
  <si>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</si>
  <si>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</si>
  <si>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</si>
  <si>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</si>
  <si>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</si>
  <si>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</si>
  <si>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</si>
  <si>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</si>
  <si>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</si>
  <si>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</si>
  <si>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</si>
  <si>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</si>
  <si>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</si>
  <si>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</si>
  <si>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</si>
  <si>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</si>
  <si>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</si>
  <si>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</si>
  <si>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</si>
  <si>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</si>
  <si>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</si>
  <si>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</si>
  <si>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</si>
  <si>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</si>
  <si>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</si>
  <si>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</si>
  <si>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</si>
  <si>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</si>
  <si>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</si>
  <si>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</si>
  <si>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</si>
  <si>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</si>
  <si>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</si>
  <si>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</si>
  <si>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</si>
  <si>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</si>
  <si>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</si>
  <si>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</si>
  <si>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</si>
  <si>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</si>
  <si>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</si>
  <si>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</si>
  <si>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</si>
  <si>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</si>
  <si>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</si>
  <si>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</si>
  <si>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</si>
  <si>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</si>
  <si>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</si>
  <si>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</si>
  <si>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</si>
  <si>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</si>
  <si>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</si>
  <si>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</si>
  <si>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</si>
  <si>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</si>
  <si>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</si>
  <si>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</si>
  <si>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</si>
  <si>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</si>
  <si>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</si>
  <si>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</si>
  <si>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</si>
  <si>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</si>
  <si>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</si>
  <si>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</si>
  <si>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</si>
  <si>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</si>
  <si>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</si>
  <si>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</si>
  <si>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</si>
  <si>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</si>
  <si>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</si>
  <si>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</si>
  <si>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</si>
  <si>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</si>
  <si>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</si>
  <si>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</si>
  <si>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</si>
  <si>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</si>
  <si>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</si>
  <si>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</si>
  <si>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</si>
  <si>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</si>
  <si>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</si>
  <si>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</si>
  <si>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</si>
  <si>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</si>
  <si>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</si>
  <si>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</si>
  <si>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</si>
  <si>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</si>
  <si>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</si>
  <si>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</si>
  <si>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</si>
  <si>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</si>
  <si>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</si>
  <si>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</si>
  <si>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</si>
  <si>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</si>
  <si>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</si>
  <si>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</si>
  <si>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</si>
  <si>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</si>
  <si>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</si>
  <si>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</si>
  <si>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</si>
  <si>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</si>
  <si>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</si>
  <si>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</si>
  <si>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</si>
  <si>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</si>
  <si>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</si>
  <si>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</si>
  <si>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</si>
  <si>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</si>
  <si>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</si>
  <si>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</si>
  <si>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</si>
  <si>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</si>
  <si>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</si>
  <si>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</si>
  <si>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</si>
  <si>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</si>
  <si>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</si>
  <si>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</si>
  <si>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</si>
  <si>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</si>
  <si>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</si>
  <si>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</si>
  <si>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</si>
  <si>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</si>
  <si>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</si>
  <si>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</si>
  <si>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</si>
  <si>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</si>
  <si>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</si>
  <si>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</si>
  <si>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</si>
  <si>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</si>
  <si>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</si>
  <si>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</si>
  <si>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</si>
  <si>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</si>
  <si>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</si>
  <si>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</si>
  <si>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</si>
  <si>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</si>
  <si>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</si>
  <si>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</si>
  <si>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</si>
  <si>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</si>
  <si>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</si>
  <si>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</si>
  <si>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</si>
  <si>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</si>
  <si>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</si>
  <si>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</si>
  <si>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</si>
  <si>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</si>
  <si>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</si>
  <si>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</si>
  <si>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</si>
  <si>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</si>
  <si>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</si>
  <si>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</si>
  <si>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</si>
  <si>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</si>
  <si>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</si>
  <si>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</si>
  <si>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</si>
  <si>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</si>
  <si>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</si>
  <si>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</si>
  <si>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</si>
  <si>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</si>
  <si>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</si>
  <si>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</si>
  <si>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</si>
  <si>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</si>
  <si>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</si>
  <si>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</si>
  <si>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</si>
  <si>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</si>
  <si>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</si>
  <si>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</si>
  <si>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</si>
  <si>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</si>
  <si>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</si>
  <si>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</si>
  <si>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</si>
  <si>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</si>
  <si>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</si>
  <si>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</si>
  <si>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</si>
  <si>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</si>
  <si>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</si>
  <si>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</si>
  <si>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</si>
  <si>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</si>
  <si>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</si>
  <si>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</si>
  <si>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</si>
  <si>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</si>
  <si>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</si>
  <si>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</si>
  <si>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</si>
  <si>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</si>
  <si>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</si>
  <si>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</si>
  <si>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</si>
  <si>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</si>
  <si>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</si>
  <si>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</si>
  <si>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</si>
  <si>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</si>
  <si>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</si>
  <si>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</si>
  <si>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</si>
  <si>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</si>
  <si>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</si>
  <si>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</si>
  <si>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</si>
  <si>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</si>
  <si>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</si>
  <si>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</si>
  <si>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</si>
  <si>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</si>
  <si>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</si>
  <si>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</si>
  <si>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</si>
  <si>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</si>
  <si>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</si>
  <si>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</si>
  <si>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</si>
  <si>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</si>
  <si>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</si>
  <si>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</si>
  <si>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</si>
  <si>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</si>
  <si>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</si>
  <si>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</si>
  <si>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</si>
  <si>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</si>
  <si>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</si>
  <si>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</si>
  <si>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</si>
  <si>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</si>
  <si>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</si>
  <si>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</si>
  <si>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</si>
  <si>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</si>
  <si>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</si>
  <si>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</si>
  <si>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</si>
  <si>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</si>
  <si>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</si>
  <si>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</si>
  <si>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</si>
  <si>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</si>
  <si>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</si>
  <si>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</si>
  <si>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</si>
  <si>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</si>
  <si>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</si>
  <si>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</si>
  <si>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</si>
  <si>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</si>
  <si>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</si>
  <si>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</si>
  <si>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</si>
  <si>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</si>
  <si>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</si>
  <si>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</si>
  <si>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</si>
  <si>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</si>
  <si>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</si>
  <si>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</si>
  <si>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</si>
  <si>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</si>
  <si>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</si>
  <si>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</si>
  <si>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</si>
  <si>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</si>
  <si>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</si>
  <si>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</si>
  <si>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</si>
  <si>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</si>
  <si>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</si>
  <si>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</si>
  <si>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</si>
  <si>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</si>
  <si>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</si>
  <si>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</si>
  <si>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</si>
  <si>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</si>
  <si>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</si>
  <si>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</si>
  <si>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</si>
  <si>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</si>
  <si>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</si>
  <si>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</si>
  <si>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</si>
  <si>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</si>
  <si>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</si>
  <si>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</si>
  <si>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</si>
  <si>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</si>
  <si>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</si>
  <si>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</si>
  <si>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</si>
  <si>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</si>
  <si>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</si>
  <si>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</si>
  <si>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</si>
  <si>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</si>
  <si>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</si>
  <si>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</si>
  <si>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</si>
  <si>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</si>
  <si>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</si>
  <si>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</si>
  <si>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</si>
  <si>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</si>
  <si>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</si>
  <si>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</si>
  <si>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</si>
  <si>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</si>
  <si>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</si>
  <si>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</si>
  <si>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</si>
  <si>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</si>
  <si>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</si>
  <si>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</si>
  <si>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</si>
  <si>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</si>
  <si>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</si>
  <si>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</si>
  <si>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</si>
  <si>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</si>
  <si>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</si>
  <si>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</si>
  <si>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</si>
  <si>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</si>
  <si>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</si>
  <si>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</si>
  <si>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</si>
  <si>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</si>
  <si>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</si>
  <si>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</si>
  <si>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</si>
  <si>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</si>
  <si>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</si>
  <si>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</si>
  <si>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</si>
  <si>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</si>
  <si>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</si>
  <si>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</si>
  <si>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</si>
  <si>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</si>
  <si>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</si>
  <si>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</si>
  <si>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</si>
  <si>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</si>
  <si>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</si>
  <si>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</si>
  <si>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</si>
  <si>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</si>
  <si>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</si>
  <si>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</si>
  <si>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</si>
  <si>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</si>
  <si>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</si>
  <si>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</si>
  <si>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</si>
  <si>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</si>
  <si>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</si>
  <si>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</si>
  <si>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</si>
  <si>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</si>
  <si>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</si>
  <si>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</si>
  <si>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</si>
  <si>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</si>
  <si>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</si>
  <si>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</si>
  <si>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</si>
  <si>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</si>
  <si>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</si>
  <si>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</si>
  <si>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</si>
  <si>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</si>
  <si>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</si>
  <si>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</si>
  <si>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</si>
  <si>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</si>
  <si>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</si>
  <si>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</si>
  <si>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</si>
  <si>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</si>
  <si>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</si>
  <si>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</si>
  <si>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</si>
  <si>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</si>
  <si>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</si>
  <si>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</si>
  <si>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</si>
  <si>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</si>
  <si>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</si>
  <si>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</si>
  <si>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</si>
  <si>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</si>
  <si>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</si>
  <si>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</si>
  <si>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</si>
  <si>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</si>
  <si>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</si>
  <si>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</si>
  <si>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</si>
  <si>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</si>
  <si>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</si>
  <si>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</si>
  <si>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</si>
  <si>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</si>
  <si>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</si>
  <si>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</si>
  <si>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</si>
  <si>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</si>
  <si>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</si>
  <si>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</si>
  <si>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</si>
  <si>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</si>
  <si>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</si>
  <si>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</si>
  <si>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</si>
  <si>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</si>
  <si>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</si>
  <si>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</si>
  <si>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</si>
  <si>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</si>
  <si>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</si>
  <si>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</si>
  <si>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</si>
  <si>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</si>
  <si>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</si>
  <si>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</si>
  <si>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</si>
  <si>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</si>
  <si>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</si>
  <si>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</si>
  <si>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</si>
  <si>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</si>
  <si>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</si>
  <si>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</si>
  <si>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</si>
  <si>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</si>
  <si>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</si>
  <si>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</si>
  <si>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</si>
  <si>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</si>
  <si>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</si>
  <si>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</si>
  <si>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</si>
  <si>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</si>
  <si>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</si>
  <si>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</si>
  <si>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</si>
  <si>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</si>
  <si>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</si>
  <si>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</si>
  <si>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</si>
  <si>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</si>
  <si>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</si>
  <si>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</si>
  <si>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</si>
  <si>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</si>
  <si>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</si>
  <si>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</si>
  <si>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</si>
  <si>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</si>
  <si>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</si>
  <si>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</si>
  <si>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</si>
  <si>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</si>
  <si>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</si>
  <si>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</si>
  <si>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</si>
  <si>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</si>
  <si>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</si>
  <si>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</si>
  <si>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</si>
  <si>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</si>
  <si>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</si>
  <si>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</si>
  <si>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</si>
  <si>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</si>
  <si>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</si>
  <si>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</si>
  <si>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</si>
  <si>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</si>
  <si>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</si>
  <si>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</si>
  <si>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</si>
  <si>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</si>
  <si>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</si>
  <si>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</si>
  <si>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</si>
  <si>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</si>
  <si>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</si>
  <si>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</si>
  <si>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</si>
  <si>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</si>
  <si>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</si>
  <si>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</si>
  <si>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</si>
  <si>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</si>
  <si>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</si>
  <si>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</si>
  <si>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</si>
  <si>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</si>
  <si>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</si>
  <si>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</si>
  <si>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</si>
  <si>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</si>
  <si>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</si>
  <si>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</si>
  <si>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</si>
  <si>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</si>
  <si>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</si>
  <si>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</si>
  <si>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</si>
  <si>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</si>
  <si>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</si>
  <si>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</si>
  <si>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</si>
  <si>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</si>
  <si>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</si>
  <si>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</si>
  <si>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</si>
  <si>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</si>
  <si>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</si>
  <si>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</si>
  <si>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</si>
  <si>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</si>
  <si>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</si>
  <si>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</si>
  <si>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</si>
  <si>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</si>
  <si>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</si>
  <si>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</si>
  <si>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</si>
  <si>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</si>
  <si>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</si>
  <si>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</si>
  <si>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</si>
  <si>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</si>
  <si>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</si>
  <si>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</si>
  <si>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</si>
  <si>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</si>
  <si>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</si>
  <si>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</si>
  <si>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</si>
  <si>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</si>
  <si>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</si>
  <si>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</si>
  <si>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</si>
  <si>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</si>
  <si>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</si>
  <si>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</si>
  <si>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</si>
  <si>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</si>
  <si>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</si>
  <si>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</si>
  <si>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</si>
  <si>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</si>
  <si>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</si>
  <si>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</si>
  <si>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</si>
  <si>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</si>
  <si>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</si>
  <si>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</si>
  <si>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</si>
  <si>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</si>
  <si>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</si>
  <si>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</si>
  <si>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</si>
  <si>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</si>
  <si>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</si>
  <si>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</si>
  <si>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</si>
  <si>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</si>
  <si>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</si>
  <si>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</si>
  <si>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</si>
  <si>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</si>
  <si>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</si>
  <si>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</si>
  <si>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</si>
  <si>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</si>
  <si>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</si>
  <si>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</si>
  <si>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</si>
  <si>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</si>
  <si>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</si>
  <si>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</si>
  <si>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</si>
  <si>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</si>
  <si>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</si>
  <si>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</si>
  <si>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</si>
  <si>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</si>
  <si>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</si>
  <si>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</si>
  <si>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</si>
  <si>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</si>
  <si>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</si>
  <si>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</si>
  <si>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</si>
  <si>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</si>
  <si>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</si>
  <si>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</si>
  <si>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</si>
  <si>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</si>
  <si>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</si>
  <si>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</si>
  <si>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</si>
  <si>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</si>
  <si>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</si>
  <si>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</si>
  <si>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</si>
  <si>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</si>
  <si>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</si>
  <si>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</si>
  <si>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</si>
  <si>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</si>
  <si>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</si>
  <si>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</si>
  <si>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</si>
  <si>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</si>
  <si>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</si>
  <si>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</si>
  <si>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</si>
  <si>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</si>
  <si>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</si>
  <si>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</si>
  <si>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</si>
  <si>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</si>
  <si>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</si>
  <si>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</si>
  <si>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</si>
  <si>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</si>
  <si>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</si>
  <si>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</si>
  <si>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</si>
  <si>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</si>
  <si>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</si>
  <si>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</si>
  <si>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</si>
  <si>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</si>
  <si>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</si>
  <si>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</si>
  <si>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</si>
  <si>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</si>
  <si>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</si>
  <si>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</si>
  <si>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</si>
  <si>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</si>
  <si>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</si>
  <si>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</si>
  <si>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</si>
  <si>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</si>
  <si>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</si>
  <si>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</si>
  <si>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</si>
  <si>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</si>
  <si>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</si>
  <si>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</si>
  <si>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</si>
  <si>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</si>
  <si>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</si>
  <si>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</si>
  <si>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</si>
  <si>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</si>
  <si>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</si>
  <si>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</si>
  <si>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</si>
  <si>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</si>
  <si>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</si>
  <si>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</si>
  <si>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</si>
  <si>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</si>
  <si>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</si>
  <si>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</si>
  <si>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</si>
  <si>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</si>
  <si>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</si>
  <si>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</si>
  <si>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</si>
  <si>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</si>
  <si>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</si>
  <si>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</si>
  <si>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</si>
  <si>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</si>
  <si>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</si>
  <si>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</si>
  <si>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</si>
  <si>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</si>
  <si>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</si>
  <si>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</si>
  <si>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</si>
  <si>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</si>
  <si>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</si>
  <si>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</si>
  <si>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</si>
  <si>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</si>
  <si>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</si>
  <si>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</si>
  <si>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</si>
  <si>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</si>
  <si>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</si>
  <si>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</si>
  <si>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</si>
  <si>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</si>
  <si>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</si>
  <si>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</si>
  <si>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</si>
  <si>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</si>
  <si>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</si>
  <si>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</si>
  <si>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</si>
  <si>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</si>
  <si>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</si>
  <si>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</si>
  <si>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</si>
  <si>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</si>
  <si>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</si>
  <si>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</si>
  <si>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</si>
  <si>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</si>
  <si>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</si>
  <si>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</si>
  <si>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</si>
  <si>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</si>
  <si>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</si>
  <si>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</si>
  <si>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</si>
  <si>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</si>
  <si>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</si>
  <si>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</si>
  <si>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</si>
  <si>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</si>
  <si>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</si>
  <si>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</si>
  <si>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</si>
  <si>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</si>
  <si>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</si>
  <si>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</si>
  <si>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</si>
  <si>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</si>
  <si>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</si>
  <si>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</si>
  <si>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</si>
  <si>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</si>
  <si>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</si>
  <si>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</si>
  <si>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</si>
  <si>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</si>
  <si>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</si>
  <si>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</si>
  <si>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</si>
  <si>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</si>
  <si>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</si>
  <si>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</si>
  <si>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</si>
  <si>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</si>
  <si>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</si>
  <si>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</si>
  <si>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</si>
  <si>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</si>
  <si>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</si>
  <si>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</si>
  <si>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</si>
  <si>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</si>
  <si>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</si>
  <si>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</si>
  <si>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</si>
  <si>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</si>
  <si>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</si>
  <si>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</si>
  <si>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</si>
  <si>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</si>
  <si>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</si>
  <si>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</si>
  <si>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</si>
  <si>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</si>
  <si>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</si>
  <si>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</si>
  <si>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</si>
  <si>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</si>
  <si>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</si>
  <si>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</si>
  <si>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</si>
  <si>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</si>
  <si>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</si>
  <si>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</si>
  <si>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</si>
  <si>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</si>
  <si>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</si>
  <si>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</si>
  <si>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</si>
  <si>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</si>
  <si>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</si>
  <si>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</si>
  <si>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</si>
  <si>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</si>
  <si>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</si>
  <si>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</si>
  <si>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</si>
  <si>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</si>
  <si>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</si>
  <si>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</si>
  <si>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</si>
  <si>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</si>
  <si>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</si>
  <si>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</si>
  <si>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</si>
  <si>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</si>
  <si>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</si>
  <si>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</si>
  <si>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</si>
  <si>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</si>
  <si>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</si>
  <si>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</si>
  <si>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</si>
  <si>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</si>
  <si>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</si>
  <si>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</si>
  <si>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</si>
  <si>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</si>
  <si>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</si>
  <si>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</si>
  <si>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</si>
  <si>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</si>
  <si>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</si>
  <si>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</si>
  <si>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</si>
  <si>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</si>
  <si>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</si>
  <si>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</si>
  <si>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</si>
  <si>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</si>
  <si>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</si>
  <si>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</si>
  <si>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</si>
  <si>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</si>
  <si>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</si>
  <si>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</si>
  <si>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</si>
  <si>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</si>
  <si>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</si>
  <si>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</si>
  <si>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</si>
  <si>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</si>
  <si>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</si>
  <si>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</si>
  <si>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</si>
  <si>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</si>
  <si>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</si>
  <si>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</si>
  <si>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</si>
  <si>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</si>
  <si>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</si>
  <si>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</si>
  <si>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</si>
  <si>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</si>
  <si>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</si>
  <si>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</si>
  <si>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</si>
  <si>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</si>
  <si>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</si>
  <si>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</si>
  <si>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</si>
  <si>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</si>
  <si>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</si>
  <si>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</si>
  <si>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</si>
  <si>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</si>
  <si>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</si>
  <si>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</si>
  <si>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</si>
  <si>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</si>
  <si>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</si>
  <si>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</si>
  <si>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</si>
  <si>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</si>
  <si>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</si>
  <si>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</si>
  <si>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</si>
  <si>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</si>
  <si>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</si>
  <si>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</si>
  <si>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</si>
  <si>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</si>
  <si>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</si>
  <si>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</si>
  <si>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</si>
  <si>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</si>
  <si>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</si>
  <si>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</si>
  <si>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</si>
  <si>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</si>
  <si>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</si>
  <si>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</si>
  <si>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</si>
  <si>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</si>
  <si>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</si>
  <si>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</si>
  <si>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</si>
  <si>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</si>
  <si>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</si>
  <si>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</si>
  <si>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</si>
  <si>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</si>
  <si>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</si>
  <si>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</si>
  <si>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</si>
  <si>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</si>
  <si>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</si>
  <si>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</si>
  <si>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</si>
  <si>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</si>
  <si>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</si>
  <si>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</si>
  <si>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</si>
  <si>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</si>
  <si>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</si>
  <si>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</si>
  <si>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</si>
  <si>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</si>
  <si>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</si>
  <si>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</si>
  <si>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</si>
  <si>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</si>
  <si>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</si>
  <si>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</si>
  <si>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</si>
  <si>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</si>
  <si>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</si>
  <si>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</si>
  <si>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</si>
  <si>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</si>
  <si>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</si>
  <si>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</si>
  <si>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</si>
  <si>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</si>
  <si>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</si>
  <si>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</si>
  <si>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</si>
  <si>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</si>
  <si>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</si>
  <si>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</si>
  <si>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</si>
  <si>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</si>
  <si>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</si>
  <si>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</si>
  <si>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</si>
  <si>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</si>
  <si>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</si>
  <si>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</si>
  <si>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</si>
  <si>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</si>
  <si>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</si>
  <si>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</si>
  <si>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</si>
  <si>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</si>
  <si>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</si>
  <si>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</si>
  <si>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</si>
  <si>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</si>
  <si>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</si>
  <si>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</si>
  <si>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</si>
  <si>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</si>
  <si>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</si>
  <si>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</si>
  <si>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</si>
  <si>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</si>
  <si>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</si>
  <si>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</si>
  <si>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</si>
  <si>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</si>
  <si>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</si>
  <si>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</si>
  <si>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</si>
  <si>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</si>
  <si>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</si>
  <si>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</si>
  <si>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</si>
  <si>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</si>
  <si>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</si>
  <si>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</si>
  <si>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</si>
  <si>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</si>
  <si>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</si>
  <si>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</si>
  <si>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</si>
  <si>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</si>
  <si>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</si>
  <si>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</si>
  <si>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</si>
  <si>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</si>
  <si>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</si>
  <si>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</si>
  <si>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</si>
  <si>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</si>
  <si>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</si>
  <si>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</si>
  <si>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</si>
  <si>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</si>
  <si>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</si>
  <si>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</si>
  <si>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</si>
  <si>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</si>
  <si>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</si>
  <si>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</si>
  <si>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</si>
  <si>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</si>
  <si>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</si>
  <si>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</si>
  <si>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</si>
  <si>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</si>
  <si>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</si>
  <si>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</si>
  <si>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</si>
  <si>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</si>
  <si>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</si>
  <si>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</si>
  <si>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</si>
  <si>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</si>
  <si>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</si>
  <si>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</si>
  <si>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</si>
  <si>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</si>
  <si>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</si>
  <si>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</si>
  <si>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</si>
  <si>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</si>
  <si>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</si>
  <si>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</si>
  <si>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</si>
  <si>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</si>
  <si>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</si>
  <si>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</si>
  <si>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</si>
  <si>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</si>
  <si>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</si>
  <si>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</si>
  <si>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</si>
  <si>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</si>
  <si>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</si>
  <si>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</si>
  <si>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</si>
  <si>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</si>
  <si>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</si>
  <si>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</si>
  <si>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</si>
  <si>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</si>
  <si>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</si>
  <si>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</si>
  <si>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</si>
  <si>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</si>
  <si>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</si>
  <si>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</si>
  <si>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</si>
  <si>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</si>
  <si>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</si>
  <si>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</si>
  <si>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</si>
  <si>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</si>
  <si>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</si>
  <si>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</si>
  <si>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</si>
  <si>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</si>
  <si>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</si>
  <si>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</si>
  <si>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</si>
  <si>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</si>
  <si>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</si>
  <si>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</si>
  <si>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</si>
  <si>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</si>
  <si>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</si>
  <si>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</si>
  <si>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</si>
  <si>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</si>
  <si>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</si>
  <si>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</si>
  <si>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</si>
  <si>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</si>
  <si>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</si>
  <si>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</si>
  <si>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</si>
  <si>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</si>
  <si>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</si>
  <si>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</si>
  <si>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</si>
  <si>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</si>
  <si>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</si>
  <si>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</si>
  <si>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</si>
  <si>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</si>
  <si>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</si>
  <si>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</si>
  <si>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</si>
  <si>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</si>
  <si>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</si>
  <si>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</si>
  <si>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</si>
  <si>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</si>
  <si>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</si>
  <si>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</si>
  <si>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</si>
  <si>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</si>
  <si>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</si>
  <si>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</si>
  <si>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</si>
  <si>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</si>
  <si>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</si>
  <si>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</si>
  <si>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</si>
  <si>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</si>
  <si>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</si>
  <si>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</si>
  <si>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</si>
  <si>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</si>
  <si>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</si>
  <si>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</si>
  <si>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</si>
  <si>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</si>
  <si>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</si>
  <si>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</si>
  <si>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</si>
  <si>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</si>
  <si>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</si>
  <si>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</si>
  <si>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</si>
  <si>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</si>
  <si>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</si>
  <si>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</si>
  <si>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</si>
  <si>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</si>
  <si>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</si>
  <si>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</si>
  <si>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</si>
  <si>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</si>
  <si>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</si>
  <si>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</si>
  <si>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</si>
  <si>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</si>
  <si>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</si>
  <si>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</si>
  <si>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</si>
  <si>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</si>
  <si>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</si>
  <si>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</si>
  <si>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</si>
  <si>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</si>
  <si>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</si>
  <si>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</si>
  <si>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</si>
  <si>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</si>
  <si>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</si>
  <si>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</si>
  <si>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</si>
  <si>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</si>
  <si>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</si>
  <si>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</si>
  <si>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</si>
  <si>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</si>
  <si>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</si>
  <si>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</si>
  <si>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</si>
  <si>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</si>
  <si>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</si>
  <si>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</si>
  <si>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</si>
  <si>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</si>
  <si>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</si>
  <si>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</si>
  <si>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</si>
  <si>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</si>
  <si>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</si>
  <si>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</si>
  <si>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</si>
  <si>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</si>
  <si>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</si>
  <si>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</si>
  <si>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</si>
  <si>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</si>
  <si>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</si>
  <si>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</si>
  <si>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</si>
  <si>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</si>
  <si>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</si>
  <si>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</si>
  <si>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</si>
  <si>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</si>
  <si>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</si>
  <si>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</si>
  <si>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</si>
  <si>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</si>
  <si>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</si>
  <si>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</si>
  <si>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</si>
  <si>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</si>
  <si>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</si>
  <si>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</si>
  <si>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</si>
  <si>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</si>
  <si>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</si>
  <si>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</si>
  <si>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</si>
  <si>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</si>
  <si>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</si>
  <si>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</si>
  <si>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</si>
  <si>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</si>
  <si>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</si>
  <si>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</si>
  <si>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</si>
  <si>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</si>
  <si>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</si>
  <si>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</si>
  <si>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</si>
  <si>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</si>
  <si>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</si>
  <si>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</si>
  <si>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</si>
  <si>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</si>
  <si>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</si>
  <si>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</si>
  <si>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</si>
  <si>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</si>
  <si>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</si>
  <si>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</si>
  <si>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</si>
  <si>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</si>
  <si>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</si>
  <si>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</si>
  <si>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</si>
  <si>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</si>
  <si>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</si>
  <si>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</si>
  <si>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</si>
  <si>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</si>
  <si>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</si>
  <si>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</si>
  <si>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</si>
  <si>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</si>
  <si>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</si>
  <si>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</si>
  <si>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</si>
  <si>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</si>
  <si>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</si>
  <si>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</si>
  <si>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</si>
  <si>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</si>
  <si>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</si>
  <si>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</si>
  <si>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</si>
  <si>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</si>
  <si>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</si>
  <si>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</si>
  <si>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</si>
  <si>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</si>
  <si>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</si>
  <si>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</si>
  <si>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</si>
  <si>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</si>
  <si>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</si>
  <si>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</si>
  <si>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</si>
  <si>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</si>
  <si>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</si>
  <si>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</si>
  <si>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</si>
  <si>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</si>
  <si>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</si>
  <si>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</si>
  <si>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</si>
  <si>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</si>
  <si>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</si>
  <si>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</si>
  <si>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</si>
  <si>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</si>
  <si>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</si>
  <si>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</si>
  <si>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</si>
  <si>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</si>
  <si>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</si>
  <si>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</si>
  <si>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</si>
  <si>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</si>
  <si>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</si>
  <si>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</si>
  <si>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</si>
  <si>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</si>
  <si>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</si>
  <si>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</si>
  <si>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</si>
  <si>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</si>
  <si>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</si>
  <si>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</si>
  <si>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</si>
  <si>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</si>
  <si>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</si>
  <si>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</si>
  <si>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</si>
  <si>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</si>
  <si>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</si>
  <si>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</si>
  <si>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</si>
  <si>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</si>
  <si>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</si>
  <si>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</si>
  <si>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</si>
  <si>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</si>
  <si>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</si>
  <si>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</si>
  <si>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</si>
  <si>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</si>
  <si>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</si>
  <si>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</si>
  <si>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</si>
  <si>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</si>
  <si>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</si>
  <si>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</si>
  <si>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</si>
  <si>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</si>
  <si>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</si>
  <si>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</si>
  <si>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</si>
  <si>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</si>
  <si>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</si>
  <si>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</si>
  <si>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</si>
  <si>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</si>
  <si>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</si>
  <si>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</si>
  <si>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</si>
  <si>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</si>
  <si>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</si>
  <si>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</si>
  <si>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</si>
  <si>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</si>
  <si>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</si>
  <si>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</si>
  <si>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</si>
  <si>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</si>
  <si>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</si>
  <si>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</si>
  <si>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</si>
  <si>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</si>
  <si>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</si>
  <si>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</si>
  <si>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</si>
  <si>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</si>
  <si>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</si>
  <si>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</si>
  <si>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</si>
  <si>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</si>
  <si>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</si>
  <si>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</si>
  <si>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</si>
  <si>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</si>
  <si>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</si>
  <si>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</si>
  <si>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</si>
  <si>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</si>
  <si>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</si>
  <si>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</si>
  <si>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</si>
  <si>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</si>
  <si>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</si>
  <si>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</si>
  <si>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</si>
  <si>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</si>
  <si>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</si>
  <si>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</si>
  <si>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</si>
  <si>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</si>
  <si>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</si>
  <si>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</si>
  <si>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</si>
  <si>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</si>
  <si>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</si>
  <si>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</si>
  <si>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</si>
  <si>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</si>
  <si>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</si>
  <si>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</si>
  <si>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</si>
  <si>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</si>
  <si>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</si>
  <si>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</si>
  <si>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</si>
  <si>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</si>
  <si>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</si>
  <si>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</si>
  <si>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</si>
  <si>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</si>
  <si>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</si>
  <si>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</si>
  <si>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</si>
  <si>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</si>
  <si>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</si>
  <si>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</si>
  <si>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</si>
  <si>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</si>
  <si>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</si>
  <si>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</si>
  <si>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</si>
  <si>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</si>
  <si>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</si>
  <si>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</si>
  <si>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</si>
  <si>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</si>
  <si>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</si>
  <si>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</si>
  <si>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</si>
  <si>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</si>
  <si>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</si>
  <si>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</si>
  <si>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</si>
  <si>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</si>
  <si>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</si>
  <si>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</si>
  <si>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</si>
  <si>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</si>
  <si>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</si>
  <si>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</si>
  <si>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</si>
  <si>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</si>
  <si>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</si>
  <si>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</si>
  <si>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</si>
  <si>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</si>
  <si>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</si>
  <si>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</si>
  <si>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</si>
  <si>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</si>
  <si>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</si>
  <si>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</si>
  <si>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</si>
  <si>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</si>
  <si>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</si>
  <si>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</si>
  <si>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</si>
  <si>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</si>
  <si>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</si>
  <si>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</si>
  <si>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</si>
  <si>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</si>
  <si>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</si>
  <si>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</si>
  <si>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</si>
  <si>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</si>
  <si>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</si>
  <si>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</si>
  <si>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</si>
  <si>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</si>
  <si>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</si>
  <si>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</si>
  <si>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</si>
  <si>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</si>
  <si>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</si>
  <si>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</si>
  <si>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</si>
  <si>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</si>
  <si>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</si>
  <si>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</si>
  <si>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</si>
  <si>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</si>
  <si>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</si>
  <si>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</si>
  <si>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</si>
  <si>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</si>
  <si>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</si>
  <si>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</si>
  <si>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</si>
  <si>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</si>
  <si>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</si>
  <si>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</si>
  <si>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</si>
  <si>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</si>
  <si>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</si>
  <si>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</si>
  <si>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</si>
  <si>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</si>
  <si>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</si>
  <si>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</si>
  <si>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</si>
  <si>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</si>
  <si>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</si>
  <si>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</si>
  <si>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</si>
  <si>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</si>
  <si>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</si>
  <si>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</si>
  <si>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</si>
  <si>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</si>
  <si>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</si>
  <si>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</si>
  <si>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</si>
  <si>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</si>
  <si>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</si>
  <si>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</si>
  <si>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</si>
  <si>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</si>
  <si>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</si>
  <si>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</si>
  <si>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</si>
  <si>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</si>
  <si>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</si>
  <si>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</si>
  <si>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</si>
  <si>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</si>
  <si>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</si>
  <si>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</si>
  <si>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</si>
  <si>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</si>
  <si>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</si>
  <si>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</si>
  <si>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</si>
  <si>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</si>
  <si>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</si>
  <si>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</si>
  <si>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</si>
  <si>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</si>
  <si>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</si>
  <si>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</si>
  <si>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</si>
  <si>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</si>
  <si>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</si>
  <si>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</si>
  <si>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</si>
  <si>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</si>
  <si>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</si>
  <si>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</si>
  <si>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</si>
  <si>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</si>
  <si>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</si>
  <si>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</si>
  <si>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</si>
  <si>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</si>
  <si>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</si>
  <si>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</si>
  <si>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</si>
  <si>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</si>
  <si>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</si>
  <si>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</si>
  <si>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</si>
  <si>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</si>
  <si>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</si>
  <si>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</si>
  <si>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</si>
  <si>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</si>
  <si>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</si>
  <si>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</si>
  <si>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</si>
  <si>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</si>
  <si>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</si>
  <si>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</si>
  <si>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</si>
  <si>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</si>
  <si>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</si>
  <si>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</si>
  <si>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</si>
  <si>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</si>
  <si>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</si>
  <si>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</si>
  <si>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</si>
  <si>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</si>
  <si>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</si>
  <si>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</si>
  <si>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</si>
  <si>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</si>
  <si>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</si>
  <si>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</si>
  <si>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</si>
  <si>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</si>
  <si>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</si>
  <si>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</si>
  <si>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</si>
  <si>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</si>
  <si>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</si>
  <si>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</si>
  <si>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</si>
  <si>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</si>
  <si>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</si>
  <si>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</si>
  <si>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</si>
  <si>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</si>
  <si>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</si>
  <si>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</si>
  <si>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</si>
  <si>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</si>
  <si>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</si>
  <si>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</si>
  <si>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</si>
  <si>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</si>
  <si>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</si>
  <si>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</si>
  <si>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</si>
  <si>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</si>
  <si>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</si>
  <si>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</si>
  <si>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</si>
  <si>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</si>
  <si>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</si>
  <si>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</si>
  <si>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</si>
  <si>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</si>
  <si>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</si>
  <si>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</si>
  <si>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</si>
  <si>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</si>
  <si>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</si>
  <si>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</si>
  <si>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</si>
  <si>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</si>
  <si>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</si>
  <si>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</si>
  <si>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</si>
  <si>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</si>
  <si>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</si>
  <si>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</si>
  <si>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</si>
  <si>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</si>
  <si>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</si>
  <si>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</si>
  <si>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</si>
  <si>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</si>
  <si>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</si>
  <si>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</si>
  <si>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</si>
  <si>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</si>
  <si>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</si>
  <si>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</si>
  <si>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</si>
  <si>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</si>
  <si>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</si>
  <si>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</si>
  <si>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</si>
  <si>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</si>
  <si>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</si>
  <si>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</si>
  <si>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</si>
  <si>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</si>
  <si>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</si>
  <si>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</si>
  <si>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</si>
  <si>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</si>
  <si>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</si>
  <si>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</si>
  <si>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</si>
  <si>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</si>
  <si>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</si>
  <si>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</si>
  <si>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</si>
  <si>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</si>
  <si>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</si>
  <si>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</si>
  <si>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</si>
  <si>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t>
  </si>
  <si>
    <t xml:space="preserve">Whitefields rate (£ per this row's unit, this workbook's basis: Total Reclaims contract 2026, excl. the contractor's prelims and OH&amp;P, ÷ 0.94 × 1.014. Evidence only — the app does not read it)</t>
  </si>
  <si>
    <t xml:space="preserve">WF: £10.1 on the contract (Total Reclaims, £28,050 to the asbestos BoQ) over 3,000 m² GIA assumed (1,995 m² measured footprint × 1.5 storeys). Five bids on the same BoQ: £10.1–£53, median £15.8. The R&amp;D survey (£9,400) was a fee.</t>
  </si>
  <si>
    <t xml:space="preserve">WF: £91 per m² demolished on the contract, 3,000 m² GIA assumed (1,995 m² measured footprint × 1.5 storeys): soft strip, demolish, slabs and foundations £43; disconnecting and cutting back drainage, water, gas, electrical and telecoms, plus Trinity / Honeywell fire alarm, security and metering removal, £49. Core demolition across five bids £43–£87 (median £57). Excludes the water-main replacement (0.7) and the contractor's own £15k provisional sums for the Trinity / Honeywell work, which those quotes replace.</t>
  </si>
  <si>
    <t xml:space="preserve">WF: £40 per m² footprint on the contract (1,995 m² footprint): replacing the ductile iron water main that crosses the site in MDPE, with temporary water, trenching, stone surround and tarmac reinstatement (£74k). £49 with the changes pending at FS 16, Jul 2026 (trial pits on the district heating and water mains, out-of-hours water works: £16.7k).</t>
  </si>
  <si>
    <t xml:space="preserve">WF: £2.2 per m² over the 7,715 m² red line (contract £15.4k): topsoil and grass seed to the UoW Grounds specification only — no planting or maintenance. Five bids £2.2–£11.7, median £3.4.</t>
  </si>
  <si>
    <t xml:space="preserve">NRM1 COST ESTIMATE TOOL — v5.9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</si>
  <si>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t>
  </si>
  <si>
    <t xml:space="preserve">Whitefields rate</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</si>
  <si>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m² GIFA and m² demolished use 3,000 m² GIA (assumed: 1,995 m² measured footprint × 1.5 storeys); m² footprint uses 1,995 m²; soft landscaping uses the 7,715 m² red line. Evidence only: the app does not read this column and no rate changed.</t>
  </si>
  <si>
    <t xml:space="preserve">v5.9 — 2 Oct 2026</t>
  </si>
  <si>
    <t xml:space="preserve">Evidence only, no rates changed. New column R 'Whitefields rate' on '2. Rates' and WF lines in Tender check, from the Whitefields demolition contract (Total Reclaims £525,676; AFC £532,445 at FS 16, Jul 2026; 3,000 m² GIA assumed): 0.1 asbestos £10.1/m² GIFA; 0.2 demolition incl. disconnections £91/m² demolished; 0.7 service diversions £40/m² footprint (water-main replacement); 8.10 topsoil and seed £2.2/m². Not on '2. Rates': the contractor's prelims incl. hoarding were 16.8% of works and OH&amp;P 15%; professional fees 28% of construction (ecology and environmental monitoring £67k), UoW Estates fees 4%, contingency 7%.</t>
  </si>
  <si>
    <t xml:space="preserve">5.9</t>
  </si>
  <si>
    <t xml:space="preserve">2026-10-02</t>
  </si>
  <si>
    <t xml:space="preserve">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</si>
  <si>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 xml:space="preserve">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</si>
  <si>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 xml:space="preserve">£54 (bids £36–£56) for a partial strip-out: finishes, fittings, redundant electrics and protection CC: £51.4 on the Claycroft G4 contract (Cawarden, £801,990): full strip-out of three occupied student blocks, 17,172 m² GIA. Three bids £802k–£928k.</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</si>
  <si>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</si>
  <si>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 xml:space="preserve">£13.5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</si>
  <si>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 xml:space="preserve">£72 (bids £60–£84) incl. bathroom wall cladding, kitchen tiling and full redecoration — confirms £75 CC: £99 on the G4 contract: decoration (RE Martin, £1.02m; three bids £1.02m–£1.16m), making good (£274k) and PVC hygienic wall cladding (£251k). Includes painting ceilings and doors.</t>
  </si>
  <si>
    <t xml:space="preserve">£51 (bids £48–£59). New build columns copied from 3.2a CC: £38 on the G4 contract: carpet and vinyl (Active, £506k; three bids £506k–£660k), Claycroft 2 corridor and lobby floors (£88k) and screed (£4.5k).</t>
  </si>
  <si>
    <t xml:space="preserve">£30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</si>
  <si>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 xml:space="preserve">£2,563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</si>
  <si>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 xml:space="preserve">CC: £64 on the G4 contract: joinery package (Mansard, £994k; two bids £994k–£1.04m) — bathroom joinery (boxings, bath panels, shelves) 67%, bedroom joinery (wardrobe alterations, shelving) 21%, other incl. signage 12%.</t>
  </si>
  <si>
    <t xml:space="preserve">CC: £39 on the G4 contract: domestic hot and cold water (riser pipework and valves, bathroom connections, DHW plate heat exchangers and pumps) and drainage (bathroom connections to stacks, SVP terminations). A partial replacement, not a full installation. Sanitaryware is in 4.2a.</t>
  </si>
  <si>
    <t xml:space="preserve">Residential extract-only scope: £18.5 — see 5.3b CC: forecast out-turn £92 (Mace Val 16) for bathroom extract incl. new ductwork and roof-mounted fans added by CE in Claycroft 1 (£182k) and Claycroft 2 (£865k). The contract figure is on 5.3b.</t>
  </si>
  <si>
    <t xml:space="preserve">£18.5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</si>
  <si>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 xml:space="preserve">CC: £4.3 on the G4 contract: interfaces from the existing BEMS to the new fire alarm and DHW controls only.</t>
  </si>
  <si>
    <t xml:space="preserve">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</si>
  <si>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 xml:space="preserve">Not separable in the tender — checked together with 5.7b CC: £113 on the G4 contract for general, emergency and external lighting together (£1.66m, not split) — compare with 5.8a + 5.9 (£33 + £10).</t>
  </si>
  <si>
    <t xml:space="preserve">£18.6 (bids £18–£21), residential — confirms £18 CC: £65 on the G4 contract: new fire alarm throughout three blocks of student flats (£949k). Disabled refuge and assisted-WC alarms add £8.5 (not in this figure).</t>
  </si>
  <si>
    <t xml:space="preserve">£24.5 incl. TV aerial system (bids £22–£39). New build columns copied from 5.14a CC: £19 on the G4 contract: voice and data (£284k); no TV aerial system.</t>
  </si>
  <si>
    <t xml:space="preserve">Not comparable: the tender only had doorbells and door-entry infrastructure CC: £4.5 on the G4 contract: access control (£52k) and CCTV (£14k) only.</t>
  </si>
  <si>
    <t xml:space="preserve">CC: £112,850 per lift on the G4 contract: one passenger lift removed and replaced in Claycroft 3 (Morris Vermaport, £102,588 incl. design).</t>
  </si>
  <si>
    <t xml:space="preserve">£27 (bids £18–£55): chasing and making good for a full rewire of occupied flats. New build columns copied from 5.26a CC: £11 on the G4 contract: builder's work assessed by Morgan Sindall at 2.2% of M&amp;E (£172k); more builder's work is priced inside the M&amp;E lines.</t>
  </si>
  <si>
    <t xml:space="preserve">CC: no contract figure. The forecast out-turn (Mace Val 16) adds £2.65m of structural and fabric defect remediation, £164 on this basis — mostly a £2.14m budget for Claycroft 2, found only as each block was opened up.</t>
  </si>
  <si>
    <t xml:space="preserve">NRM1 COST ESTIMATE TOOL — v5.10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</si>
  <si>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</si>
  <si>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 xml:space="preserve">Claycroft rate</t>
  </si>
  <si>
    <t xml:space="preserve">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</si>
  <si>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 xml:space="preserve">v5.10 — 3 Oct 2026</t>
  </si>
  <si>
    <t xml:space="preserve">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</si>
  <si>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 xml:space="preserve">5.10</t>
  </si>
  <si>
    <t xml:space="preserve">2026-10-03</t>
  </si>
  <si>
    <t xml:space="preserve">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</si>
  <si>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 xml:space="preserve">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</si>
  <si>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 xml:space="preserve">WF: £8.1 on the contract (Total Reclaims, £28,050 to the asbestos BoQ) over 3,740 m² GIA (17 blocks × about 220 m², owner's figures). Five bids on the same BoQ: £8.1–£42.5, median £12.7. Mace's pre-tender allowance was £85,000 (£24.5). The R&amp;D survey (£9,400) was a fee.</t>
  </si>
  <si>
    <t xml:space="preserve">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</si>
  <si>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 xml:space="preserve">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</si>
  <si>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 xml:space="preserve">WF: £2.1 per m² over the 8,000 m² site (contract £15.4k): topsoil and grass seed to the UoW Grounds specification only — no planting or maintenance. Five bids £2.1–£11.2, median £3.2.</t>
  </si>
  <si>
    <t xml:space="preserve">NRM1 COST ESTIMATE TOOL — v5.11 (October 2026)</t>
  </si>
  <si>
    <t xml:space="preserve">2026-10-04</t>
  </si>
  <si>
    <t xml:space="preserve">NRM1 COST ESTIMATE TOOL — v5.12 (October 2026)</t>
  </si>
  <si>
    <t xml:space="preserve">SUGGEST: S-0020 Fire stopping · SUGGEST: S-0047 Emergency lighting · SUGGEST: S-0001 Asbestos removal</t>
  </si>
  <si>
    <t xml:space="preserve">SUGGEST: S-0041 Ventilation · SUGGEST: S-0019 Internal doors</t>
  </si>
  <si>
    <t xml:space="preserve">SUGGEST: S-0041 Ventilation</t>
  </si>
  <si>
    <t xml:space="preserve">SUGGEST: S-0020 Fire stopping · SUGGEST: S-0047 Emergency lighting</t>
  </si>
  <si>
    <t xml:space="preserve">2026-10-05</t>
  </si>
  <si>
    <t xml:space="preserve">NRM1 COST ESTIMATE TOOL — v5.13 (October 2026)</t>
  </si>
  <si>
    <t xml:space="preserve">NRM1 COST ESTIMATE TOOL — v5.14 (October 2026)</t>
  </si>
  <si>
    <t xml:space="preserve">2026-10-06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</si>
  <si>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t>
  </si>
  <si>
    <t xml:space="preserve">2026-10-07</t>
  </si>
  <si>
    <t xml:space="preserve">NRM1 COST ESTIMATE TOOL — v5.15 (October 2026)</t>
  </si>
  <si>
    <t xml:space="preserve">2026-10-08</t>
  </si>
  <si>
    <t xml:space="preserve">NRM1 COST ESTIMATE TOOL — v5.16 (October 2026)</t>
  </si>
  <si>
    <t xml:space="preserve">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</si>
</sst>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6"/>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1803</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142.25" x14ac:dyDescent="0.2">
      <c r="A21" s="15" t="s">
        <v>1708</v>
      </c>
      <c r="B21" s="17" t="s">
        <v>1775</v>
      </c>
      <c r="C21" s="33"/>
    </row>
    <row r="22" spans="1:3" ht="63.75" customHeight="1" x14ac:dyDescent="0.2">
      <c r="A22" s="15" t="s">
        <v>1746</v>
      </c>
      <c r="B22" s="17" t="s">
        <v>1782</v>
      </c>
      <c r="C22" s="33"/>
    </row>
    <row r="23" spans="1:3" ht="91.25" customHeight="1" x14ac:dyDescent="0.2">
      <c r="A23" s="15" t="s">
        <v>1776</v>
      </c>
      <c r="B23" s="17" t="s">
        <v>1777</v>
      </c>
      <c r="C23" s="33"/>
    </row>
    <row r="24" spans="1:3" x14ac:dyDescent="0.2">
      <c r="A24" s="15" t="inlineStr">
        <is>
          <t>Project rate columns (T–Z)</t>
        </is>
      </c>
      <c r="B24" s="17" t="inlineStr">
        <is>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is>
      </c>
    </row>
    <row r="25" spans="1:3" x14ac:dyDescent="0.2">
      <c r="A25" s="13" t="s">
        <v>1568</v>
      </c>
      <c r="B25" s="16"/>
      <c r="C25" s="34"/>
    </row>
    <row r="26" spans="1:3" x14ac:dyDescent="0.2">
      <c r="A26" s="15" t="s">
        <v>1076</v>
      </c>
      <c r="B26" s="17" t="s">
        <v>1569</v>
      </c>
      <c r="C26" s="33"/>
    </row>
    <row r="27" spans="1:3" x14ac:dyDescent="0.2">
      <c r="A27" s="15" t="s">
        <v>1098</v>
      </c>
      <c r="B27" s="17" t="s">
        <v>1570</v>
      </c>
      <c r="C27" s="33"/>
    </row>
    <row r="28" spans="1:3" x14ac:dyDescent="0.2">
      <c r="A28" s="15" t="s">
        <v>1118</v>
      </c>
      <c r="B28" s="17" t="s">
        <v>1571</v>
      </c>
      <c r="C28" s="33"/>
    </row>
    <row r="29" spans="1:3" x14ac:dyDescent="0.2">
      <c r="A29" s="15" t="s">
        <v>1179</v>
      </c>
      <c r="B29" s="17" t="s">
        <v>1572</v>
      </c>
      <c r="C29" s="33"/>
    </row>
    <row r="30" spans="1:3" x14ac:dyDescent="0.2">
      <c r="A30" s="15" t="s">
        <v>1174</v>
      </c>
      <c r="B30" s="17" t="s">
        <v>1573</v>
      </c>
      <c r="C30" s="33"/>
    </row>
    <row r="31" spans="1:3" x14ac:dyDescent="0.2">
      <c r="A31" s="15" t="s">
        <v>1637</v>
      </c>
      <c r="B31" s="17" t="s">
        <v>1710</v>
      </c>
      <c r="C31" s="33"/>
    </row>
    <row r="32" spans="1:3" x14ac:dyDescent="0.2">
      <c r="A32" s="15"/>
      <c r="B32" s="17"/>
      <c r="C32" s="33"/>
    </row>
    <row r="33" spans="1:3" x14ac:dyDescent="0.2">
      <c r="A33" s="13" t="s">
        <v>7</v>
      </c>
      <c r="B33" s="16"/>
      <c r="C33" s="34"/>
    </row>
    <row r="34" spans="1:3" x14ac:dyDescent="0.2">
      <c r="A34" s="15" t="s">
        <v>1574</v>
      </c>
      <c r="B34" s="17" t="s">
        <v>1575</v>
      </c>
      <c r="C34" s="33"/>
    </row>
    <row r="35" spans="1:3" x14ac:dyDescent="0.2">
      <c r="A35" s="15" t="s">
        <v>8</v>
      </c>
      <c r="B35" s="17" t="s">
        <v>1576</v>
      </c>
      <c r="C35" s="33"/>
    </row>
    <row r="36" spans="1:3" x14ac:dyDescent="0.2">
      <c r="A36" s="15" t="s">
        <v>1577</v>
      </c>
      <c r="B36" s="17" t="s">
        <v>1578</v>
      </c>
      <c r="C36" s="33"/>
    </row>
    <row r="37" spans="1:3" x14ac:dyDescent="0.2">
      <c r="A37" s="15" t="s">
        <v>1579</v>
      </c>
      <c r="B37" s="32" t="s">
        <v>1580</v>
      </c>
      <c r="C37" s="33"/>
    </row>
    <row r="38" spans="1:3" x14ac:dyDescent="0.2">
      <c r="A38" s="15" t="s">
        <v>1581</v>
      </c>
      <c r="B38" s="32" t="s">
        <v>1582</v>
      </c>
      <c r="C38" s="33"/>
    </row>
    <row r="39" spans="1:3" x14ac:dyDescent="0.2">
      <c r="A39" s="15" t="s">
        <v>9</v>
      </c>
      <c r="B39" s="17" t="s">
        <v>1583</v>
      </c>
      <c r="C39" s="33"/>
    </row>
    <row r="40" spans="1:3" x14ac:dyDescent="0.2">
      <c r="A40" s="15" t="s">
        <v>2</v>
      </c>
      <c r="B40" s="17" t="s">
        <v>1584</v>
      </c>
      <c r="C40" s="33"/>
    </row>
    <row r="41" spans="1:3" x14ac:dyDescent="0.2">
      <c r="A41" s="15"/>
      <c r="B41" s="17"/>
      <c r="C41" s="33"/>
    </row>
    <row r="42" spans="1:3" x14ac:dyDescent="0.2">
      <c r="A42" s="13" t="s">
        <v>1585</v>
      </c>
      <c r="B42" s="16"/>
      <c r="C42" s="34"/>
    </row>
    <row r="43" spans="1:3" ht="25.5" x14ac:dyDescent="0.2">
      <c r="A43" s="15" t="s">
        <v>1586</v>
      </c>
      <c r="B43" s="17" t="s">
        <v>1587</v>
      </c>
      <c r="C43" s="33"/>
    </row>
    <row r="44" spans="1:3" ht="25.5" x14ac:dyDescent="0.2">
      <c r="A44" s="15" t="s">
        <v>1588</v>
      </c>
      <c r="B44" s="17" t="s">
        <v>3</v>
      </c>
      <c r="C44" s="33"/>
    </row>
    <row r="45" spans="1:3" x14ac:dyDescent="0.2">
      <c r="A45" s="15" t="s">
        <v>1589</v>
      </c>
      <c r="B45" s="17" t="s">
        <v>1590</v>
      </c>
      <c r="C45" s="33"/>
    </row>
    <row r="46" spans="1:3" x14ac:dyDescent="0.2">
      <c r="A46" s="15" t="s">
        <v>1591</v>
      </c>
      <c r="B46" s="17" t="s">
        <v>1592</v>
      </c>
      <c r="C46" s="33"/>
    </row>
    <row r="47" spans="1:3" x14ac:dyDescent="0.2">
      <c r="A47" s="15" t="s">
        <v>5</v>
      </c>
      <c r="B47" s="17" t="s">
        <v>1593</v>
      </c>
      <c r="C47" s="33"/>
    </row>
    <row r="48" spans="1:3" ht="25.5" x14ac:dyDescent="0.2">
      <c r="A48" s="15" t="s">
        <v>40</v>
      </c>
      <c r="B48" s="17" t="s">
        <v>1633</v>
      </c>
      <c r="C48" s="33"/>
    </row>
    <row r="49" spans="1:3" x14ac:dyDescent="0.2">
      <c r="A49" s="15" t="s">
        <v>43</v>
      </c>
      <c r="B49" s="17" t="s">
        <v>1594</v>
      </c>
      <c r="C49" s="33"/>
    </row>
    <row r="50" spans="1:3" ht="25.5" x14ac:dyDescent="0.2">
      <c r="A50" s="15" t="s">
        <v>1595</v>
      </c>
      <c r="B50" s="17" t="s">
        <v>1596</v>
      </c>
      <c r="C50" s="33"/>
    </row>
    <row r="51" spans="1:3" ht="25.5" x14ac:dyDescent="0.2">
      <c r="A51" s="15" t="s">
        <v>1597</v>
      </c>
      <c r="B51" s="17" t="s">
        <v>1598</v>
      </c>
      <c r="C51" s="33"/>
    </row>
    <row r="52" spans="1:3" x14ac:dyDescent="0.2">
      <c r="A52" s="15" t="s">
        <v>1599</v>
      </c>
      <c r="B52" s="17" t="s">
        <v>1600</v>
      </c>
      <c r="C52" s="33"/>
    </row>
    <row r="53" spans="1:3" x14ac:dyDescent="0.2">
      <c r="A53" s="15" t="s">
        <v>1601</v>
      </c>
      <c r="B53" s="17" t="s">
        <v>1602</v>
      </c>
      <c r="C53" s="33"/>
    </row>
    <row r="54" spans="1:3" x14ac:dyDescent="0.2">
      <c r="A54" s="15" t="s">
        <v>4</v>
      </c>
      <c r="B54" s="17" t="s">
        <v>1603</v>
      </c>
      <c r="C54" s="33"/>
    </row>
    <row r="55" spans="1:3" ht="25.5" x14ac:dyDescent="0.2">
      <c r="A55" s="15" t="s">
        <v>6</v>
      </c>
      <c r="B55" s="17" t="s">
        <v>1604</v>
      </c>
      <c r="C55" s="33"/>
    </row>
    <row r="56" spans="1:3" x14ac:dyDescent="0.2">
      <c r="A56" s="15" t="s">
        <v>1605</v>
      </c>
      <c r="B56" s="17" t="s">
        <v>1606</v>
      </c>
      <c r="C56" s="33"/>
    </row>
    <row r="57" spans="1:3" x14ac:dyDescent="0.2">
      <c r="A57" s="15" t="s">
        <v>46</v>
      </c>
      <c r="B57" s="17" t="s">
        <v>1607</v>
      </c>
      <c r="C57" s="33"/>
    </row>
    <row r="58" spans="1:3" x14ac:dyDescent="0.2">
      <c r="A58" s="15" t="s">
        <v>1608</v>
      </c>
      <c r="B58" s="17" t="s">
        <v>1609</v>
      </c>
      <c r="C58" s="33"/>
    </row>
    <row r="59" spans="1:3" x14ac:dyDescent="0.2">
      <c r="A59" s="15" t="s">
        <v>56</v>
      </c>
      <c r="B59" s="17" t="s">
        <v>1610</v>
      </c>
      <c r="C59" s="33"/>
    </row>
    <row r="60" spans="1:3" x14ac:dyDescent="0.2">
      <c r="A60" s="15"/>
      <c r="B60" s="17"/>
      <c r="C60" s="33"/>
    </row>
    <row r="61" spans="1:3" x14ac:dyDescent="0.2">
      <c r="A61" s="13" t="s">
        <v>11</v>
      </c>
      <c r="B61" s="16"/>
      <c r="C61" s="34"/>
    </row>
    <row r="62" spans="1:3" x14ac:dyDescent="0.2">
      <c r="A62" s="15" t="s">
        <v>1611</v>
      </c>
      <c r="B62" s="17"/>
      <c r="C62" s="33">
        <f>SUMPRODUCT(('2. Rates'!O6:O152&lt;&gt;"")*(COUNTIF('2. Rates'!O6:O152,'2. Rates'!O6:O152)&gt;1))</f>
        <v>0</v>
      </c>
    </row>
    <row r="63" spans="1:3" x14ac:dyDescent="0.2">
      <c r="A63" s="15" t="s">
        <v>1612</v>
      </c>
      <c r="B63" s="17"/>
      <c r="C63" s="33">
        <f>SUMPRODUCT(('2. Rates'!O6:O152&lt;&gt;"")*(COUNTIF('4. Scope rules'!A91:A229,'2. Rates'!O6:O152)=0))</f>
        <v>0</v>
      </c>
    </row>
    <row r="64" spans="1:3" x14ac:dyDescent="0.2">
      <c r="A64" s="15" t="s">
        <v>1613</v>
      </c>
      <c r="B64" s="17"/>
      <c r="C64" s="33">
        <f>SUMPRODUCT(('4. Scope rules'!A91:A229&lt;&gt;"")*(COUNTIF('2. Rates'!O6:O152,'4. Scope rules'!A91:A229)=0))</f>
        <v>0</v>
      </c>
    </row>
    <row r="65" spans="1:3" x14ac:dyDescent="0.2">
      <c r="A65" s="15" t="s">
        <v>1614</v>
      </c>
      <c r="B65" s="17"/>
      <c r="C65" s="33">
        <f>SUMPRODUCT(('4. Scope rules'!A91:A229&lt;&gt;"")*(COUNTIF('4. Scope rules'!A6:A87,'4. Scope rules'!B91:B229)=0))</f>
        <v>0</v>
      </c>
    </row>
    <row r="66" spans="1:3" x14ac:dyDescent="0.2">
      <c r="A66" s="15" t="s">
        <v>1615</v>
      </c>
      <c r="B66" s="17"/>
      <c r="C66" s="33">
        <f>SUMPRODUCT(('2. Rates'!O6:O152&lt;&gt;"")*('2. Rates'!M6:M152=""))</f>
        <v>0</v>
      </c>
    </row>
    <row r="67" spans="1:3" x14ac:dyDescent="0.2">
      <c r="A67" s="15" t="s">
        <v>1616</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1617</v>
      </c>
      <c r="B69" s="17"/>
      <c r="C69" s="33">
        <f>SUMPRODUCT(('4. Scope rules'!A6:A87&lt;&gt;"")*('4. Scope rules'!F6:F87="One")*(COUNTIFS('4. Scope rules'!B91:B229,'4. Scope rules'!A6:A87,'4. Scope rules'!E91:E229,"Yes")&gt;1))</f>
        <v>0</v>
      </c>
    </row>
    <row r="70" spans="1:3" x14ac:dyDescent="0.2">
      <c r="A70" s="15" t="s">
        <v>1618</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Settings'!A96:A123&lt;&gt;"")*(COUNTIFS('3. Settings'!A96:A123,'3. Settings'!A96:A123,'3. Settings'!B96:B123,"ALL")=0))</f>
        <v>0</v>
      </c>
    </row>
    <row r="74" spans="1:3" x14ac:dyDescent="0.2">
      <c r="A74" s="15" t="s">
        <v>16</v>
      </c>
      <c r="B74" s="17"/>
      <c r="C74" s="33">
        <f>SUMPRODUCT(('3. Settings'!A96:A123&lt;&gt;"")*('3. Settings'!C96:C123=""))</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1619</v>
      </c>
      <c r="B78" s="17"/>
      <c r="C78" s="33">
        <f>COUNTA('2. Rates'!O6:O152)</f>
        <v>139</v>
      </c>
    </row>
    <row r="79" spans="1:3" x14ac:dyDescent="0.2">
      <c r="A79" s="15"/>
      <c r="B79" s="17"/>
      <c r="C79" s="33"/>
    </row>
    <row r="80" spans="1:3" x14ac:dyDescent="0.2">
      <c r="A80" s="13" t="s">
        <v>22</v>
      </c>
      <c r="B80" s="16"/>
      <c r="C80" s="34"/>
    </row>
    <row r="81" spans="1:3" s="54" customFormat="1" x14ac:dyDescent="0.2">
      <c r="A81" s="17" t="inlineStr">
        <is>
          <t>v5.12 — 4 Oct 2026</t>
        </is>
      </c>
      <c r="B81" s="17" t="inlineStr">
        <is>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is>
      </c>
    </row>
    <row r="82" spans="1:3" s="54" customFormat="1" x14ac:dyDescent="0.2">
      <c r="A82" s="17" t="inlineStr">
        <is>
          <t>v5.11 — 4 Oct 2026</t>
        </is>
      </c>
      <c r="B82" s="17" t="inlineStr">
        <is>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is>
      </c>
    </row>
    <row r="83" spans="1:3" s="54" customFormat="1" ht="104.0" customHeight="1" x14ac:dyDescent="0.2">
      <c r="A83" s="17" t="s">
        <v>1778</v>
      </c>
      <c r="B83" s="17" t="s">
        <v>1779</v>
      </c>
      <c r="C83" s="60"/>
    </row>
    <row r="84" spans="1:3" s="54" customFormat="1" ht="89.25" customHeight="1" x14ac:dyDescent="0.2">
      <c r="A84" s="17" t="s">
        <v>1748</v>
      </c>
      <c r="B84" s="17" t="s">
        <v>1783</v>
      </c>
      <c r="C84" s="60"/>
    </row>
    <row r="85" spans="1:3" s="54" customFormat="1" ht="76.5" x14ac:dyDescent="0.2">
      <c r="A85" s="17" t="s">
        <v>1722</v>
      </c>
      <c r="B85" s="17" t="s">
        <v>1737</v>
      </c>
      <c r="C85" s="60"/>
    </row>
    <row r="86" spans="1:3" s="54" customFormat="1" ht="76.5" x14ac:dyDescent="0.2">
      <c r="A86" s="17" t="s">
        <v>1711</v>
      </c>
      <c r="B86" s="17" t="s">
        <v>1712</v>
      </c>
      <c r="C86" s="60"/>
    </row>
    <row r="87" spans="1:3" s="54" customFormat="1" ht="76.5" x14ac:dyDescent="0.2">
      <c r="A87" s="17" t="s">
        <v>1632</v>
      </c>
      <c r="B87" s="17" t="s">
        <v>1634</v>
      </c>
      <c r="C87" s="60"/>
    </row>
    <row r="88" spans="1:3" ht="102" x14ac:dyDescent="0.2">
      <c r="A88" s="15" t="s">
        <v>1620</v>
      </c>
      <c r="B88" s="17" t="s">
        <v>1621</v>
      </c>
      <c r="C88" s="33"/>
    </row>
    <row r="89" spans="1:3" ht="51" x14ac:dyDescent="0.2">
      <c r="A89" s="15" t="s">
        <v>1060</v>
      </c>
      <c r="B89" s="17" t="s">
        <v>1061</v>
      </c>
      <c r="C89" s="33"/>
    </row>
    <row r="90" spans="1:3" ht="38.25" x14ac:dyDescent="0.2">
      <c r="A90" s="15" t="s">
        <v>1051</v>
      </c>
      <c r="B90" s="17" t="s">
        <v>1052</v>
      </c>
      <c r="C90" s="33"/>
    </row>
    <row r="91" spans="1:3" x14ac:dyDescent="0.2">
      <c r="A91" s="15" t="s">
        <v>23</v>
      </c>
      <c r="B91" s="17" t="s">
        <v>24</v>
      </c>
      <c r="C91" s="33"/>
    </row>
    <row r="92" spans="1:3" ht="38.25" x14ac:dyDescent="0.2">
      <c r="A92" s="15" t="s">
        <v>25</v>
      </c>
      <c r="B92" s="17" t="s">
        <v>26</v>
      </c>
      <c r="C92" s="33"/>
    </row>
    <row r="93" spans="1:3" ht="25.5" x14ac:dyDescent="0.2">
      <c r="A93" s="15" t="s">
        <v>27</v>
      </c>
      <c r="B93" s="17" t="s">
        <v>28</v>
      </c>
      <c r="C93" s="33"/>
    </row>
    <row r="94" spans="1:3" x14ac:dyDescent="0.2">
      <c r="A94" s="15" t="s">
        <v>29</v>
      </c>
      <c r="B94" s="17" t="s">
        <v>30</v>
      </c>
      <c r="C94" s="33"/>
    </row>
    <row r="95" spans="1:3" x14ac:dyDescent="0.2">
      <c r="A95" s="15" t="s">
        <v>31</v>
      </c>
      <c r="B95" s="17" t="s">
        <v>32</v>
      </c>
      <c r="C95" s="33"/>
    </row>
    <row r="96" spans="1:3" x14ac:dyDescent="0.2">
      <c r="A96" s="15"/>
      <c r="B96" s="17"/>
      <c r="C96"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8" width="16.7109375" style="8" customWidth="1"/>
    <col min="19" max="19" width="16.7109375" style="8" customWidth="1"/>
    <col min="20" max="25" width="16.7109375" style="8" customWidth="1"/>
    <col min="26" max="26" width="14.7109375" style="8" customWidth="1"/>
    <col min="27" max="27" width="14.7109375" style="8" customWidth="1"/>
    <col min="28" max="28" width="60.7109375" style="8" customWidth="1"/>
    <col min="29" max="16384" width="9.140625" style="8"/>
  </cols>
  <sheetData>
    <row r="1" spans="1:16" ht="18" x14ac:dyDescent="0.25">
      <c r="A1" s="9" t="s">
        <v>1062</v>
      </c>
    </row>
    <row r="2" spans="1:16" x14ac:dyDescent="0.2">
      <c r="A2" s="10" t="s">
        <v>1063</v>
      </c>
    </row>
    <row r="3" spans="1:16" x14ac:dyDescent="0.2">
      <c r="A3" s="10" t="s">
        <v>1064</v>
      </c>
    </row>
    <row r="5" spans="1:28"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1752</v>
      </c>
      <c r="R5" s="12" t="s">
        <v>1739</v>
      </c>
      <c r="S5" s="12" t="s">
        <v>1753</v>
      </c>
      <c r="T5" s="12" t="inlineStr">
        <is>
          <t>Lakeside rate (£ per this row's unit, this workbook's basis: Lakeside Staff &amp; Family Flats refurbishment, tender Sep 2026, median of 4 bids ÷ 0.94. Evidence only — the app does not read it)</t>
        </is>
      </c>
      <c r="U5" s="12" t="inlineStr">
        <is>
          <t>Computer Science rate (£ per this row's unit, this workbook's basis: CS Building decarbonisation, tender Mar 2024, mean of 2 bids × 1.07 ÷ 0.94; roof per m² footprint; 5.1b is the whole M&amp;E package. Evidence only)</t>
        </is>
      </c>
      <c r="V5" s="12" t="inlineStr">
        <is>
          <t>Scarman rate (£ per this row's unit, this workbook's basis: Scarman Public Toilets Phase 2, HIGH specification, tender Apr 2026, median of 6 bids × 1.007 ÷ 0.94; per m² figures over the 71 m² toilet area only. Evidence only)</t>
        </is>
      </c>
      <c r="W5" s="12" t="inlineStr">
        <is>
          <t>Co-op rate (£ per this row's unit, this workbook's basis: Co-op grocery store fit-out, Kingfisher CSA, contract Aug 2025 × 1.03 ÷ 0.94, over 885 m². Evidence only)</t>
        </is>
      </c>
      <c r="X5" s="12" t="inlineStr">
        <is>
          <t>IBRB café rate (£ per this row's unit, this workbook's basis: IBRB café servery fit-out, Senevo winning bid 2025 × 1.035 ÷ 0.94, over 72 m² (catering kitchen per 28 m² servery). Evidence only)</t>
        </is>
      </c>
      <c r="Y5" s="12" t="inlineStr">
        <is>
          <t>Riley Court rate (£ per this row's unit, this workbook's basis: Psychology building full refurbishment, Maris signed contract CSA £9.15m, GMP Nov 2024 × 1.05 ÷ 0.94, GIFA 3,850 m². Evidence only)</t>
        </is>
      </c>
      <c r="Z5" s="12" t="inlineStr">
        <is>
          <t>Average of project rates (mean of columns R–Y that hold a figure for this row. Projects differ in scope and specification, so read it with the column notes. Evidence only — the app does not read it)</t>
        </is>
      </c>
      <c r="AA5" s="12" t="inlineStr">
        <is>
          <t>Suggested Refurb &amp; Fit-out Std rate (Claude's suggestion from the project columns R–Y, 4 Oct 2026, for the owner to accept, change or ignore. Evidence only — the app does not read it)</t>
        </is>
      </c>
      <c r="AB5" s="12" t="inlineStr">
        <is>
          <t>Reason for the suggestion</t>
        </is>
      </c>
    </row>
    <row r="6" spans="1:16" x14ac:dyDescent="0.2">
      <c r="A6" s="18" t="s">
        <v>1072</v>
      </c>
      <c r="B6" s="19"/>
      <c r="C6" s="19"/>
      <c r="D6" s="18"/>
      <c r="E6" s="19"/>
      <c r="F6" s="19"/>
      <c r="G6" s="18"/>
      <c r="H6" s="37"/>
      <c r="I6" s="38"/>
      <c r="J6" s="37"/>
      <c r="K6" s="38"/>
      <c r="L6" s="37"/>
      <c r="M6" s="19"/>
      <c r="N6" s="19"/>
      <c r="O6" s="20"/>
    </row>
    <row r="7" spans="1:28"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c r="Q7" s="22" t="s">
        <v>1784</v>
      </c>
      <c r="R7" s="22" t="n">
        <v>8.1</v>
      </c>
      <c r="Z7" s="40">
        <f>AVERAGE(R7:Y7)</f>
        <v>8.1</v>
      </c>
      <c r="AA7" s="40">
        <v>25</v>
      </c>
      <c r="AB7" s="22" t="inlineStr">
        <is>
          <t>Keep. Matches Mace pre-tender allowance (£24.5); one low tender (£8) is not enough to cut it.</t>
        </is>
      </c>
    </row>
    <row r="8" spans="1:28" ht="38.25" x14ac:dyDescent="0.2">
      <c r="A8" s="21" t="s">
        <v>82</v>
      </c>
      <c r="B8" s="22" t="s">
        <v>75</v>
      </c>
      <c r="C8" s="22"/>
      <c r="D8" s="23" t="s">
        <v>65</v>
      </c>
      <c r="E8" s="22" t="s">
        <v>1078</v>
      </c>
      <c r="F8" s="22" t="s">
        <v>1079</v>
      </c>
      <c r="G8" s="23" t="s">
        <v>76</v>
      </c>
      <c r="H8" s="39"/>
      <c r="I8" s="40">
        <v>100</v>
      </c>
      <c r="J8" s="39"/>
      <c r="K8" s="40">
        <v>100</v>
      </c>
      <c r="L8" s="39"/>
      <c r="M8" s="22" t="inlineStr">
        <is>
          <t>Your figure</t>
        </is>
      </c>
      <c r="N8" s="22" t="s">
        <v>1080</v>
      </c>
      <c r="O8" s="24" t="s">
        <v>73</v>
      </c>
      <c r="Q8" s="22" t="s">
        <v>1785</v>
      </c>
      <c r="R8" s="22" t="n">
        <v>73.3</v>
      </c>
      <c r="Z8" s="40">
        <f>AVERAGE(R8:Y8)</f>
        <v>73.3</v>
      </c>
      <c r="AA8" s="40">
        <v>100</v>
      </c>
      <c r="AB8" s="22" t="inlineStr">
        <is>
          <t>Lower. Whitefields £73 on simple 2-storey masonry; £100 leaves room for framed or taller buildings.</t>
        </is>
      </c>
    </row>
    <row r="9" spans="1:28" ht="78.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1754</v>
      </c>
      <c r="S9" s="22">
        <v>51.4</v>
      </c>
      <c r="T9" s="22">
        <v>54</v>
      </c>
      <c r="V9" s="22">
        <v>217</v>
      </c>
      <c r="W9" s="22">
        <v>48.8</v>
      </c>
      <c r="X9" s="22">
        <v>11.5</v>
      </c>
      <c r="Y9" s="22">
        <v>54.9</v>
      </c>
      <c r="Z9" s="40">
        <f>AVERAGE(R9:Y9)</f>
        <v>72.933333</v>
      </c>
      <c r="AA9" s="40">
        <v>55</v>
      </c>
      <c r="AB9" s="22" t="inlineStr">
        <is>
          <t>Keep. Lakeside, Claycroft, Co-op and Riley Court all £49–55. Scarman and IBRB are tiny jobs.</t>
        </is>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28"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c r="Q13" s="22" t="s">
        <v>1786</v>
      </c>
      <c r="R13" s="22" t="n">
        <v>36.3</v>
      </c>
      <c r="Z13" s="40">
        <f>AVERAGE(R13:Y13)</f>
        <v>36.3</v>
      </c>
      <c r="AA13" s="40">
        <v>100</v>
      </c>
      <c r="AB13" s="22" t="inlineStr">
        <is>
          <t>Keep. One water-main job (£36); diversions are too site-specific to move the rate.</t>
        </is>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28" ht="218.75" x14ac:dyDescent="0.2">
      <c r="A25" s="21" t="s">
        <v>1669</v>
      </c>
      <c r="B25" s="22" t="s">
        <v>185</v>
      </c>
      <c r="C25" s="22" t="s">
        <v>1670</v>
      </c>
      <c r="D25" s="23" t="s">
        <v>65</v>
      </c>
      <c r="E25" s="22" t="s">
        <v>1130</v>
      </c>
      <c r="F25" s="22" t="s">
        <v>1131</v>
      </c>
      <c r="G25" s="23" t="s">
        <v>705</v>
      </c>
      <c r="H25" s="39">
        <v>155</v>
      </c>
      <c r="I25" s="40">
        <v>190</v>
      </c>
      <c r="J25" s="39">
        <v>345</v>
      </c>
      <c r="K25" s="40">
        <v>380</v>
      </c>
      <c r="L25" s="39">
        <v>518</v>
      </c>
      <c r="M25" s="22" t="inlineStr">
        <is>
          <t>Your figure</t>
        </is>
      </c>
      <c r="N25" s="22" t="s">
        <v>1132</v>
      </c>
      <c r="O25" s="24" t="s">
        <v>182</v>
      </c>
      <c r="Q25" s="22" t="s">
        <v>1755</v>
      </c>
      <c r="S25" s="22">
        <v>516.9</v>
      </c>
      <c r="U25" s="22">
        <v>182</v>
      </c>
      <c r="Z25" s="40">
        <f>AVERAGE(R25:Y25)</f>
        <v>349.45</v>
      </c>
      <c r="AA25" s="40">
        <v>190</v>
      </c>
      <c r="AB25" s="22" t="inlineStr">
        <is>
          <t>Raise. Computer Science £182 per m² footprint. Claycroft metal over-roof £517 is a High case.</t>
        </is>
      </c>
    </row>
    <row r="26" spans="1:28"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c r="T26" s="22">
        <v>32</v>
      </c>
      <c r="Z26" s="40">
        <f>AVERAGE(R26:Y26)</f>
        <v>32.0</v>
      </c>
      <c r="AA26" s="40">
        <v>32</v>
      </c>
      <c r="AB26" s="22" t="inlineStr">
        <is>
          <t>Keep. Lakeside tender.</t>
        </is>
      </c>
    </row>
    <row r="27" spans="1:28" ht="63.75" x14ac:dyDescent="0.2">
      <c r="A27" s="21" t="s">
        <v>197</v>
      </c>
      <c r="B27" s="22" t="s">
        <v>190</v>
      </c>
      <c r="C27" s="22"/>
      <c r="D27" s="23" t="s">
        <v>65</v>
      </c>
      <c r="E27" s="22" t="s">
        <v>1133</v>
      </c>
      <c r="F27" s="22" t="s">
        <v>1134</v>
      </c>
      <c r="G27" s="23" t="s">
        <v>1075</v>
      </c>
      <c r="H27" s="39">
        <v>50</v>
      </c>
      <c r="I27" s="40">
        <v>100</v>
      </c>
      <c r="J27" s="39">
        <v>183</v>
      </c>
      <c r="K27" s="40">
        <v>367</v>
      </c>
      <c r="L27" s="39">
        <v>567</v>
      </c>
      <c r="M27" s="22" t="inlineStr">
        <is>
          <t>Your figure</t>
        </is>
      </c>
      <c r="N27" s="22" t="s">
        <v>1135</v>
      </c>
      <c r="O27" s="24" t="s">
        <v>188</v>
      </c>
      <c r="Q27" s="22" t="s">
        <v>1730</v>
      </c>
      <c r="U27" s="22">
        <v>48</v>
      </c>
      <c r="Y27" s="22">
        <v>170.5</v>
      </c>
      <c r="Z27" s="40">
        <f>AVERAGE(R27:Y27)</f>
        <v>109.25</v>
      </c>
      <c r="AA27" s="40">
        <v>100</v>
      </c>
      <c r="AB27" s="22" t="inlineStr">
        <is>
          <t>Raise. CS part render £48; Riley Court full envelope upgrade £171 (cladding, insulated linings).</t>
        </is>
      </c>
    </row>
    <row r="28" spans="1:28" ht="165.75" x14ac:dyDescent="0.2">
      <c r="A28" s="21" t="s">
        <v>203</v>
      </c>
      <c r="B28" s="22" t="s">
        <v>195</v>
      </c>
      <c r="C28" s="22"/>
      <c r="D28" s="23" t="s">
        <v>65</v>
      </c>
      <c r="E28" s="22" t="s">
        <v>1136</v>
      </c>
      <c r="F28" s="22" t="s">
        <v>1137</v>
      </c>
      <c r="G28" s="23" t="s">
        <v>1075</v>
      </c>
      <c r="H28" s="39">
        <v>105</v>
      </c>
      <c r="I28" s="40">
        <v>140</v>
      </c>
      <c r="J28" s="39">
        <v>210</v>
      </c>
      <c r="K28" s="40">
        <v>210</v>
      </c>
      <c r="L28" s="39">
        <v>303</v>
      </c>
      <c r="M28" s="22" t="inlineStr">
        <is>
          <t>Your figure</t>
        </is>
      </c>
      <c r="N28" s="22" t="s">
        <v>1138</v>
      </c>
      <c r="O28" s="24" t="s">
        <v>193</v>
      </c>
      <c r="Q28" s="22" t="s">
        <v>1731</v>
      </c>
      <c r="U28" s="22">
        <v>210</v>
      </c>
      <c r="W28" s="22">
        <v>24.4</v>
      </c>
      <c r="Y28" s="22">
        <v>146.7</v>
      </c>
      <c r="Z28" s="40">
        <f>AVERAGE(R28:Y28)</f>
        <v>127.033333</v>
      </c>
      <c r="AA28" s="40">
        <v>140</v>
      </c>
      <c r="AB28" s="22" t="inlineStr">
        <is>
          <t>Raise. Riley Court new windows £147; CS triple glazing £210 (High). Co-op was refinish only.</t>
        </is>
      </c>
    </row>
    <row r="29" spans="1:28" ht="25.5" x14ac:dyDescent="0.2">
      <c r="A29" s="21" t="s">
        <v>208</v>
      </c>
      <c r="B29" s="22" t="s">
        <v>201</v>
      </c>
      <c r="C29" s="22"/>
      <c r="D29" s="23" t="s">
        <v>65</v>
      </c>
      <c r="E29" s="22" t="s">
        <v>1139</v>
      </c>
      <c r="F29" s="22" t="s">
        <v>1140</v>
      </c>
      <c r="G29" s="23" t="s">
        <v>1075</v>
      </c>
      <c r="H29" s="39">
        <v>68</v>
      </c>
      <c r="I29" s="40">
        <v>150</v>
      </c>
      <c r="J29" s="39">
        <v>218</v>
      </c>
      <c r="K29" s="40">
        <v>150</v>
      </c>
      <c r="L29" s="39">
        <v>218</v>
      </c>
      <c r="M29" s="22" t="inlineStr">
        <is>
          <t>Your figure</t>
        </is>
      </c>
      <c r="N29" s="22" t="s">
        <v>1141</v>
      </c>
      <c r="O29" s="24" t="s">
        <v>198</v>
      </c>
      <c r="W29" s="22">
        <v>26.4</v>
      </c>
      <c r="Y29" s="22">
        <v>246.9</v>
      </c>
      <c r="Z29" s="40">
        <f>AVERAGE(R29:Y29)</f>
        <v>136.65</v>
      </c>
      <c r="AA29" s="40">
        <v>150</v>
      </c>
      <c r="AB29" s="22" t="inlineStr">
        <is>
          <t>Raise. Riley Court £247 (acoustic academic partitions); Co-op £26 was a light shop fit-out.</t>
        </is>
      </c>
    </row>
    <row r="30" spans="1:28" ht="25.5" x14ac:dyDescent="0.2">
      <c r="A30" s="21" t="s">
        <v>1142</v>
      </c>
      <c r="B30" s="22" t="s">
        <v>206</v>
      </c>
      <c r="C30" s="22"/>
      <c r="D30" s="23" t="s">
        <v>65</v>
      </c>
      <c r="E30" s="22" t="s">
        <v>1143</v>
      </c>
      <c r="F30" s="22" t="s">
        <v>1144</v>
      </c>
      <c r="G30" s="23" t="s">
        <v>1075</v>
      </c>
      <c r="H30" s="39">
        <v>50</v>
      </c>
      <c r="I30" s="40">
        <v>100</v>
      </c>
      <c r="J30" s="39">
        <v>200</v>
      </c>
      <c r="K30" s="40">
        <v>100</v>
      </c>
      <c r="L30" s="39">
        <v>200</v>
      </c>
      <c r="M30" s="22" t="inlineStr">
        <is>
          <t>Your figure</t>
        </is>
      </c>
      <c r="N30" s="22" t="s">
        <v>1145</v>
      </c>
      <c r="O30" s="24" t="s">
        <v>204</v>
      </c>
      <c r="V30" s="22">
        <v>99</v>
      </c>
      <c r="W30" s="22">
        <v>9.1</v>
      </c>
      <c r="Y30" s="22">
        <v>163.7</v>
      </c>
      <c r="Z30" s="40">
        <f>AVERAGE(R30:Y30)</f>
        <v>90.6</v>
      </c>
      <c r="AA30" s="40">
        <v>100</v>
      </c>
      <c r="AB30" s="22" t="inlineStr">
        <is>
          <t>Raise. Riley Court £164, Scarman £99; Co-op £9 reused most doors.</t>
        </is>
      </c>
    </row>
    <row r="31" spans="1:28" ht="155.0"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1756</v>
      </c>
      <c r="S31" s="22">
        <v>95.8</v>
      </c>
      <c r="T31" s="22">
        <v>13.5</v>
      </c>
      <c r="V31" s="22">
        <v>24</v>
      </c>
      <c r="W31" s="22">
        <v>3.4</v>
      </c>
      <c r="Y31" s="22">
        <v>15.6</v>
      </c>
      <c r="Z31" s="40">
        <f>AVERAGE(R31:Y31)</f>
        <v>30.46</v>
      </c>
      <c r="AA31" s="40">
        <v>30</v>
      </c>
      <c r="AB31" s="22" t="inlineStr">
        <is>
          <t>Keep. Most projects £3–24; Claycroft £96 out-turn (surveyed occupied residential) is a High case.</t>
        </is>
      </c>
    </row>
    <row r="32" spans="1:15" x14ac:dyDescent="0.2">
      <c r="A32" s="25" t="s">
        <v>1149</v>
      </c>
      <c r="B32" s="26"/>
      <c r="C32" s="26"/>
      <c r="D32" s="25"/>
      <c r="E32" s="26"/>
      <c r="F32" s="26"/>
      <c r="G32" s="25"/>
      <c r="H32" s="41"/>
      <c r="I32" s="42"/>
      <c r="J32" s="41"/>
      <c r="K32" s="42"/>
      <c r="L32" s="41"/>
      <c r="M32" s="26"/>
      <c r="N32" s="26"/>
      <c r="O32" s="27"/>
    </row>
    <row r="33" spans="1:28" ht="91.2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1757</v>
      </c>
      <c r="S33" s="22">
        <v>99.3</v>
      </c>
      <c r="T33" s="22">
        <v>72</v>
      </c>
      <c r="V33" s="22">
        <v>304</v>
      </c>
      <c r="W33" s="22">
        <v>26.6</v>
      </c>
      <c r="X33" s="22">
        <v>49</v>
      </c>
      <c r="Y33" s="22">
        <v>39.4</v>
      </c>
      <c r="Z33" s="40">
        <f>AVERAGE(R33:Y33)</f>
        <v>98.383333</v>
      </c>
      <c r="AA33" s="40">
        <v>75</v>
      </c>
      <c r="AB33" s="22" t="inlineStr">
        <is>
          <t>Keep. Lakeside £72, Claycroft £99, Riley Court £39 (decoration only). Scarman is toilet-area only.</t>
        </is>
      </c>
    </row>
    <row r="34" spans="1:28" ht="25.5" x14ac:dyDescent="0.2">
      <c r="A34" s="23" t="s">
        <v>1153</v>
      </c>
      <c r="B34" s="22" t="s">
        <v>225</v>
      </c>
      <c r="C34" s="22" t="s">
        <v>226</v>
      </c>
      <c r="D34" s="23" t="s">
        <v>65</v>
      </c>
      <c r="E34" s="22" t="s">
        <v>1154</v>
      </c>
      <c r="F34" s="22" t="s">
        <v>1155</v>
      </c>
      <c r="G34" s="23" t="s">
        <v>1075</v>
      </c>
      <c r="H34" s="39">
        <v>51</v>
      </c>
      <c r="I34" s="40">
        <v>85</v>
      </c>
      <c r="J34" s="39">
        <v>227</v>
      </c>
      <c r="K34" s="40">
        <v>85</v>
      </c>
      <c r="L34" s="39">
        <v>227</v>
      </c>
      <c r="M34" s="22" t="inlineStr">
        <is>
          <t>Your figure</t>
        </is>
      </c>
      <c r="N34" s="22" t="s">
        <v>1156</v>
      </c>
      <c r="O34" s="24" t="s">
        <v>223</v>
      </c>
      <c r="Q34" s="22" t="s">
        <v>1679</v>
      </c>
      <c r="V34" s="22">
        <v>177</v>
      </c>
      <c r="W34" s="22">
        <v>21.5</v>
      </c>
      <c r="Y34" s="22">
        <v>95.3</v>
      </c>
      <c r="Z34" s="40">
        <f>AVERAGE(R34:Y34)</f>
        <v>97.933333</v>
      </c>
      <c r="AA34" s="40">
        <v>85</v>
      </c>
      <c r="AB34" s="22" t="inlineStr">
        <is>
          <t>Raise slightly. Riley Court £95 full replacement; Co-op £22 kept its floor. Scarman is toilet-area only.</t>
        </is>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28" ht="65.7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1758</v>
      </c>
      <c r="S36" s="22">
        <v>38.4</v>
      </c>
      <c r="T36" s="22">
        <v>51</v>
      </c>
      <c r="Z36" s="40">
        <f>AVERAGE(R36:Y36)</f>
        <v>44.7</v>
      </c>
      <c r="AA36" s="40">
        <v>50</v>
      </c>
      <c r="AB36" s="22" t="inlineStr">
        <is>
          <t>Keep. Lakeside £51, Claycroft £38.</t>
        </is>
      </c>
    </row>
    <row r="37" spans="1:28" ht="25.5" x14ac:dyDescent="0.2">
      <c r="A37" s="21" t="s">
        <v>1671</v>
      </c>
      <c r="B37" s="22" t="s">
        <v>235</v>
      </c>
      <c r="C37" s="22"/>
      <c r="D37" s="23" t="s">
        <v>65</v>
      </c>
      <c r="E37" s="22" t="s">
        <v>1160</v>
      </c>
      <c r="F37" s="22" t="s">
        <v>1161</v>
      </c>
      <c r="G37" s="23" t="s">
        <v>1075</v>
      </c>
      <c r="H37" s="39">
        <v>48</v>
      </c>
      <c r="I37" s="40">
        <v>80</v>
      </c>
      <c r="J37" s="39">
        <v>224</v>
      </c>
      <c r="K37" s="40">
        <v>112</v>
      </c>
      <c r="L37" s="39">
        <v>224</v>
      </c>
      <c r="M37" s="22" t="inlineStr">
        <is>
          <t>Your figure</t>
        </is>
      </c>
      <c r="N37" s="22" t="s">
        <v>1162</v>
      </c>
      <c r="O37" s="24" t="s">
        <v>233</v>
      </c>
      <c r="Q37" s="22" t="s">
        <v>1680</v>
      </c>
      <c r="V37" s="22">
        <v>129</v>
      </c>
      <c r="W37" s="22">
        <v>21.0</v>
      </c>
      <c r="Y37" s="22">
        <v>109.6</v>
      </c>
      <c r="Z37" s="40">
        <f>AVERAGE(R37:Y37)</f>
        <v>86.533333</v>
      </c>
      <c r="AA37" s="40">
        <v>80</v>
      </c>
      <c r="AB37" s="22" t="inlineStr">
        <is>
          <t>Raise. Riley Court £110 new suspended ceilings; Co-op £21 painted soffits only.</t>
        </is>
      </c>
    </row>
    <row r="38" spans="1:28" ht="104.0"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1759</v>
      </c>
      <c r="S38" s="22">
        <v>70.4</v>
      </c>
      <c r="T38" s="22">
        <v>30</v>
      </c>
      <c r="Z38" s="40">
        <f>AVERAGE(R38:Y38)</f>
        <v>50.2</v>
      </c>
      <c r="AA38" s="40">
        <v>30</v>
      </c>
      <c r="AB38" s="22" t="inlineStr">
        <is>
          <t>Keep. Lakeside £30; Claycroft £70 was full replacement (High case).</t>
        </is>
      </c>
    </row>
    <row r="39" spans="1:16" x14ac:dyDescent="0.2">
      <c r="A39" s="25" t="s">
        <v>1163</v>
      </c>
      <c r="B39" s="26"/>
      <c r="C39" s="26"/>
      <c r="D39" s="25"/>
      <c r="E39" s="26"/>
      <c r="F39" s="26"/>
      <c r="G39" s="25"/>
      <c r="H39" s="41"/>
      <c r="I39" s="42"/>
      <c r="J39" s="41"/>
      <c r="K39" s="42"/>
      <c r="L39" s="41"/>
      <c r="M39" s="26"/>
      <c r="N39" s="26"/>
      <c r="O39" s="27"/>
    </row>
    <row r="40" spans="1:28"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c r="V40" s="22">
        <v>7653</v>
      </c>
      <c r="Y40" s="22">
        <v>14573</v>
      </c>
      <c r="Z40" s="40">
        <f>AVERAGE(R40:Y40)</f>
        <v>11113.0</v>
      </c>
      <c r="AA40" s="40">
        <v>7000</v>
      </c>
      <c r="AB40" s="22" t="inlineStr">
        <is>
          <t>Keep as is (owner, 4 Oct 2026).</t>
        </is>
      </c>
    </row>
    <row r="41" spans="1:28"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c r="Y41" s="22">
        <v>16025</v>
      </c>
      <c r="Z41" s="40">
        <f>AVERAGE(R41:Y41)</f>
        <v>16025.0</v>
      </c>
      <c r="AA41" s="40">
        <v>9000</v>
      </c>
      <c r="AB41" s="22" t="inlineStr">
        <is>
          <t>Keep as is (owner, 4 Oct 2026).</t>
        </is>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28" ht="104.0"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22" t="s">
        <v>1760</v>
      </c>
      <c r="S43" s="22">
        <v>3869</v>
      </c>
      <c r="T43" s="22">
        <v>2563</v>
      </c>
      <c r="Z43" s="40">
        <f>AVERAGE(R43:Y43)</f>
        <v>3216.0</v>
      </c>
      <c r="AA43" s="40">
        <v>2500</v>
      </c>
      <c r="AB43" s="22" t="inlineStr">
        <is>
          <t>Keep. Lakeside £2,563; Claycroft £3,869 sits between Std and High.</t>
        </is>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28"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c r="T46" s="22">
        <v>5296</v>
      </c>
      <c r="Z46" s="40">
        <f>AVERAGE(R46:Y46)</f>
        <v>5296.0</v>
      </c>
      <c r="AA46" s="40">
        <v>5300</v>
      </c>
      <c r="AB46" s="22" t="inlineStr">
        <is>
          <t>Keep. Lakeside tender £5,296.</t>
        </is>
      </c>
    </row>
    <row r="47" spans="1:28" ht="38.25" x14ac:dyDescent="0.2">
      <c r="A47" s="48" t="s">
        <v>1194</v>
      </c>
      <c r="B47" s="49" t="s">
        <v>273</v>
      </c>
      <c r="C47" s="49" t="s">
        <v>1624</v>
      </c>
      <c r="D47" s="48" t="s">
        <v>65</v>
      </c>
      <c r="E47" s="49" t="s">
        <v>1625</v>
      </c>
      <c r="F47" s="49" t="s">
        <v>1191</v>
      </c>
      <c r="G47" s="48" t="s">
        <v>1626</v>
      </c>
      <c r="H47" s="50">
        <v>3750</v>
      </c>
      <c r="I47" s="51">
        <v>6000</v>
      </c>
      <c r="J47" s="50">
        <v>10500</v>
      </c>
      <c r="K47" s="51">
        <v>6000</v>
      </c>
      <c r="L47" s="50">
        <v>10500</v>
      </c>
      <c r="M47" s="49" t="inlineStr">
        <is>
          <t>Your figure</t>
        </is>
      </c>
      <c r="N47" s="49" t="s">
        <v>1195</v>
      </c>
      <c r="O47" s="52" t="s">
        <v>279</v>
      </c>
      <c r="Y47" s="22">
        <v>10276</v>
      </c>
      <c r="Z47" s="40">
        <f>AVERAGE(R47:Y47)</f>
        <v>10276.0</v>
      </c>
      <c r="AA47" s="40">
        <v>6000</v>
      </c>
      <c r="AB47" s="22" t="inlineStr">
        <is>
          <t>Raise. Riley Court about £10,300 per tea point (8 assumed); your own review said £5,500.</t>
        </is>
      </c>
    </row>
    <row r="48" spans="1:28" ht="65.7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c r="Q48" s="22" t="s">
        <v>1761</v>
      </c>
      <c r="S48" s="22">
        <v>63.7</v>
      </c>
      <c r="W48" s="22">
        <v>7.0</v>
      </c>
      <c r="Y48" s="22">
        <v>41.8</v>
      </c>
      <c r="Z48" s="40">
        <f>AVERAGE(R48:Y48)</f>
        <v>37.5</v>
      </c>
      <c r="AA48" s="40">
        <v>45</v>
      </c>
      <c r="AB48" s="22" t="inlineStr">
        <is>
          <t>Keep. Riley Court £42, Claycroft £64, Co-op £7.</t>
        </is>
      </c>
    </row>
    <row r="49" spans="1:28" ht="25.5" x14ac:dyDescent="0.2">
      <c r="A49" s="21" t="s">
        <v>1199</v>
      </c>
      <c r="B49" s="22" t="s">
        <v>289</v>
      </c>
      <c r="C49" s="22"/>
      <c r="D49" s="23" t="s">
        <v>65</v>
      </c>
      <c r="E49" s="22" t="s">
        <v>1200</v>
      </c>
      <c r="F49" s="22" t="s">
        <v>1201</v>
      </c>
      <c r="G49" s="23" t="s">
        <v>1075</v>
      </c>
      <c r="H49" s="39">
        <v>6</v>
      </c>
      <c r="I49" s="40">
        <v>12</v>
      </c>
      <c r="J49" s="39">
        <v>18</v>
      </c>
      <c r="K49" s="40">
        <v>12</v>
      </c>
      <c r="L49" s="39">
        <v>18</v>
      </c>
      <c r="M49" s="22" t="inlineStr">
        <is>
          <t>Your figure</t>
        </is>
      </c>
      <c r="N49" s="22" t="s">
        <v>1202</v>
      </c>
      <c r="O49" s="24" t="s">
        <v>287</v>
      </c>
      <c r="W49" s="22">
        <v>16.4</v>
      </c>
      <c r="Y49" s="22">
        <v>12.2</v>
      </c>
      <c r="Z49" s="40">
        <f>AVERAGE(R49:Y49)</f>
        <v>14.3</v>
      </c>
      <c r="AA49" s="40">
        <v>12</v>
      </c>
      <c r="AB49" s="22" t="inlineStr">
        <is>
          <t>Raise slightly. Riley Court £12, Co-op £16 (incl. graphics).</t>
        </is>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28" ht="38.25" x14ac:dyDescent="0.2">
      <c r="A55" s="21" t="s">
        <v>1216</v>
      </c>
      <c r="B55" s="22" t="s">
        <v>315</v>
      </c>
      <c r="C55" s="22"/>
      <c r="D55" s="23" t="s">
        <v>65</v>
      </c>
      <c r="E55" s="22" t="s">
        <v>1217</v>
      </c>
      <c r="F55" s="22" t="s">
        <v>1218</v>
      </c>
      <c r="G55" s="23" t="s">
        <v>1219</v>
      </c>
      <c r="H55" s="39">
        <v>541</v>
      </c>
      <c r="I55" s="40">
        <v>1000</v>
      </c>
      <c r="J55" s="39">
        <v>2100</v>
      </c>
      <c r="K55" s="40">
        <v>1000</v>
      </c>
      <c r="L55" s="39">
        <v>2100</v>
      </c>
      <c r="M55" s="22" t="inlineStr">
        <is>
          <t>Your figure</t>
        </is>
      </c>
      <c r="N55" s="22"/>
      <c r="O55" s="24" t="s">
        <v>312</v>
      </c>
      <c r="X55" s="22">
        <v>1438</v>
      </c>
      <c r="Z55" s="40">
        <f>AVERAGE(R55:Y55)</f>
        <v>1438.0</v>
      </c>
      <c r="AA55" s="40">
        <v>1000</v>
      </c>
      <c r="AB55" s="22" t="inlineStr">
        <is>
          <t>Raise. IBRB café servery £1,438 (bespoke stainless) = High; your own review said Std £1,000.</t>
        </is>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28" ht="140.25" x14ac:dyDescent="0.2">
      <c r="A64" s="55" t="s">
        <v>1027</v>
      </c>
      <c r="B64" s="56" t="s">
        <v>371</v>
      </c>
      <c r="C64" s="56" t="s">
        <v>1245</v>
      </c>
      <c r="D64" s="55" t="s">
        <v>65</v>
      </c>
      <c r="E64" s="56" t="s">
        <v>1246</v>
      </c>
      <c r="F64" s="56" t="s">
        <v>1243</v>
      </c>
      <c r="G64" s="55" t="s">
        <v>1075</v>
      </c>
      <c r="H64" s="57">
        <v>95</v>
      </c>
      <c r="I64" s="58">
        <v>190</v>
      </c>
      <c r="J64" s="57">
        <v>427</v>
      </c>
      <c r="K64" s="58">
        <v>190</v>
      </c>
      <c r="L64" s="57">
        <v>332</v>
      </c>
      <c r="M64" s="56" t="inlineStr">
        <is>
          <t>Your figure</t>
        </is>
      </c>
      <c r="N64" s="56"/>
      <c r="O64" s="59" t="s">
        <v>376</v>
      </c>
      <c r="Q64" s="22" t="s">
        <v>1732</v>
      </c>
      <c r="U64" s="22">
        <v>224</v>
      </c>
      <c r="Z64" s="40">
        <f>AVERAGE(R64:Y64)</f>
        <v>224.0</v>
      </c>
      <c r="AA64" s="40">
        <v>190</v>
      </c>
      <c r="AB64" s="22" t="inlineStr">
        <is>
          <t>Raise. CS whole heat pump M&amp;E package £224; enter as a figure, not = 5.1a × factor.</t>
        </is>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28" ht="25.5" x14ac:dyDescent="0.2">
      <c r="A66" s="55" t="s">
        <v>1252</v>
      </c>
      <c r="B66" s="56" t="s">
        <v>371</v>
      </c>
      <c r="C66" s="56" t="s">
        <v>1253</v>
      </c>
      <c r="D66" s="55" t="s">
        <v>65</v>
      </c>
      <c r="E66" s="56" t="s">
        <v>1254</v>
      </c>
      <c r="F66" s="56" t="s">
        <v>1243</v>
      </c>
      <c r="G66" s="55" t="s">
        <v>1075</v>
      </c>
      <c r="H66" s="57">
        <v>60</v>
      </c>
      <c r="I66" s="58">
        <v>120</v>
      </c>
      <c r="J66" s="57">
        <v>270</v>
      </c>
      <c r="K66" s="58">
        <v>120</v>
      </c>
      <c r="L66" s="57">
        <v>210</v>
      </c>
      <c r="M66" s="56" t="inlineStr">
        <is>
          <t>Your figure</t>
        </is>
      </c>
      <c r="N66" s="56"/>
      <c r="O66" s="59" t="s">
        <v>383</v>
      </c>
      <c r="Y66" s="22">
        <v>134.7</v>
      </c>
      <c r="Z66" s="40">
        <f>AVERAGE(R66:Y66)</f>
        <v>134.7</v>
      </c>
      <c r="AA66" s="40">
        <v>120</v>
      </c>
      <c r="AB66" s="22" t="inlineStr">
        <is>
          <t>Raise. Riley Court £135 incl. new LTHW pipework, radiators and pumps off district heating.</t>
        </is>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42.75</v>
      </c>
      <c r="I70" s="58">
        <f>I64*0.45</f>
        <v>85.5</v>
      </c>
      <c r="J70" s="57">
        <f>J64*0.45</f>
        <v>192.15</v>
      </c>
      <c r="K70" s="58">
        <f>K64*0.45</f>
        <v>85.5</v>
      </c>
      <c r="L70" s="57">
        <f>L64*0.45</f>
        <v>149.4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28.5</v>
      </c>
      <c r="I71" s="58">
        <f>I64*0.3</f>
        <v>57</v>
      </c>
      <c r="J71" s="57">
        <f>J64*0.3</f>
        <v>128.1</v>
      </c>
      <c r="K71" s="58">
        <f>K64*0.3</f>
        <v>57</v>
      </c>
      <c r="L71" s="57">
        <f>L64*0.3</f>
        <v>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18.0</v>
      </c>
      <c r="I74" s="58">
        <f t="shared" si="0"/>
        <v>36.0</v>
      </c>
      <c r="J74" s="57">
        <f t="shared" si="0"/>
        <v>81.0</v>
      </c>
      <c r="K74" s="58">
        <f t="shared" si="0"/>
        <v>36.0</v>
      </c>
      <c r="L74" s="57">
        <f t="shared" si="0"/>
        <v>63.0</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18</v>
      </c>
      <c r="I75" s="58">
        <f>I66*0.3</f>
        <v>36</v>
      </c>
      <c r="J75" s="57">
        <f>J66*0.3</f>
        <v>81</v>
      </c>
      <c r="K75" s="58">
        <f>K66*0.3</f>
        <v>36</v>
      </c>
      <c r="L75" s="57">
        <f>L66*0.3</f>
        <v>63</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28" ht="91.25" x14ac:dyDescent="0.2">
      <c r="A78" s="23" t="s">
        <v>1299</v>
      </c>
      <c r="B78" s="22" t="s">
        <v>417</v>
      </c>
      <c r="C78" s="22" t="s">
        <v>1300</v>
      </c>
      <c r="D78" s="23" t="s">
        <v>65</v>
      </c>
      <c r="E78" s="22" t="s">
        <v>1301</v>
      </c>
      <c r="F78" s="22" t="s">
        <v>1302</v>
      </c>
      <c r="G78" s="23" t="s">
        <v>1075</v>
      </c>
      <c r="H78" s="39">
        <v>37</v>
      </c>
      <c r="I78" s="40">
        <v>80</v>
      </c>
      <c r="J78" s="39">
        <v>222</v>
      </c>
      <c r="K78" s="40">
        <v>37</v>
      </c>
      <c r="L78" s="39">
        <v>111</v>
      </c>
      <c r="M78" s="22" t="inlineStr">
        <is>
          <t>Your figure</t>
        </is>
      </c>
      <c r="N78" s="22" t="s">
        <v>1303</v>
      </c>
      <c r="O78" s="24" t="s">
        <v>415</v>
      </c>
      <c r="Q78" s="22" t="s">
        <v>1762</v>
      </c>
      <c r="S78" s="22">
        <v>38.9</v>
      </c>
      <c r="V78" s="22">
        <v>209</v>
      </c>
      <c r="W78" s="22">
        <v>18.2</v>
      </c>
      <c r="X78" s="22">
        <v>124</v>
      </c>
      <c r="Y78" s="22">
        <v>104.5</v>
      </c>
      <c r="Z78" s="40">
        <f>AVERAGE(R78:Y78)</f>
        <v>98.92</v>
      </c>
      <c r="AA78" s="40">
        <v>80</v>
      </c>
      <c r="AB78" s="22" t="inlineStr">
        <is>
          <t>Raise. Riley Court £105, IBRB £124 (small café); Claycroft £39 and Co-op £18 were partial.</t>
        </is>
      </c>
    </row>
    <row r="79" spans="1:28" ht="25.5" x14ac:dyDescent="0.2">
      <c r="A79" s="23" t="s">
        <v>1304</v>
      </c>
      <c r="B79" s="22" t="s">
        <v>417</v>
      </c>
      <c r="C79" s="22" t="s">
        <v>1305</v>
      </c>
      <c r="D79" s="23" t="s">
        <v>65</v>
      </c>
      <c r="E79" s="22" t="s">
        <v>1306</v>
      </c>
      <c r="F79" s="22" t="s">
        <v>1302</v>
      </c>
      <c r="G79" s="23" t="s">
        <v>1075</v>
      </c>
      <c r="H79" s="39">
        <v>9</v>
      </c>
      <c r="I79" s="40">
        <v>19.5</v>
      </c>
      <c r="J79" s="39">
        <v>54</v>
      </c>
      <c r="K79" s="40">
        <v>9</v>
      </c>
      <c r="L79" s="39">
        <v>27</v>
      </c>
      <c r="M79" s="22" t="inlineStr">
        <is>
          <t>Tender – Lakeside S&amp;F (Sep 2026)</t>
        </is>
      </c>
      <c r="N79" s="22"/>
      <c r="O79" s="24" t="s">
        <v>421</v>
      </c>
      <c r="Q79" s="22" t="s">
        <v>1681</v>
      </c>
      <c r="T79" s="22">
        <v>20</v>
      </c>
      <c r="Z79" s="40">
        <f>AVERAGE(R79:Y79)</f>
        <v>20.0</v>
      </c>
      <c r="AA79" s="40">
        <v>19.5</v>
      </c>
      <c r="AB79" s="22" t="inlineStr">
        <is>
          <t>Keep. Lakeside £20.</t>
        </is>
      </c>
    </row>
    <row r="80" spans="1:28" ht="78.5" x14ac:dyDescent="0.2">
      <c r="A80" s="21" t="s">
        <v>1672</v>
      </c>
      <c r="B80" s="22" t="s">
        <v>426</v>
      </c>
      <c r="C80" s="22" t="s">
        <v>1673</v>
      </c>
      <c r="D80" s="23" t="s">
        <v>65</v>
      </c>
      <c r="E80" s="22" t="s">
        <v>1308</v>
      </c>
      <c r="F80" s="22" t="s">
        <v>1309</v>
      </c>
      <c r="G80" s="23" t="s">
        <v>1075</v>
      </c>
      <c r="H80" s="39">
        <v>33</v>
      </c>
      <c r="I80" s="40">
        <v>75</v>
      </c>
      <c r="J80" s="39">
        <v>150</v>
      </c>
      <c r="K80" s="40">
        <v>67</v>
      </c>
      <c r="L80" s="39">
        <v>117</v>
      </c>
      <c r="M80" s="22" t="inlineStr">
        <is>
          <t>Your figure</t>
        </is>
      </c>
      <c r="N80" s="22" t="s">
        <v>1310</v>
      </c>
      <c r="O80" s="24" t="s">
        <v>424</v>
      </c>
      <c r="Q80" s="22" t="s">
        <v>1763</v>
      </c>
      <c r="W80" s="22">
        <v>73.1</v>
      </c>
      <c r="Y80" s="22">
        <v>172.4</v>
      </c>
      <c r="Z80" s="40">
        <f>AVERAGE(R80:Y80)</f>
        <v>122.75</v>
      </c>
      <c r="AA80" s="40">
        <v>75</v>
      </c>
      <c r="AB80" s="22" t="inlineStr">
        <is>
          <t>Raise. Riley Court MVHR £172, Co-op £73, Claycroft out-turn £92.</t>
        </is>
      </c>
    </row>
    <row r="81" spans="1:28" ht="91.25" x14ac:dyDescent="0.2">
      <c r="A81" s="21" t="s">
        <v>1644</v>
      </c>
      <c r="B81" s="22" t="s">
        <v>426</v>
      </c>
      <c r="C81" s="22" t="s">
        <v>1645</v>
      </c>
      <c r="D81" s="23" t="s">
        <v>65</v>
      </c>
      <c r="E81" s="22" t="s">
        <v>1646</v>
      </c>
      <c r="F81" s="22" t="s">
        <v>1647</v>
      </c>
      <c r="G81" s="23" t="s">
        <v>1075</v>
      </c>
      <c r="H81" s="39">
        <v>9</v>
      </c>
      <c r="I81" s="40">
        <v>22</v>
      </c>
      <c r="J81" s="39">
        <v>44</v>
      </c>
      <c r="K81" s="40">
        <v>0</v>
      </c>
      <c r="L81" s="39"/>
      <c r="M81" s="22" t="inlineStr">
        <is>
          <t>Your figure</t>
        </is>
      </c>
      <c r="N81" s="22"/>
      <c r="O81" s="24" t="s">
        <v>1648</v>
      </c>
      <c r="P81"/>
      <c r="Q81" s="22" t="s">
        <v>1764</v>
      </c>
      <c r="S81" s="22">
        <v>28.2</v>
      </c>
      <c r="T81" s="22">
        <v>18.5</v>
      </c>
      <c r="V81" s="22">
        <v>62</v>
      </c>
      <c r="Z81" s="40">
        <f>AVERAGE(R81:Y81)</f>
        <v>36.233333</v>
      </c>
      <c r="AA81" s="40">
        <v>22</v>
      </c>
      <c r="AB81" s="22" t="inlineStr">
        <is>
          <t>Raise slightly. Lakeside £18.5, Claycroft £28; Scarman £62 is toilet-area only.</t>
        </is>
      </c>
    </row>
    <row r="82" spans="1:28"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c r="W82" s="22">
        <v>39.5</v>
      </c>
      <c r="Y82" s="22">
        <v>34.1</v>
      </c>
      <c r="Z82" s="40">
        <f>AVERAGE(R82:Y82)</f>
        <v>36.8</v>
      </c>
      <c r="AA82" s="40">
        <v>75</v>
      </c>
      <c r="AB82" s="22" t="inlineStr">
        <is>
          <t>Keep. Riley Court £34 and Co-op £40 cooled only some rooms; no whole-building evidence.</t>
        </is>
      </c>
    </row>
    <row r="83" spans="1:28" ht="40.25" x14ac:dyDescent="0.2">
      <c r="A83" s="21" t="s">
        <v>373</v>
      </c>
      <c r="B83" s="22" t="s">
        <v>435</v>
      </c>
      <c r="C83" s="22"/>
      <c r="D83" s="23" t="s">
        <v>65</v>
      </c>
      <c r="E83" s="22" t="s">
        <v>1314</v>
      </c>
      <c r="F83" s="22" t="s">
        <v>1315</v>
      </c>
      <c r="G83" s="23" t="s">
        <v>1075</v>
      </c>
      <c r="H83" s="39">
        <v>13</v>
      </c>
      <c r="I83" s="40">
        <v>25</v>
      </c>
      <c r="J83" s="39">
        <v>37</v>
      </c>
      <c r="K83" s="40">
        <v>25</v>
      </c>
      <c r="L83" s="39">
        <v>37</v>
      </c>
      <c r="M83" s="22" t="inlineStr">
        <is>
          <t>Your figure</t>
        </is>
      </c>
      <c r="N83" s="22" t="s">
        <v>1316</v>
      </c>
      <c r="O83" s="24" t="s">
        <v>433</v>
      </c>
      <c r="Q83" s="22" t="s">
        <v>1765</v>
      </c>
      <c r="S83" s="22">
        <v>4.3</v>
      </c>
      <c r="W83" s="22">
        <v>11.5</v>
      </c>
      <c r="Y83" s="22">
        <v>59.1</v>
      </c>
      <c r="Z83" s="40">
        <f>AVERAGE(R83:Y83)</f>
        <v>24.966667</v>
      </c>
      <c r="AA83" s="40">
        <v>25</v>
      </c>
      <c r="AB83" s="22" t="inlineStr">
        <is>
          <t>Raise. Riley Court £59 (full BMS budget); Co-op £11.5; Claycroft £4 interfaces only.</t>
        </is>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28"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c r="V87" s="22">
        <v>97</v>
      </c>
      <c r="W87" s="22">
        <v>88.5</v>
      </c>
      <c r="X87" s="22">
        <v>218</v>
      </c>
      <c r="Y87" s="22">
        <v>130.6</v>
      </c>
      <c r="Z87" s="40">
        <f>AVERAGE(R87:Y87)</f>
        <v>133.525</v>
      </c>
      <c r="AA87" s="40">
        <v>126</v>
      </c>
      <c r="AB87" s="22" t="inlineStr">
        <is>
          <t>Keep. Riley Court £131, Scarman £97, Co-op £89. IBRB £218 is one supply on a small room.</t>
        </is>
      </c>
    </row>
    <row r="88" spans="1:28" ht="116.7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1766</v>
      </c>
      <c r="S88" s="22">
        <v>157.7</v>
      </c>
      <c r="T88" s="22">
        <v>153</v>
      </c>
      <c r="Z88" s="40">
        <f>AVERAGE(R88:Y88)</f>
        <v>155.35</v>
      </c>
      <c r="AA88" s="40">
        <v>150</v>
      </c>
      <c r="AB88" s="22" t="inlineStr">
        <is>
          <t>Keep. Lakeside £153, Claycroft £158.</t>
        </is>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28" ht="65.75" x14ac:dyDescent="0.2">
      <c r="A90" s="23" t="s">
        <v>1338</v>
      </c>
      <c r="B90" s="22" t="s">
        <v>463</v>
      </c>
      <c r="C90" s="22" t="s">
        <v>1300</v>
      </c>
      <c r="D90" s="23" t="s">
        <v>65</v>
      </c>
      <c r="E90" s="22" t="s">
        <v>1339</v>
      </c>
      <c r="F90" s="22" t="s">
        <v>1340</v>
      </c>
      <c r="G90" s="23" t="s">
        <v>1075</v>
      </c>
      <c r="H90" s="39">
        <v>48</v>
      </c>
      <c r="I90" s="40">
        <v>80</v>
      </c>
      <c r="J90" s="39">
        <v>126</v>
      </c>
      <c r="K90" s="40">
        <v>80</v>
      </c>
      <c r="L90" s="39">
        <v>126</v>
      </c>
      <c r="M90" s="22" t="inlineStr">
        <is>
          <t>Your figure</t>
        </is>
      </c>
      <c r="N90" s="22" t="s">
        <v>1341</v>
      </c>
      <c r="O90" s="24" t="s">
        <v>461</v>
      </c>
      <c r="Q90" s="22" t="s">
        <v>1767</v>
      </c>
      <c r="S90" s="22">
        <v>113.2</v>
      </c>
      <c r="V90" s="22">
        <v>84</v>
      </c>
      <c r="W90" s="22">
        <v>80.6</v>
      </c>
      <c r="X90" s="22">
        <v>51</v>
      </c>
      <c r="Y90" s="22">
        <v>198.0</v>
      </c>
      <c r="Z90" s="40">
        <f>AVERAGE(R90:Y90)</f>
        <v>105.36</v>
      </c>
      <c r="AA90" s="40">
        <v>80</v>
      </c>
      <c r="AB90" s="22" t="inlineStr">
        <is>
          <t>Raise. Five projects £51–198 (median £84); £33 is far too low.</t>
        </is>
      </c>
    </row>
    <row r="91" spans="1:15" ht="25.5" x14ac:dyDescent="0.2">
      <c r="A91" s="23" t="s">
        <v>1342</v>
      </c>
      <c r="B91" s="22" t="s">
        <v>463</v>
      </c>
      <c r="C91" s="22" t="s">
        <v>1343</v>
      </c>
      <c r="D91" s="23" t="s">
        <v>65</v>
      </c>
      <c r="E91" s="22" t="s">
        <v>1344</v>
      </c>
      <c r="F91" s="22" t="s">
        <v>1340</v>
      </c>
      <c r="G91" s="23" t="s">
        <v>1075</v>
      </c>
      <c r="H91" s="39">
        <f>H90*0.75</f>
        <v>36</v>
      </c>
      <c r="I91" s="40">
        <f>I90*0.75</f>
        <v>60</v>
      </c>
      <c r="J91" s="39">
        <f>J90*0.75</f>
        <v>94.5</v>
      </c>
      <c r="K91" s="40">
        <f>K90*0.75</f>
        <v>60</v>
      </c>
      <c r="L91" s="39">
        <f>L90*0.75</f>
        <v>94.5</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28" ht="65.75" x14ac:dyDescent="0.2">
      <c r="A99" s="21" t="s">
        <v>507</v>
      </c>
      <c r="B99" s="22" t="s">
        <v>499</v>
      </c>
      <c r="C99" s="22"/>
      <c r="D99" s="23" t="s">
        <v>65</v>
      </c>
      <c r="E99" s="22" t="s">
        <v>1369</v>
      </c>
      <c r="F99" s="22" t="s">
        <v>1370</v>
      </c>
      <c r="G99" s="23" t="s">
        <v>1075</v>
      </c>
      <c r="H99" s="39">
        <v>19</v>
      </c>
      <c r="I99" s="40">
        <v>35</v>
      </c>
      <c r="J99" s="39">
        <v>58</v>
      </c>
      <c r="K99" s="40">
        <v>27</v>
      </c>
      <c r="L99" s="39">
        <v>49</v>
      </c>
      <c r="M99" s="22" t="inlineStr">
        <is>
          <t>Your figure</t>
        </is>
      </c>
      <c r="N99" s="22" t="s">
        <v>1371</v>
      </c>
      <c r="O99" s="24" t="s">
        <v>496</v>
      </c>
      <c r="Q99" s="22" t="s">
        <v>1768</v>
      </c>
      <c r="S99" s="22">
        <v>64.7</v>
      </c>
      <c r="T99" s="22">
        <v>18.6</v>
      </c>
      <c r="V99" s="22">
        <v>77</v>
      </c>
      <c r="W99" s="22">
        <v>28.4</v>
      </c>
      <c r="Y99" s="22">
        <v>43.5</v>
      </c>
      <c r="Z99" s="40">
        <f>AVERAGE(R99:Y99)</f>
        <v>46.44</v>
      </c>
      <c r="AA99" s="40">
        <v>35</v>
      </c>
      <c r="AB99" s="22" t="inlineStr">
        <is>
          <t>Raise. Riley Court £44, Claycroft £65, Scarman £77 for new systems; Lakeside £19 was partial.</t>
        </is>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28" ht="25.5" x14ac:dyDescent="0.2">
      <c r="A102" s="21" t="s">
        <v>1674</v>
      </c>
      <c r="B102" s="22" t="s">
        <v>520</v>
      </c>
      <c r="C102" s="22"/>
      <c r="D102" s="23" t="s">
        <v>65</v>
      </c>
      <c r="E102" s="22" t="s">
        <v>1377</v>
      </c>
      <c r="F102" s="22" t="s">
        <v>1378</v>
      </c>
      <c r="G102" s="23" t="s">
        <v>1075</v>
      </c>
      <c r="H102" s="39">
        <v>9</v>
      </c>
      <c r="I102" s="40">
        <v>20</v>
      </c>
      <c r="J102" s="39">
        <v>39</v>
      </c>
      <c r="K102" s="40">
        <v>17</v>
      </c>
      <c r="L102" s="39">
        <v>33</v>
      </c>
      <c r="M102" s="22" t="inlineStr">
        <is>
          <t>Your figure</t>
        </is>
      </c>
      <c r="N102" s="22" t="s">
        <v>1379</v>
      </c>
      <c r="O102" s="24" t="s">
        <v>517</v>
      </c>
      <c r="Q102" s="22" t="s">
        <v>1686</v>
      </c>
      <c r="T102" s="22">
        <v>19.4</v>
      </c>
      <c r="X102" s="22">
        <v>5.3</v>
      </c>
      <c r="Y102" s="22">
        <v>33.6</v>
      </c>
      <c r="Z102" s="40">
        <f>AVERAGE(R102:Y102)</f>
        <v>19.433333</v>
      </c>
      <c r="AA102" s="40">
        <v>20</v>
      </c>
      <c r="AB102" s="22" t="inlineStr">
        <is>
          <t>Raise slightly. Lakeside £19, Riley Court £34, IBRB £5.</t>
        </is>
      </c>
    </row>
    <row r="103" spans="1:28" ht="53.0"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1769</v>
      </c>
      <c r="S103" s="22">
        <v>19.3</v>
      </c>
      <c r="T103" s="22">
        <v>24.5</v>
      </c>
      <c r="Z103" s="40">
        <f>AVERAGE(R103:Y103)</f>
        <v>21.9</v>
      </c>
      <c r="AA103" s="40">
        <v>25</v>
      </c>
      <c r="AB103" s="22" t="inlineStr">
        <is>
          <t>Keep. Lakeside £24.5, Claycroft £19.</t>
        </is>
      </c>
    </row>
    <row r="104" spans="1:28" x14ac:dyDescent="0.2" ht="53.0" customHeight="1">
      <c r="A104" s="21" t="s">
        <v>563</v>
      </c>
      <c r="B104" s="22" t="s">
        <v>526</v>
      </c>
      <c r="C104" s="22"/>
      <c r="D104" s="23" t="s">
        <v>65</v>
      </c>
      <c r="E104" s="22" t="s">
        <v>1380</v>
      </c>
      <c r="F104" s="22" t="s">
        <v>1373</v>
      </c>
      <c r="G104" s="23" t="s">
        <v>1075</v>
      </c>
      <c r="H104" s="39">
        <v>7</v>
      </c>
      <c r="I104" s="40">
        <v>20</v>
      </c>
      <c r="J104" s="39">
        <v>40</v>
      </c>
      <c r="K104" s="40">
        <v>11</v>
      </c>
      <c r="L104" s="39">
        <v>27</v>
      </c>
      <c r="M104" s="22" t="inlineStr">
        <is>
          <t>Your figure</t>
        </is>
      </c>
      <c r="N104" s="22" t="s">
        <v>1316</v>
      </c>
      <c r="O104" s="24" t="s">
        <v>524</v>
      </c>
      <c r="Q104" s="22" t="s">
        <v>1770</v>
      </c>
      <c r="S104" s="22">
        <v>4.5</v>
      </c>
      <c r="W104" s="22">
        <v>57.8</v>
      </c>
      <c r="Y104" s="22">
        <v>22.0</v>
      </c>
      <c r="Z104" s="40">
        <f>AVERAGE(R104:Y104)</f>
        <v>28.1</v>
      </c>
      <c r="AA104" s="40">
        <v>20</v>
      </c>
      <c r="AB104" s="22" t="inlineStr">
        <is>
          <t>Raise. Riley Court £22, Co-op £58 (retail CCTV and alarm); Claycroft £4.5 minimal.</t>
        </is>
      </c>
    </row>
    <row r="105" spans="1:28" ht="53.0" x14ac:dyDescent="0.2">
      <c r="A105" s="23" t="s">
        <v>1381</v>
      </c>
      <c r="B105" s="22" t="s">
        <v>531</v>
      </c>
      <c r="C105" s="22" t="s">
        <v>1382</v>
      </c>
      <c r="D105" s="23" t="s">
        <v>65</v>
      </c>
      <c r="E105" s="22" t="s">
        <v>1383</v>
      </c>
      <c r="F105" s="22" t="s">
        <v>1384</v>
      </c>
      <c r="G105" s="23" t="s">
        <v>1385</v>
      </c>
      <c r="H105" s="39">
        <v>37500</v>
      </c>
      <c r="I105" s="40">
        <v>60000</v>
      </c>
      <c r="J105" s="39">
        <v>90000</v>
      </c>
      <c r="K105" s="40">
        <v>60000</v>
      </c>
      <c r="L105" s="39">
        <v>90000</v>
      </c>
      <c r="M105" s="22" t="inlineStr">
        <is>
          <t>Your figure</t>
        </is>
      </c>
      <c r="N105" s="22" t="s">
        <v>1386</v>
      </c>
      <c r="O105" s="24" t="s">
        <v>529</v>
      </c>
      <c r="Q105" s="22" t="s">
        <v>1771</v>
      </c>
      <c r="S105" s="22">
        <v>112847</v>
      </c>
      <c r="Z105" s="40">
        <f>AVERAGE(R105:Y105)</f>
        <v>112847.0</v>
      </c>
      <c r="AA105" s="40">
        <v>60000</v>
      </c>
      <c r="AB105" s="22" t="inlineStr">
        <is>
          <t>Raise. Claycroft £112,850 for a replacement passenger lift; £40,000 is a third of that.</t>
        </is>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28" ht="51" x14ac:dyDescent="0.2">
      <c r="A123" s="21" t="s">
        <v>1675</v>
      </c>
      <c r="B123" s="22" t="s">
        <v>739</v>
      </c>
      <c r="C123" s="22"/>
      <c r="D123" s="23" t="s">
        <v>65</v>
      </c>
      <c r="E123" s="22" t="s">
        <v>1432</v>
      </c>
      <c r="F123" s="22"/>
      <c r="G123" s="23" t="s">
        <v>1075</v>
      </c>
      <c r="H123" s="39">
        <v>5</v>
      </c>
      <c r="I123" s="40">
        <v>12</v>
      </c>
      <c r="J123" s="39">
        <v>20</v>
      </c>
      <c r="K123" s="40">
        <v>8</v>
      </c>
      <c r="L123" s="39">
        <v>16</v>
      </c>
      <c r="M123" s="22" t="inlineStr">
        <is>
          <t>Your figure</t>
        </is>
      </c>
      <c r="N123" s="22" t="s">
        <v>1433</v>
      </c>
      <c r="O123" s="24" t="s">
        <v>736</v>
      </c>
      <c r="Q123" s="22" t="s">
        <v>1733</v>
      </c>
      <c r="U123" s="22">
        <v>8</v>
      </c>
      <c r="W123" s="22">
        <v>3.1</v>
      </c>
      <c r="Z123" s="40">
        <f>AVERAGE(R123:Y123)</f>
        <v>5.55</v>
      </c>
      <c r="AA123" s="40">
        <v>12</v>
      </c>
      <c r="AB123" s="22" t="inlineStr">
        <is>
          <t>Lower. CS £8, Co-op £3; most builder's work sits inside the M&amp;E prices.</t>
        </is>
      </c>
    </row>
    <row r="124" spans="1:28" ht="78.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1772</v>
      </c>
      <c r="S124" s="22">
        <v>11.0</v>
      </c>
      <c r="T124" s="22">
        <v>27</v>
      </c>
      <c r="Z124" s="40">
        <f>AVERAGE(R124:Y124)</f>
        <v>19.0</v>
      </c>
      <c r="AA124" s="40">
        <v>27</v>
      </c>
      <c r="AB124" s="22" t="inlineStr">
        <is>
          <t>Keep. Lakeside £27 (rewire of occupied flats); Claycroft £11.</t>
        </is>
      </c>
    </row>
    <row r="125" spans="1:15" x14ac:dyDescent="0.2">
      <c r="A125" s="25" t="s">
        <v>1434</v>
      </c>
      <c r="B125" s="26"/>
      <c r="C125" s="26"/>
      <c r="D125" s="25"/>
      <c r="E125" s="26"/>
      <c r="F125" s="26"/>
      <c r="G125" s="25"/>
      <c r="H125" s="41"/>
      <c r="I125" s="42"/>
      <c r="J125" s="41"/>
      <c r="K125" s="42"/>
      <c r="L125" s="41"/>
      <c r="M125" s="26"/>
      <c r="N125" s="26"/>
      <c r="O125" s="27"/>
    </row>
    <row r="126" spans="1:28"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c r="U126" s="22">
        <v>48</v>
      </c>
      <c r="Z126" s="40">
        <f>AVERAGE(R126:Y126)</f>
        <v>48.0</v>
      </c>
      <c r="AA126" s="40">
        <v>45</v>
      </c>
      <c r="AB126" s="22" t="inlineStr">
        <is>
          <t>Keep. CS brick remedials £48.</t>
        </is>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9" ht="65.7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c r="Q128" s="22" t="s">
        <v>1773</v>
      </c>
    </row>
    <row r="129" spans="1:28"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c r="Y129" s="22">
        <v>53.7</v>
      </c>
      <c r="Z129" s="40">
        <f>AVERAGE(R129:Y129)</f>
        <v>53.7</v>
      </c>
      <c r="AA129" s="40">
        <v>60</v>
      </c>
      <c r="AB129" s="22" t="inlineStr">
        <is>
          <t>Keep. Riley Court £54.</t>
        </is>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28" ht="25.5" x14ac:dyDescent="0.2">
      <c r="A134" s="21" t="s">
        <v>691</v>
      </c>
      <c r="B134" s="22" t="s">
        <v>659</v>
      </c>
      <c r="C134" s="22"/>
      <c r="D134" s="23" t="s">
        <v>65</v>
      </c>
      <c r="E134" s="22" t="s">
        <v>1460</v>
      </c>
      <c r="F134" s="22" t="s">
        <v>1461</v>
      </c>
      <c r="G134" s="23" t="s">
        <v>1075</v>
      </c>
      <c r="H134" s="39">
        <v>5</v>
      </c>
      <c r="I134" s="40">
        <v>10</v>
      </c>
      <c r="J134" s="39">
        <v>20</v>
      </c>
      <c r="K134" s="40">
        <v>13</v>
      </c>
      <c r="L134" s="39">
        <v>25</v>
      </c>
      <c r="M134" s="22" t="inlineStr">
        <is>
          <t>Your figure</t>
        </is>
      </c>
      <c r="N134" s="22" t="s">
        <v>1462</v>
      </c>
      <c r="O134" s="24" t="s">
        <v>657</v>
      </c>
      <c r="Y134" s="22">
        <v>35.4</v>
      </c>
      <c r="Z134" s="40">
        <f>AVERAGE(R134:Y134)</f>
        <v>35.4</v>
      </c>
      <c r="AA134" s="40">
        <v>10</v>
      </c>
      <c r="AB134" s="22" t="inlineStr">
        <is>
          <t>Raise. Riley Court £35 for new internal below-ground drainage (one project).</t>
        </is>
      </c>
    </row>
    <row r="135" spans="1:28" ht="25.5" x14ac:dyDescent="0.2">
      <c r="A135" s="21" t="s">
        <v>656</v>
      </c>
      <c r="B135" s="22" t="s">
        <v>664</v>
      </c>
      <c r="C135" s="22"/>
      <c r="D135" s="23" t="s">
        <v>65</v>
      </c>
      <c r="E135" s="22" t="s">
        <v>1463</v>
      </c>
      <c r="F135" s="22" t="s">
        <v>1464</v>
      </c>
      <c r="G135" s="23" t="s">
        <v>1075</v>
      </c>
      <c r="H135" s="39">
        <v>20</v>
      </c>
      <c r="I135" s="40">
        <v>25</v>
      </c>
      <c r="J135" s="39">
        <v>50</v>
      </c>
      <c r="K135" s="40">
        <v>25</v>
      </c>
      <c r="L135" s="39">
        <v>50</v>
      </c>
      <c r="M135" s="22" t="inlineStr">
        <is>
          <t>Your figure</t>
        </is>
      </c>
      <c r="N135" s="22" t="s">
        <v>1465</v>
      </c>
      <c r="O135" s="24" t="s">
        <v>662</v>
      </c>
      <c r="Y135" s="22">
        <v>67.6</v>
      </c>
      <c r="Z135" s="40">
        <f>AVERAGE(R135:Y135)</f>
        <v>67.6</v>
      </c>
      <c r="AA135" s="40">
        <v>25</v>
      </c>
      <c r="AB135" s="22" t="inlineStr">
        <is>
          <t>Raise. Riley Court £68 for new district heating and water mains (one project; site-specific).</t>
        </is>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28"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c r="Q145" s="22" t="s">
        <v>1787</v>
      </c>
      <c r="R145" s="22" t="n">
        <v>2.1</v>
      </c>
      <c r="Z145" s="40">
        <f>AVERAGE(R145:Y145)</f>
        <v>2.1</v>
      </c>
      <c r="AA145" s="40">
        <v>30</v>
      </c>
      <c r="AB145" s="22" t="inlineStr">
        <is>
          <t>Keep. Whitefields £2 was topsoil and seed only, not planting.</t>
        </is>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8"/>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523</v>
      </c>
      <c r="C6" s="2" t="s">
        <v>750</v>
      </c>
    </row>
    <row r="7" spans="1:7" x14ac:dyDescent="0.25">
      <c r="A7" s="2" t="s">
        <v>751</v>
      </c>
      <c r="B7" s="30" t="s">
        <v>1802</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1804</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inlineStr">
        <is>
          <t>Base 7% — vacant, no restrictions, relaxed programme</t>
        </is>
      </c>
      <c r="E131" s="2">
        <v>7</v>
      </c>
      <c r="F131" s="2">
        <v>11</v>
      </c>
    </row>
    <row r="132" spans="1:7" x14ac:dyDescent="0.25">
      <c r="A132" s="2" t="s">
        <v>942</v>
      </c>
      <c r="B132" s="2" t="s">
        <v>943</v>
      </c>
      <c r="C132" s="2" t="s">
        <v>946</v>
      </c>
      <c r="D132" s="2" t="s">
        <v>947</v>
      </c>
      <c r="E132" s="2">
        <v>2</v>
      </c>
      <c r="F132" s="2">
        <v>11</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11</v>
      </c>
    </row>
    <row r="135" spans="1:7" x14ac:dyDescent="0.25">
      <c r="A135" s="2" t="s">
        <v>942</v>
      </c>
      <c r="B135" s="2" t="s">
        <v>943</v>
      </c>
      <c r="C135" s="2" t="s">
        <v>946</v>
      </c>
      <c r="D135" s="2" t="s">
        <v>950</v>
      </c>
      <c r="E135" s="2">
        <v>0.5</v>
      </c>
      <c r="F135" s="2">
        <v>11</v>
      </c>
    </row>
    <row r="136" spans="1:7" x14ac:dyDescent="0.25">
      <c r="A136" s="2" t="s">
        <v>942</v>
      </c>
      <c r="B136" s="2" t="s">
        <v>943</v>
      </c>
      <c r="C136" s="2" t="s">
        <v>946</v>
      </c>
      <c r="D136" s="2" t="s">
        <v>951</v>
      </c>
      <c r="E136" s="2">
        <v>0.5</v>
      </c>
      <c r="F136" s="2">
        <v>11</v>
      </c>
    </row>
    <row r="137" spans="1:7" x14ac:dyDescent="0.25">
      <c r="A137" s="2" t="s">
        <v>942</v>
      </c>
      <c r="B137" s="2" t="s">
        <v>943</v>
      </c>
      <c r="C137" s="2" t="s">
        <v>946</v>
      </c>
      <c r="D137" s="2" t="inlineStr">
        <is>
          <t>Q2.3 has ≥4 M&amp;E items (complex services)</t>
        </is>
      </c>
      <c r="E137" s="2">
        <v>0.5</v>
      </c>
      <c r="F137" s="2">
        <v>11</v>
      </c>
    </row>
    <row r="138" spans="1:7" x14ac:dyDescent="0.25">
      <c r="A138" s="2" t="s">
        <v>942</v>
      </c>
      <c r="B138" s="2" t="s">
        <v>943</v>
      </c>
      <c r="C138" s="2" t="s">
        <v>946</v>
      </c>
      <c r="D138" s="2" t="inlineStr">
        <is>
          <t>Q1.4 = Pre-1900 OR Q3.4 includes Listed Building Consent (heritage complexity)</t>
        </is>
      </c>
      <c r="E138" s="2">
        <v>0.5</v>
      </c>
      <c r="F138" s="2">
        <v>11</v>
      </c>
    </row>
    <row r="139" spans="1:7" x14ac:dyDescent="0.25">
      <c r="A139" s="2" t="s">
        <v>942</v>
      </c>
      <c r="B139" s="2" t="s">
        <v>943</v>
      </c>
      <c r="C139" s="2" t="s">
        <v>946</v>
      </c>
      <c r="D139" s="2" t="inlineStr">
        <is>
          <t>Q4.1 = Hard deadline (condensed programme)</t>
        </is>
      </c>
      <c r="E139" s="2">
        <v>1.5</v>
      </c>
      <c r="F139" s="2">
        <v>11</v>
      </c>
    </row>
    <row r="140" spans="1:7" x14ac:dyDescent="0.25">
      <c r="A140" s="2" t="s">
        <v>942</v>
      </c>
      <c r="B140" s="2" t="s">
        <v>943</v>
      </c>
      <c r="C140" s="2" t="s">
        <v>946</v>
      </c>
      <c r="D140" s="2" t="inlineStr">
        <is>
          <t>Q4.4 top priority = Speed (condensed programme)</t>
        </is>
      </c>
      <c r="E140" s="2">
        <v>1</v>
      </c>
      <c r="F140" s="2">
        <v>11</v>
      </c>
    </row>
    <row r="141" spans="1:7" x14ac:dyDescent="0.25">
      <c r="A141" s="2" t="s">
        <v>942</v>
      </c>
      <c r="B141" s="2" t="s">
        <v>943</v>
      </c>
      <c r="C141" s="2" t="s">
        <v>946</v>
      </c>
      <c r="D141" s="2" t="inlineStr">
        <is>
          <t>Region = Outer London</t>
        </is>
      </c>
      <c r="E141" s="2">
        <v>2</v>
      </c>
      <c r="F141" s="2">
        <v>14</v>
      </c>
    </row>
    <row r="142" spans="1:7" x14ac:dyDescent="0.25">
      <c r="A142" s="2" t="s">
        <v>942</v>
      </c>
      <c r="B142" s="2" t="s">
        <v>943</v>
      </c>
      <c r="C142" s="2" t="s">
        <v>946</v>
      </c>
      <c r="D142" s="2" t="inlineStr">
        <is>
          <t>Region = Inner London</t>
        </is>
      </c>
      <c r="E142" s="2">
        <v>3</v>
      </c>
      <c r="F142" s="2">
        <v>14</v>
      </c>
    </row>
    <row r="143" spans="1:7" x14ac:dyDescent="0.25">
      <c r="A143" s="2" t="s">
        <v>952</v>
      </c>
      <c r="B143" s="2" t="s">
        <v>953</v>
      </c>
      <c r="C143" s="2" t="s">
        <v>954</v>
      </c>
      <c r="D143" s="2" t="s">
        <v>955</v>
      </c>
      <c r="E143" s="2">
        <v>11</v>
      </c>
      <c r="F143" s="2"/>
    </row>
    <row r="144" spans="1:7" x14ac:dyDescent="0.25">
      <c r="A144" s="2" t="s">
        <v>952</v>
      </c>
      <c r="B144" s="2" t="s">
        <v>953</v>
      </c>
      <c r="C144" s="2" t="s">
        <v>954</v>
      </c>
      <c r="D144" s="2" t="s">
        <v>956</v>
      </c>
      <c r="E144" s="2">
        <v>9.5</v>
      </c>
      <c r="F144" s="2"/>
    </row>
    <row r="145" spans="1:7" x14ac:dyDescent="0.25">
      <c r="A145" s="2" t="s">
        <v>952</v>
      </c>
      <c r="B145" s="2" t="s">
        <v>953</v>
      </c>
      <c r="C145" s="2" t="s">
        <v>954</v>
      </c>
      <c r="D145" s="2" t="s">
        <v>957</v>
      </c>
      <c r="E145" s="2">
        <v>8.5</v>
      </c>
      <c r="F145" s="2"/>
    </row>
    <row r="146" spans="1:7" x14ac:dyDescent="0.25">
      <c r="A146" s="2" t="s">
        <v>958</v>
      </c>
      <c r="B146" s="2" t="s">
        <v>959</v>
      </c>
      <c r="C146" s="2" t="s">
        <v>944</v>
      </c>
      <c r="D146" s="2" t="s">
        <v>960</v>
      </c>
      <c r="E146" s="2">
        <v>13.5</v>
      </c>
      <c r="F146" s="2"/>
    </row>
    <row r="147" spans="1:7" x14ac:dyDescent="0.25">
      <c r="A147" s="2" t="s">
        <v>958</v>
      </c>
      <c r="B147" s="2" t="s">
        <v>959</v>
      </c>
      <c r="C147" s="2" t="s">
        <v>944</v>
      </c>
      <c r="D147" s="2" t="s">
        <v>961</v>
      </c>
      <c r="E147" s="2">
        <v>11.5</v>
      </c>
      <c r="F147" s="2"/>
    </row>
    <row r="148" spans="1:7" x14ac:dyDescent="0.25">
      <c r="A148" s="2" t="s">
        <v>958</v>
      </c>
      <c r="B148" s="2" t="s">
        <v>959</v>
      </c>
      <c r="C148" s="2" t="s">
        <v>944</v>
      </c>
      <c r="D148" s="2" t="s">
        <v>962</v>
      </c>
      <c r="E148" s="2">
        <v>8.5</v>
      </c>
      <c r="F148" s="2"/>
    </row>
    <row r="149" spans="1:7" x14ac:dyDescent="0.25">
      <c r="A149" s="2" t="s">
        <v>958</v>
      </c>
      <c r="B149" s="2" t="s">
        <v>959</v>
      </c>
      <c r="C149" s="2" t="s">
        <v>944</v>
      </c>
      <c r="D149" s="2" t="s">
        <v>963</v>
      </c>
      <c r="E149" s="2">
        <v>6</v>
      </c>
      <c r="F149" s="2"/>
    </row>
    <row r="150" spans="1:7" x14ac:dyDescent="0.25">
      <c r="A150" s="2" t="s">
        <v>958</v>
      </c>
      <c r="B150" s="2" t="s">
        <v>959</v>
      </c>
      <c r="C150" s="2" t="s">
        <v>946</v>
      </c>
      <c r="D150" s="2" t="s">
        <v>1046</v>
      </c>
      <c r="E150" s="2">
        <v>1.5</v>
      </c>
      <c r="F150" s="2"/>
    </row>
    <row r="151" spans="1:6" x14ac:dyDescent="0.25">
      <c r="A151" s="2" t="s">
        <v>958</v>
      </c>
      <c r="B151" s="2" t="s">
        <v>959</v>
      </c>
      <c r="C151" s="2" t="s">
        <v>946</v>
      </c>
      <c r="D151" s="2" t="s">
        <v>964</v>
      </c>
      <c r="E151" s="2">
        <v>1</v>
      </c>
      <c r="F151" s="2"/>
    </row>
    <row r="152" spans="1:6" ht="38.25" x14ac:dyDescent="0.25">
      <c r="A152" s="2" t="s">
        <v>958</v>
      </c>
      <c r="B152" s="2" t="s">
        <v>959</v>
      </c>
      <c r="C152" s="2" t="s">
        <v>946</v>
      </c>
      <c r="D152" s="2" t="s">
        <v>965</v>
      </c>
      <c r="E152" s="2">
        <v>2</v>
      </c>
      <c r="F152" s="2"/>
    </row>
    <row r="153" spans="1:6" x14ac:dyDescent="0.25">
      <c r="A153" s="2" t="s">
        <v>966</v>
      </c>
      <c r="B153" s="2" t="s">
        <v>967</v>
      </c>
      <c r="C153" s="2" t="s">
        <v>944</v>
      </c>
      <c r="D153" s="2" t="s">
        <v>968</v>
      </c>
      <c r="E153" s="2">
        <v>3.5</v>
      </c>
      <c r="F153" s="2"/>
    </row>
    <row r="154" spans="1:6" x14ac:dyDescent="0.25">
      <c r="A154" s="2" t="s">
        <v>966</v>
      </c>
      <c r="B154" s="2" t="s">
        <v>967</v>
      </c>
      <c r="C154" s="2" t="s">
        <v>944</v>
      </c>
      <c r="D154" s="2" t="s">
        <v>969</v>
      </c>
      <c r="E154" s="2">
        <v>4</v>
      </c>
      <c r="F154" s="2"/>
    </row>
    <row r="155" spans="1:6" x14ac:dyDescent="0.25">
      <c r="A155" s="2" t="s">
        <v>966</v>
      </c>
      <c r="B155" s="2" t="s">
        <v>967</v>
      </c>
      <c r="C155" s="2" t="s">
        <v>944</v>
      </c>
      <c r="D155" s="2" t="s">
        <v>970</v>
      </c>
      <c r="E155" s="2">
        <v>4</v>
      </c>
      <c r="F155" s="2"/>
    </row>
    <row r="156" spans="1:6" x14ac:dyDescent="0.25">
      <c r="A156" s="2" t="s">
        <v>966</v>
      </c>
      <c r="B156" s="2" t="s">
        <v>967</v>
      </c>
      <c r="C156" s="2" t="s">
        <v>944</v>
      </c>
      <c r="D156" s="2" t="s">
        <v>971</v>
      </c>
      <c r="E156" s="2">
        <v>2.5</v>
      </c>
      <c r="F156" s="2"/>
    </row>
    <row r="157" spans="1:6" x14ac:dyDescent="0.25">
      <c r="A157" s="2" t="s">
        <v>966</v>
      </c>
      <c r="B157" s="2" t="s">
        <v>967</v>
      </c>
      <c r="C157" s="2" t="s">
        <v>944</v>
      </c>
      <c r="D157" s="2" t="s">
        <v>972</v>
      </c>
      <c r="E157" s="2">
        <v>2</v>
      </c>
      <c r="F157" s="2"/>
    </row>
    <row r="158" spans="1:6" x14ac:dyDescent="0.25">
      <c r="A158" s="2" t="s">
        <v>966</v>
      </c>
      <c r="B158" s="2" t="s">
        <v>967</v>
      </c>
      <c r="C158" s="2" t="s">
        <v>944</v>
      </c>
      <c r="D158" s="2" t="s">
        <v>973</v>
      </c>
      <c r="E158" s="2">
        <v>3</v>
      </c>
      <c r="F158" s="2"/>
    </row>
    <row r="159" spans="1:6" x14ac:dyDescent="0.25">
      <c r="A159" s="2" t="s">
        <v>966</v>
      </c>
      <c r="B159" s="2" t="s">
        <v>967</v>
      </c>
      <c r="C159" s="2" t="s">
        <v>946</v>
      </c>
      <c r="D159" s="2" t="s">
        <v>974</v>
      </c>
      <c r="E159" s="2">
        <v>0.5</v>
      </c>
      <c r="F159" s="2"/>
    </row>
    <row r="160" spans="1:6" ht="38.25" x14ac:dyDescent="0.25">
      <c r="A160" s="2" t="s">
        <v>966</v>
      </c>
      <c r="B160" s="2" t="s">
        <v>967</v>
      </c>
      <c r="C160" s="2" t="s">
        <v>944</v>
      </c>
      <c r="D160" s="2" t="s">
        <v>975</v>
      </c>
      <c r="E160" s="2">
        <v>4</v>
      </c>
      <c r="F160" s="2"/>
    </row>
    <row r="161" spans="1:6" x14ac:dyDescent="0.25">
      <c r="A161" s="2" t="s">
        <v>976</v>
      </c>
      <c r="B161" s="2" t="s">
        <v>977</v>
      </c>
      <c r="C161" s="2" t="s">
        <v>944</v>
      </c>
      <c r="D161" s="2" t="s">
        <v>978</v>
      </c>
      <c r="E161" s="2">
        <v>5</v>
      </c>
      <c r="F161" s="2">
        <v>10</v>
      </c>
    </row>
    <row r="162" spans="1:6" x14ac:dyDescent="0.25">
      <c r="A162" s="2" t="s">
        <v>976</v>
      </c>
      <c r="B162" s="2" t="s">
        <v>977</v>
      </c>
      <c r="C162" s="2" t="s">
        <v>946</v>
      </c>
      <c r="D162" s="2" t="s">
        <v>979</v>
      </c>
      <c r="E162" s="2">
        <v>2</v>
      </c>
      <c r="F162" s="2">
        <v>10</v>
      </c>
    </row>
    <row r="163" spans="1:6" x14ac:dyDescent="0.25">
      <c r="A163" s="2" t="s">
        <v>976</v>
      </c>
      <c r="B163" s="2" t="s">
        <v>977</v>
      </c>
      <c r="C163" s="2" t="s">
        <v>946</v>
      </c>
      <c r="D163" s="2" t="s">
        <v>980</v>
      </c>
      <c r="E163" s="2">
        <v>2</v>
      </c>
      <c r="F163" s="2">
        <v>10</v>
      </c>
    </row>
    <row r="164" spans="1:6" x14ac:dyDescent="0.25">
      <c r="A164" s="2" t="s">
        <v>976</v>
      </c>
      <c r="B164" s="2" t="s">
        <v>977</v>
      </c>
      <c r="C164" s="2" t="s">
        <v>946</v>
      </c>
      <c r="D164" s="2" t="s">
        <v>981</v>
      </c>
      <c r="E164" s="2">
        <v>1.5</v>
      </c>
      <c r="F164" s="2">
        <v>10</v>
      </c>
    </row>
    <row r="165" spans="1:6" x14ac:dyDescent="0.25">
      <c r="A165" s="2" t="s">
        <v>976</v>
      </c>
      <c r="B165" s="2" t="s">
        <v>977</v>
      </c>
      <c r="C165" s="2" t="s">
        <v>946</v>
      </c>
      <c r="D165" s="2" t="s">
        <v>982</v>
      </c>
      <c r="E165" s="2">
        <v>1.5</v>
      </c>
      <c r="F165" s="2">
        <v>10</v>
      </c>
    </row>
    <row r="166" spans="1:6" x14ac:dyDescent="0.25">
      <c r="A166" s="2" t="s">
        <v>976</v>
      </c>
      <c r="B166" s="2" t="s">
        <v>977</v>
      </c>
      <c r="C166" s="2" t="s">
        <v>946</v>
      </c>
      <c r="D166" s="2" t="s">
        <v>983</v>
      </c>
      <c r="E166" s="2">
        <v>1</v>
      </c>
      <c r="F166" s="2">
        <v>10</v>
      </c>
    </row>
    <row r="167" spans="1:6" x14ac:dyDescent="0.25">
      <c r="A167" s="2" t="s">
        <v>976</v>
      </c>
      <c r="B167" s="2" t="s">
        <v>977</v>
      </c>
      <c r="C167" s="2" t="s">
        <v>946</v>
      </c>
      <c r="D167" s="2" t="s">
        <v>984</v>
      </c>
      <c r="E167" s="2">
        <v>0.5</v>
      </c>
      <c r="F167" s="2">
        <v>10</v>
      </c>
    </row>
    <row r="168" spans="1:6" x14ac:dyDescent="0.25">
      <c r="A168" s="2" t="s">
        <v>976</v>
      </c>
      <c r="B168" s="2" t="s">
        <v>977</v>
      </c>
      <c r="C168" s="2" t="s">
        <v>946</v>
      </c>
      <c r="D168" s="2" t="s">
        <v>985</v>
      </c>
      <c r="E168" s="2">
        <v>0.5</v>
      </c>
      <c r="F168" s="2">
        <v>10</v>
      </c>
    </row>
    <row r="169" spans="1:6" x14ac:dyDescent="0.25">
      <c r="A169" s="2" t="s">
        <v>976</v>
      </c>
      <c r="B169" s="2" t="s">
        <v>977</v>
      </c>
      <c r="C169" s="2" t="s">
        <v>946</v>
      </c>
      <c r="D169" s="2" t="s">
        <v>986</v>
      </c>
      <c r="E169" s="2">
        <v>0.5</v>
      </c>
      <c r="F169" s="2">
        <v>10</v>
      </c>
    </row>
    <row r="170" spans="1:6" x14ac:dyDescent="0.25">
      <c r="A170" s="2" t="s">
        <v>976</v>
      </c>
      <c r="B170" s="2" t="s">
        <v>977</v>
      </c>
      <c r="C170" s="2" t="s">
        <v>946</v>
      </c>
      <c r="D170" s="2" t="s">
        <v>987</v>
      </c>
      <c r="E170" s="2">
        <v>0.5</v>
      </c>
      <c r="F170" s="2">
        <v>10</v>
      </c>
    </row>
    <row r="171" spans="1:6" x14ac:dyDescent="0.25">
      <c r="A171" s="2" t="s">
        <v>976</v>
      </c>
      <c r="B171" s="2" t="s">
        <v>977</v>
      </c>
      <c r="C171" s="2" t="s">
        <v>946</v>
      </c>
      <c r="D171" s="2" t="s">
        <v>988</v>
      </c>
      <c r="E171" s="2">
        <v>1</v>
      </c>
      <c r="F171" s="2">
        <v>10</v>
      </c>
    </row>
    <row r="172" spans="1:6" x14ac:dyDescent="0.25">
      <c r="A172" s="2" t="s">
        <v>976</v>
      </c>
      <c r="B172" s="2" t="s">
        <v>977</v>
      </c>
      <c r="C172" s="2" t="s">
        <v>946</v>
      </c>
      <c r="D172" s="2" t="s">
        <v>947</v>
      </c>
      <c r="E172" s="2">
        <v>0.5</v>
      </c>
      <c r="F172" s="2">
        <v>10</v>
      </c>
    </row>
    <row r="173" spans="1:6" ht="25.5" x14ac:dyDescent="0.25">
      <c r="A173" s="2" t="s">
        <v>989</v>
      </c>
      <c r="B173" s="2" t="s">
        <v>990</v>
      </c>
      <c r="C173" s="2" t="s">
        <v>991</v>
      </c>
      <c r="D173" s="2" t="s">
        <v>992</v>
      </c>
      <c r="E173" s="2">
        <v>5</v>
      </c>
      <c r="F173" s="2">
        <v>5</v>
      </c>
    </row>
    <row r="174" spans="1:6" x14ac:dyDescent="0.25">
      <c r="A174" s="2" t="s">
        <v>993</v>
      </c>
      <c r="B174" s="2" t="s">
        <v>994</v>
      </c>
      <c r="C174" s="2" t="s">
        <v>995</v>
      </c>
      <c r="D174" s="2" t="s">
        <v>996</v>
      </c>
      <c r="E174" s="2">
        <v>0</v>
      </c>
      <c r="F174" s="2">
        <v>12</v>
      </c>
    </row>
    <row r="175" spans="1:6" x14ac:dyDescent="0.25">
      <c r="A175" s="2" t="s">
        <v>993</v>
      </c>
      <c r="B175" s="2" t="s">
        <v>994</v>
      </c>
      <c r="C175" s="2" t="s">
        <v>995</v>
      </c>
      <c r="D175" s="2" t="s">
        <v>997</v>
      </c>
      <c r="E175" s="2">
        <v>2</v>
      </c>
      <c r="F175" s="2">
        <v>12</v>
      </c>
    </row>
    <row r="176" spans="1:6" x14ac:dyDescent="0.25">
      <c r="A176" s="2" t="s">
        <v>993</v>
      </c>
      <c r="B176" s="2" t="s">
        <v>994</v>
      </c>
      <c r="C176" s="2" t="s">
        <v>995</v>
      </c>
      <c r="D176" s="2" t="s">
        <v>998</v>
      </c>
      <c r="E176" s="2">
        <v>4</v>
      </c>
      <c r="F176" s="2">
        <v>12</v>
      </c>
    </row>
    <row r="177" spans="1:6" x14ac:dyDescent="0.25">
      <c r="A177" s="2" t="s">
        <v>993</v>
      </c>
      <c r="B177" s="2" t="s">
        <v>994</v>
      </c>
      <c r="C177" s="2" t="s">
        <v>995</v>
      </c>
      <c r="D177" s="2" t="s">
        <v>999</v>
      </c>
      <c r="E177" s="2">
        <v>6</v>
      </c>
      <c r="F177" s="2">
        <v>12</v>
      </c>
    </row>
    <row r="178" spans="1:6" x14ac:dyDescent="0.25">
      <c r="A178" s="2" t="s">
        <v>993</v>
      </c>
      <c r="B178" s="2" t="s">
        <v>1000</v>
      </c>
      <c r="C178" s="2" t="s">
        <v>995</v>
      </c>
      <c r="D178" s="2" t="s">
        <v>1001</v>
      </c>
      <c r="E178" s="2">
        <v>1</v>
      </c>
      <c r="F178" s="2">
        <v>12</v>
      </c>
    </row>
    <row r="179" spans="1:6" x14ac:dyDescent="0.25">
      <c r="A179" s="2" t="s">
        <v>993</v>
      </c>
      <c r="B179" s="2" t="s">
        <v>1000</v>
      </c>
      <c r="C179" s="2" t="s">
        <v>995</v>
      </c>
      <c r="D179" s="2" t="s">
        <v>1002</v>
      </c>
      <c r="E179" s="2">
        <v>2</v>
      </c>
      <c r="F179" s="2">
        <v>12</v>
      </c>
    </row>
    <row r="180" spans="1:6" x14ac:dyDescent="0.25">
      <c r="A180" s="2" t="s">
        <v>993</v>
      </c>
      <c r="B180" s="2" t="s">
        <v>1000</v>
      </c>
      <c r="C180" s="2" t="s">
        <v>995</v>
      </c>
      <c r="D180" s="2" t="s">
        <v>1003</v>
      </c>
      <c r="E180" s="2">
        <v>3</v>
      </c>
      <c r="F180" s="2">
        <v>12</v>
      </c>
    </row>
    <row r="181" spans="1:6" x14ac:dyDescent="0.25">
      <c r="A181" s="2" t="s">
        <v>993</v>
      </c>
      <c r="B181" s="2" t="s">
        <v>1000</v>
      </c>
      <c r="C181" s="2" t="s">
        <v>995</v>
      </c>
      <c r="D181" s="2" t="s">
        <v>1004</v>
      </c>
      <c r="E181" s="2">
        <v>4</v>
      </c>
      <c r="F181" s="2">
        <v>12</v>
      </c>
    </row>
    <row r="182" spans="1:6" x14ac:dyDescent="0.25">
      <c r="A182" s="2" t="s">
        <v>993</v>
      </c>
      <c r="B182" s="2" t="s">
        <v>1000</v>
      </c>
      <c r="C182" s="2" t="s">
        <v>995</v>
      </c>
      <c r="D182" s="2" t="s">
        <v>1005</v>
      </c>
      <c r="E182" s="2">
        <v>5</v>
      </c>
      <c r="F182" s="2">
        <v>12</v>
      </c>
    </row>
    <row r="183" spans="1:7" ht="25.5" x14ac:dyDescent="0.25">
      <c r="A183" s="2" t="s">
        <v>1006</v>
      </c>
      <c r="B183" s="2" t="s">
        <v>1007</v>
      </c>
      <c r="C183" s="2" t="s">
        <v>991</v>
      </c>
      <c r="D183" s="2" t="s">
        <v>1008</v>
      </c>
      <c r="E183" s="2">
        <v>20</v>
      </c>
      <c r="F183" s="2">
        <v>20</v>
      </c>
    </row>
    <row r="185" spans="1:7" x14ac:dyDescent="0.25">
      <c r="A185" s="3" t="s">
        <v>1009</v>
      </c>
      <c r="B185" s="3" t="s">
        <v>1010</v>
      </c>
      <c r="C185" s="4"/>
      <c r="D185" s="4"/>
      <c r="E185" s="4"/>
      <c r="F185" s="4"/>
      <c r="G185" s="4"/>
    </row>
    <row r="186" spans="1:7" x14ac:dyDescent="0.25">
      <c r="A186" s="6" t="s">
        <v>1011</v>
      </c>
      <c r="B186" s="6" t="s">
        <v>1012</v>
      </c>
      <c r="C186" s="6" t="s">
        <v>1013</v>
      </c>
      <c r="D186" s="6" t="s">
        <v>1014</v>
      </c>
      <c r="E186" s="6" t="s">
        <v>751</v>
      </c>
    </row>
    <row r="187" spans="1:7" x14ac:dyDescent="0.25">
      <c r="A187" s="2" t="s">
        <v>291</v>
      </c>
      <c r="B187" s="2" t="s">
        <v>1015</v>
      </c>
      <c r="C187" s="2" t="s">
        <v>1016</v>
      </c>
      <c r="D187" s="2" t="s">
        <v>1017</v>
      </c>
      <c r="E187" s="2" t="s">
        <v>752</v>
      </c>
    </row>
    <row r="188" spans="1:7" x14ac:dyDescent="0.25">
      <c r="A188" s="2" t="s">
        <v>1018</v>
      </c>
      <c r="B188" s="2" t="s">
        <v>1019</v>
      </c>
      <c r="C188" s="2" t="s">
        <v>1016</v>
      </c>
      <c r="D188" s="2" t="s">
        <v>1020</v>
      </c>
      <c r="E188" s="2" t="s">
        <v>752</v>
      </c>
    </row>
    <row r="189" spans="1:7" x14ac:dyDescent="0.25">
      <c r="A189" s="2" t="s">
        <v>1021</v>
      </c>
      <c r="B189" s="2" t="s">
        <v>1022</v>
      </c>
      <c r="C189" s="2" t="s">
        <v>1016</v>
      </c>
      <c r="D189" s="2" t="s">
        <v>1023</v>
      </c>
      <c r="E189" s="2" t="s">
        <v>752</v>
      </c>
    </row>
    <row r="190" spans="1:7" x14ac:dyDescent="0.25">
      <c r="A190" s="2" t="s">
        <v>1024</v>
      </c>
      <c r="B190" s="2" t="s">
        <v>1025</v>
      </c>
      <c r="C190" s="2" t="s">
        <v>1016</v>
      </c>
      <c r="D190" s="2" t="s">
        <v>1026</v>
      </c>
      <c r="E190" s="2" t="s">
        <v>752</v>
      </c>
    </row>
    <row r="191" spans="1:7" x14ac:dyDescent="0.25">
      <c r="A191" s="2" t="s">
        <v>1027</v>
      </c>
      <c r="B191" s="2" t="s">
        <v>1028</v>
      </c>
      <c r="C191" s="2" t="s">
        <v>1016</v>
      </c>
      <c r="D191" s="2" t="s">
        <v>1029</v>
      </c>
      <c r="E191" s="2" t="s">
        <v>752</v>
      </c>
    </row>
    <row r="192" spans="1:7" x14ac:dyDescent="0.25">
      <c r="A192" s="2" t="s">
        <v>1030</v>
      </c>
      <c r="B192" s="2" t="s">
        <v>1031</v>
      </c>
      <c r="C192" s="2" t="s">
        <v>1016</v>
      </c>
      <c r="D192" s="2" t="s">
        <v>1032</v>
      </c>
      <c r="E192" s="2" t="s">
        <v>752</v>
      </c>
    </row>
    <row r="193" spans="1:7" x14ac:dyDescent="0.25">
      <c r="A193" s="2" t="s">
        <v>1033</v>
      </c>
      <c r="B193" s="2" t="s">
        <v>1034</v>
      </c>
      <c r="C193" s="2" t="s">
        <v>1016</v>
      </c>
      <c r="D193" s="2" t="s">
        <v>1035</v>
      </c>
      <c r="E193" s="2" t="s">
        <v>752</v>
      </c>
    </row>
    <row r="194" spans="1:7" x14ac:dyDescent="0.25">
      <c r="A194" s="2" t="s">
        <v>1036</v>
      </c>
      <c r="B194" s="2" t="s">
        <v>1037</v>
      </c>
      <c r="C194" s="2" t="s">
        <v>1016</v>
      </c>
      <c r="D194" s="2" t="s">
        <v>1038</v>
      </c>
      <c r="E194" s="2" t="s">
        <v>752</v>
      </c>
    </row>
    <row r="195" spans="1:7" ht="25.5" x14ac:dyDescent="0.25">
      <c r="A195" s="2" t="s">
        <v>1039</v>
      </c>
      <c r="B195" s="2" t="s">
        <v>1040</v>
      </c>
      <c r="C195" s="2" t="s">
        <v>1016</v>
      </c>
      <c r="D195" s="2" t="s">
        <v>1041</v>
      </c>
      <c r="E195" s="2" t="s">
        <v>752</v>
      </c>
    </row>
    <row r="196" spans="1:7" ht="25.5" x14ac:dyDescent="0.25">
      <c r="A196" s="30" t="s">
        <v>735</v>
      </c>
      <c r="B196" s="2" t="s">
        <v>734</v>
      </c>
      <c r="C196" s="2" t="s">
        <v>1016</v>
      </c>
      <c r="D196" s="2" t="s">
        <v>1630</v>
      </c>
      <c r="E196" s="30" t="s">
        <v>1629</v>
      </c>
    </row>
    <row r="198" spans="1:7" x14ac:dyDescent="0.25">
      <c r="A198" s="3" t="s">
        <v>1047</v>
      </c>
      <c r="B198" s="3" t="s">
        <v>1048</v>
      </c>
      <c r="C198" s="4"/>
      <c r="D198" s="4"/>
      <c r="E198" s="4"/>
      <c r="F198" s="4"/>
      <c r="G198" s="4"/>
    </row>
    <row r="199" spans="1:4" x14ac:dyDescent="0.25">
      <c r="A199" s="6" t="s">
        <v>1049</v>
      </c>
      <c r="B199" s="6" t="s">
        <v>819</v>
      </c>
      <c r="C199" s="6" t="s">
        <v>801</v>
      </c>
      <c r="D199" s="6" t="s">
        <v>57</v>
      </c>
    </row>
    <row r="200" spans="1:4" ht="25.5" x14ac:dyDescent="0.25">
      <c r="A200" s="2" t="s">
        <v>942</v>
      </c>
      <c r="B200" s="2">
        <v>0.9</v>
      </c>
      <c r="C200" s="2">
        <v>1.15</v>
      </c>
      <c r="D200" s="2" t="s">
        <v>1050</v>
      </c>
    </row>
    <row r="201" spans="1:4" x14ac:dyDescent="0.25">
      <c r="A201" s="2" t="s">
        <v>952</v>
      </c>
      <c r="B201" s="2">
        <v>0.9</v>
      </c>
      <c r="C201" s="2">
        <v>1.2</v>
      </c>
    </row>
    <row r="202" spans="1:4" x14ac:dyDescent="0.25">
      <c r="A202" s="2" t="s">
        <v>958</v>
      </c>
      <c r="B202" s="2">
        <v>0.85</v>
      </c>
      <c r="C202" s="2">
        <v>1.25</v>
      </c>
    </row>
    <row r="203" spans="1:4" x14ac:dyDescent="0.25">
      <c r="A203" s="2" t="s">
        <v>966</v>
      </c>
      <c r="B203" s="2">
        <v>0.8</v>
      </c>
      <c r="C203" s="2">
        <v>1.35</v>
      </c>
    </row>
    <row r="205" spans="1:7" x14ac:dyDescent="0.25">
      <c r="A205" s="3" t="inlineStr">
        <is>
          <t>▶ confidence</t>
        </is>
      </c>
      <c r="B205" s="3" t="inlineStr">
        <is>
          <t>Confidence grade: points per factor that applies, grade thresholds, and grade caps. The app adds up the points of every factor that applies, takes the grade from the GRADE rows, then applies the lowest cap of any factor that applies. Keys are read by the app — do not rename them.</t>
        </is>
      </c>
      <c r="C205" s="4"/>
      <c r="D205" s="4"/>
      <c r="E205" s="4"/>
      <c r="F205" s="4"/>
      <c r="G205" s="4"/>
    </row>
    <row r="206" spans="1:5" x14ac:dyDescent="0.25">
      <c r="A206" s="6" t="inlineStr">
        <is>
          <t>Key</t>
        </is>
      </c>
      <c r="B206" s="6" t="inlineStr">
        <is>
          <t>Factor (as printed)</t>
        </is>
      </c>
      <c r="C206" s="6" t="inlineStr">
        <is>
          <t>Points</t>
        </is>
      </c>
      <c r="D206" s="6" t="inlineStr">
        <is>
          <t>Threshold</t>
        </is>
      </c>
      <c r="E206" s="6" t="inlineStr">
        <is>
          <t>Caps grade at</t>
        </is>
      </c>
    </row>
    <row r="207" spans="1:5" x14ac:dyDescent="0.25">
      <c r="A207" s="2" t="inlineStr">
        <is>
          <t>GRADE_A</t>
        </is>
      </c>
      <c r="B207" s="2" t="inlineStr">
        <is>
          <t>Grade A when the total points are at most</t>
        </is>
      </c>
      <c r="C207" s="2">
        <v>1</v>
      </c>
      <c r="D207" s="2"/>
      <c r="E207" s="2"/>
    </row>
    <row r="208" spans="1:5" x14ac:dyDescent="0.25">
      <c r="A208" s="2" t="inlineStr">
        <is>
          <t>GRADE_B</t>
        </is>
      </c>
      <c r="B208" s="2" t="inlineStr">
        <is>
          <t>Grade B when the total points are at most</t>
        </is>
      </c>
      <c r="C208" s="2">
        <v>3</v>
      </c>
      <c r="D208" s="2"/>
      <c r="E208" s="2"/>
    </row>
    <row r="209" spans="1:5" x14ac:dyDescent="0.25">
      <c r="A209" s="2" t="inlineStr">
        <is>
          <t>GRADE_C</t>
        </is>
      </c>
      <c r="B209" s="2" t="inlineStr">
        <is>
          <t>Grade C when the total points are at most (above this: D)</t>
        </is>
      </c>
      <c r="C209" s="2">
        <v>6</v>
      </c>
      <c r="D209" s="2"/>
      <c r="E209" s="2"/>
    </row>
    <row r="210" spans="1:5" x14ac:dyDescent="0.25">
      <c r="A210" s="2" t="inlineStr">
        <is>
          <t>STAGE_0_1</t>
        </is>
      </c>
      <c r="B210" s="2" t="inlineStr">
        <is>
          <t>design at Stage 0–1</t>
        </is>
      </c>
      <c r="C210" s="2">
        <v>1</v>
      </c>
      <c r="D210" s="2"/>
      <c r="E210" s="2" t="inlineStr">
        <is>
          <t>B</t>
        </is>
      </c>
    </row>
    <row r="211" spans="1:5" x14ac:dyDescent="0.25">
      <c r="A211" s="2" t="inlineStr">
        <is>
          <t>NO_SURVEYS</t>
        </is>
      </c>
      <c r="B211" s="2" t="inlineStr">
        <is>
          <t>no surveys in the last 5 years</t>
        </is>
      </c>
      <c r="C211" s="2">
        <v>2</v>
      </c>
      <c r="D211" s="2"/>
      <c r="E211" s="2"/>
    </row>
    <row r="212" spans="1:5" x14ac:dyDescent="0.25">
      <c r="A212" s="2" t="inlineStr">
        <is>
          <t>NO_CONDITION_SURVEY</t>
        </is>
      </c>
      <c r="B212" s="2" t="inlineStr">
        <is>
          <t>no condition survey</t>
        </is>
      </c>
      <c r="C212" s="2">
        <v>1</v>
      </c>
      <c r="D212" s="2"/>
      <c r="E212" s="2"/>
    </row>
    <row r="213" spans="1:5" x14ac:dyDescent="0.25">
      <c r="A213" s="2" t="inlineStr">
        <is>
          <t>NO_RD_SURVEY</t>
        </is>
      </c>
      <c r="B213" s="2" t="inlineStr">
        <is>
          <t>no asbestos R&amp;D survey (pre-2000 building)</t>
        </is>
      </c>
      <c r="C213" s="2">
        <v>1</v>
      </c>
      <c r="D213" s="2"/>
      <c r="E213" s="2"/>
    </row>
    <row r="214" spans="1:5" x14ac:dyDescent="0.25">
      <c r="A214" s="2" t="inlineStr">
        <is>
          <t>NO_CONDITION_OR_RD</t>
        </is>
      </c>
      <c r="B214" s="2" t="inlineStr">
        <is>
          <t>neither a condition nor an asbestos R&amp;D survey</t>
        </is>
      </c>
      <c r="C214" s="2">
        <v>0</v>
      </c>
      <c r="D214" s="2"/>
      <c r="E214" s="2" t="inlineStr">
        <is>
          <t>C</t>
        </is>
      </c>
    </row>
    <row r="215" spans="1:5" x14ac:dyDescent="0.25">
      <c r="A215" s="2" t="inlineStr">
        <is>
          <t>CONDITION_UNKNOWN</t>
        </is>
      </c>
      <c r="B215" s="2" t="inlineStr">
        <is>
          <t>building condition unknown</t>
        </is>
      </c>
      <c r="C215" s="2">
        <v>1</v>
      </c>
      <c r="D215" s="2"/>
      <c r="E215" s="2"/>
    </row>
    <row r="216" spans="1:5" x14ac:dyDescent="0.25">
      <c r="A216" s="2" t="inlineStr">
        <is>
          <t>PLANNING_UNSURE</t>
        </is>
      </c>
      <c r="B216" s="2" t="inlineStr">
        <is>
          <t>planning route not established</t>
        </is>
      </c>
      <c r="C216" s="2">
        <v>1</v>
      </c>
      <c r="D216" s="2"/>
      <c r="E216" s="2"/>
    </row>
    <row r="217" spans="1:5" x14ac:dyDescent="0.25">
      <c r="A217" s="2" t="inlineStr">
        <is>
          <t>EXISTING_BUILDING</t>
        </is>
      </c>
      <c r="B217" s="2" t="inlineStr">
        <is>
          <t>existing building</t>
        </is>
      </c>
      <c r="C217" s="2">
        <v>1</v>
      </c>
      <c r="D217" s="2"/>
      <c r="E217" s="2"/>
    </row>
    <row r="218" spans="1:5" x14ac:dyDescent="0.25">
      <c r="A218" s="2" t="inlineStr">
        <is>
          <t>AGE_PRE_1980</t>
        </is>
      </c>
      <c r="B218" s="2" t="inlineStr">
        <is>
          <t>built before 1980</t>
        </is>
      </c>
      <c r="C218" s="2">
        <v>0.5</v>
      </c>
      <c r="D218" s="2"/>
      <c r="E218" s="2"/>
    </row>
    <row r="219" spans="1:5" x14ac:dyDescent="0.25">
      <c r="A219" s="2" t="inlineStr">
        <is>
          <t>OCCUPIED_FULL</t>
        </is>
      </c>
      <c r="B219" s="2" t="inlineStr">
        <is>
          <t>fully occupied during works</t>
        </is>
      </c>
      <c r="C219" s="2">
        <v>1</v>
      </c>
      <c r="D219" s="2"/>
      <c r="E219" s="2"/>
    </row>
    <row r="220" spans="1:5" x14ac:dyDescent="0.25">
      <c r="A220" s="2" t="inlineStr">
        <is>
          <t>OCCUPIED_PARTIAL</t>
        </is>
      </c>
      <c r="B220" s="2" t="inlineStr">
        <is>
          <t>partly occupied during works</t>
        </is>
      </c>
      <c r="C220" s="2">
        <v>0.5</v>
      </c>
      <c r="D220" s="2"/>
      <c r="E220" s="2"/>
    </row>
    <row r="221" spans="1:5" x14ac:dyDescent="0.25">
      <c r="A221" s="2" t="inlineStr">
        <is>
          <t>HIGH_RISKS</t>
        </is>
      </c>
      <c r="B221" s="2" t="inlineStr">
        <is>
          <t>risks rated High (Threshold = how many)</t>
        </is>
      </c>
      <c r="C221" s="2">
        <v>1</v>
      </c>
      <c r="D221" s="2">
        <v>2</v>
      </c>
      <c r="E221" s="2"/>
    </row>
    <row r="222" spans="1:5" x14ac:dyDescent="0.25">
      <c r="A222" s="2" t="inlineStr">
        <is>
          <t>CLIENT_SHARE_LOW</t>
        </is>
      </c>
      <c r="B222" s="2" t="inlineStr">
        <is>
          <t>few client-confirmed quantities (Threshold = share of works cost below which it applies)</t>
        </is>
      </c>
      <c r="C222" s="2">
        <v>0.5</v>
      </c>
      <c r="D222" s="2">
        <v>0.25</v>
      </c>
      <c r="E222" s="2"/>
    </row>
    <row r="223" spans="1:5" x14ac:dyDescent="0.25">
      <c r="A223" s="2" t="inlineStr">
        <is>
          <t>SENSE_HIGH</t>
        </is>
      </c>
      <c r="B223" s="2" t="inlineStr">
        <is>
          <t>high-severity sense-check warning</t>
        </is>
      </c>
      <c r="C223" s="2">
        <v>2</v>
      </c>
      <c r="D223" s="2"/>
      <c r="E223" s="2"/>
    </row>
    <row r="224" spans="1:5" x14ac:dyDescent="0.25">
      <c r="A224" s="2" t="inlineStr">
        <is>
          <t>SENSE_MEDIUM</t>
        </is>
      </c>
      <c r="B224" s="2" t="inlineStr">
        <is>
          <t>sense-check warnings</t>
        </is>
      </c>
      <c r="C224" s="2">
        <v>1</v>
      </c>
      <c r="D224" s="2"/>
      <c r="E224" s="2"/>
    </row>
    <row r="225" spans="1:5" x14ac:dyDescent="0.25">
      <c r="A225" s="2" t="inlineStr">
        <is>
          <t>BENCHMARK_MISSING</t>
        </is>
      </c>
      <c r="B225" s="2" t="inlineStr">
        <is>
          <t>no published cost benchmark to check against</t>
        </is>
      </c>
      <c r="C225" s="2">
        <v>1</v>
      </c>
      <c r="D225" s="2"/>
      <c r="E225" s="2"/>
    </row>
    <row r="226" spans="1:5" x14ac:dyDescent="0.25">
      <c r="A226" s="2" t="inlineStr">
        <is>
          <t>EXCLUDED_ITEMS</t>
        </is>
      </c>
      <c r="B226" s="2" t="inlineStr">
        <is>
          <t>scope items excluded pending quantities</t>
        </is>
      </c>
      <c r="C226" s="2">
        <v>1</v>
      </c>
      <c r="D226" s="2"/>
      <c r="E226" s="2"/>
    </row>
    <row r="227" spans="1:5" x14ac:dyDescent="0.25">
      <c r="A227" s="2" t="inlineStr">
        <is>
          <t>RATIO_ESTIMATES</t>
        </is>
      </c>
      <c r="B227" s="2" t="inlineStr">
        <is>
          <t>quantities estimated from typical ratios</t>
        </is>
      </c>
      <c r="C227" s="2">
        <v>1</v>
      </c>
      <c r="D227" s="2"/>
      <c r="E227" s="2"/>
    </row>
    <row r="228" spans="1:5" x14ac:dyDescent="0.25">
      <c r="A228" s="2" t="inlineStr">
        <is>
          <t>SPECIALIST_UNPRICED</t>
        </is>
      </c>
      <c r="B228" s="2" t="inlineStr">
        <is>
          <t>specialist scope not priced</t>
        </is>
      </c>
      <c r="C228" s="2">
        <v>1</v>
      </c>
      <c r="D228" s="2"/>
      <c r="E228" s="2"/>
    </row>
    <row r="230" spans="1:7" x14ac:dyDescent="0.25">
      <c r="A230" s="3" t="inlineStr">
        <is>
          <t>▶ risk_allowance</t>
        </is>
      </c>
      <c r="B230" s="3" t="inlineStr">
        <is>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is>
      </c>
      <c r="C230" s="4"/>
      <c r="D230" s="4"/>
      <c r="E230" s="4"/>
      <c r="F230" s="4"/>
      <c r="G230" s="4"/>
    </row>
    <row r="231" spans="1:5" x14ac:dyDescent="0.25">
      <c r="A231" s="6" t="inlineStr">
        <is>
          <t>Key</t>
        </is>
      </c>
      <c r="B231" s="6" t="inlineStr">
        <is>
          <t>Category</t>
        </is>
      </c>
      <c r="C231" s="6" t="inlineStr">
        <is>
          <t>Applies when (as printed)</t>
        </is>
      </c>
      <c r="D231" s="6" t="inlineStr">
        <is>
          <t>%</t>
        </is>
      </c>
      <c r="E231" s="6" t="inlineStr">
        <is>
          <t>Notes</t>
        </is>
      </c>
    </row>
    <row r="232" spans="1:5" x14ac:dyDescent="0.25">
      <c r="A232" s="2" t="inlineStr">
        <is>
          <t>DD_STAGE_0_1</t>
        </is>
      </c>
      <c r="B232" s="2" t="inlineStr">
        <is>
          <t>Design development</t>
        </is>
      </c>
      <c r="C232" s="2" t="inlineStr">
        <is>
          <t>design at Stage 0–1</t>
        </is>
      </c>
      <c r="D232" s="2">
        <v>5</v>
      </c>
      <c r="E232" s="2" t="inlineStr">
        <is>
          <t>Base: by design stage reached (Q4.5)</t>
        </is>
      </c>
    </row>
    <row r="233" spans="1:5" x14ac:dyDescent="0.25">
      <c r="A233" s="2" t="inlineStr">
        <is>
          <t>DD_STAGE_2</t>
        </is>
      </c>
      <c r="B233" s="2" t="inlineStr">
        <is>
          <t>Design development</t>
        </is>
      </c>
      <c r="C233" s="2" t="inlineStr">
        <is>
          <t>design at Stage 2</t>
        </is>
      </c>
      <c r="D233" s="2">
        <v>3</v>
      </c>
      <c r="E233" s="2"/>
    </row>
    <row r="234" spans="1:5" x14ac:dyDescent="0.25">
      <c r="A234" s="2" t="inlineStr">
        <is>
          <t>DD_STAGE_3</t>
        </is>
      </c>
      <c r="B234" s="2" t="inlineStr">
        <is>
          <t>Design development</t>
        </is>
      </c>
      <c r="C234" s="2" t="inlineStr">
        <is>
          <t>design at Stage 3</t>
        </is>
      </c>
      <c r="D234" s="2">
        <v>2</v>
      </c>
      <c r="E234" s="2"/>
    </row>
    <row r="235" spans="1:5" x14ac:dyDescent="0.25">
      <c r="A235" s="2" t="inlineStr">
        <is>
          <t>DD_STAGE_4</t>
        </is>
      </c>
      <c r="B235" s="2" t="inlineStr">
        <is>
          <t>Design development</t>
        </is>
      </c>
      <c r="C235" s="2" t="inlineStr">
        <is>
          <t>design at Stage 4</t>
        </is>
      </c>
      <c r="D235" s="2">
        <v>1</v>
      </c>
      <c r="E235" s="2"/>
    </row>
    <row r="236" spans="1:5" x14ac:dyDescent="0.25">
      <c r="A236" s="2" t="inlineStr">
        <is>
          <t>DD_NO_CONDITION_SURVEY</t>
        </is>
      </c>
      <c r="B236" s="2" t="inlineStr">
        <is>
          <t>Design development</t>
        </is>
      </c>
      <c r="C236" s="2" t="inlineStr">
        <is>
          <t>no condition survey</t>
        </is>
      </c>
      <c r="D236" s="2">
        <v>1</v>
      </c>
      <c r="E236" s="2"/>
    </row>
    <row r="237" spans="1:5" x14ac:dyDescent="0.25">
      <c r="A237" s="2" t="inlineStr">
        <is>
          <t>DD_AGEING_ME</t>
        </is>
      </c>
      <c r="B237" s="2" t="inlineStr">
        <is>
          <t>Design development</t>
        </is>
      </c>
      <c r="C237" s="2" t="inlineStr">
        <is>
          <t>ageing M&amp;E</t>
        </is>
      </c>
      <c r="D237" s="2">
        <v>1</v>
      </c>
      <c r="E237" s="2" t="inlineStr">
        <is>
          <t>Not at full systems replacement</t>
        </is>
      </c>
    </row>
    <row r="238" spans="1:5" x14ac:dyDescent="0.25">
      <c r="A238" s="2" t="inlineStr">
        <is>
          <t>DD_AGEING_ME_REPLACED</t>
        </is>
      </c>
      <c r="B238" s="2" t="inlineStr">
        <is>
          <t>Design development</t>
        </is>
      </c>
      <c r="C238" s="2" t="inlineStr">
        <is>
          <t>ageing M&amp;E (being replaced)</t>
        </is>
      </c>
      <c r="D238" s="2">
        <v>0.5</v>
      </c>
      <c r="E238" s="2" t="inlineStr">
        <is>
          <t>At full systems replacement (the replacement is priced)</t>
        </is>
      </c>
    </row>
    <row r="239" spans="1:5" x14ac:dyDescent="0.25">
      <c r="A239" s="2" t="inlineStr">
        <is>
          <t>DD_HIGHER_RISK</t>
        </is>
      </c>
      <c r="B239" s="2" t="inlineStr">
        <is>
          <t>Design development</t>
        </is>
      </c>
      <c r="C239" s="2" t="inlineStr">
        <is>
          <t>higher-risk building</t>
        </is>
      </c>
      <c r="D239" s="2">
        <v>1</v>
      </c>
      <c r="E239" s="2"/>
    </row>
    <row r="240" spans="1:5" x14ac:dyDescent="0.25">
      <c r="A240" s="2" t="inlineStr">
        <is>
          <t>CR_NEW</t>
        </is>
      </c>
      <c r="B240" s="2" t="inlineStr">
        <is>
          <t>Construction</t>
        </is>
      </c>
      <c r="C240" s="2" t="inlineStr">
        <is>
          <t>new build</t>
        </is>
      </c>
      <c r="D240" s="2">
        <v>2</v>
      </c>
      <c r="E240" s="2" t="inlineStr">
        <is>
          <t>Base: new build, external works</t>
        </is>
      </c>
    </row>
    <row r="241" spans="1:5" x14ac:dyDescent="0.25">
      <c r="A241" s="2" t="inlineStr">
        <is>
          <t>CR_EXISTING</t>
        </is>
      </c>
      <c r="B241" s="2" t="inlineStr">
        <is>
          <t>Construction</t>
        </is>
      </c>
      <c r="C241" s="2" t="inlineStr">
        <is>
          <t>existing building</t>
        </is>
      </c>
      <c r="D241" s="2">
        <v>4</v>
      </c>
      <c r="E241" s="2" t="inlineStr">
        <is>
          <t>Base: refurbishment, fit-out, extension, demolition, mixed</t>
        </is>
      </c>
    </row>
    <row r="242" spans="1:5" x14ac:dyDescent="0.25">
      <c r="A242" s="2" t="inlineStr">
        <is>
          <t>CR_ASBESTOS</t>
        </is>
      </c>
      <c r="B242" s="2" t="inlineStr">
        <is>
          <t>Construction</t>
        </is>
      </c>
      <c r="C242" s="2" t="inlineStr">
        <is>
          <t>no asbestos R&amp;D survey, removal not priced</t>
        </is>
      </c>
      <c r="D242" s="2">
        <v>2</v>
      </c>
      <c r="E242" s="2" t="inlineStr">
        <is>
          <t>Pre-2000 building or asbestos known</t>
        </is>
      </c>
    </row>
    <row r="243" spans="1:5" x14ac:dyDescent="0.25">
      <c r="A243" s="2" t="inlineStr">
        <is>
          <t>CR_ASBESTOS_PRICED</t>
        </is>
      </c>
      <c r="B243" s="2" t="inlineStr">
        <is>
          <t>Construction</t>
        </is>
      </c>
      <c r="C243" s="2" t="inlineStr">
        <is>
          <t>no asbestos R&amp;D survey, removal priced</t>
        </is>
      </c>
      <c r="D243" s="2">
        <v>1</v>
      </c>
      <c r="E243" s="2"/>
    </row>
    <row r="244" spans="1:5" x14ac:dyDescent="0.25">
      <c r="A244" s="2" t="inlineStr">
        <is>
          <t>CR_STRUCTURAL</t>
        </is>
      </c>
      <c r="B244" s="2" t="inlineStr">
        <is>
          <t>Construction</t>
        </is>
      </c>
      <c r="C244" s="2" t="inlineStr">
        <is>
          <t>structural concerns</t>
        </is>
      </c>
      <c r="D244" s="2">
        <v>1.5</v>
      </c>
      <c r="E244" s="2" t="inlineStr">
        <is>
          <t>Not priced (no repairs or alterations item)</t>
        </is>
      </c>
    </row>
    <row r="245" spans="1:5" x14ac:dyDescent="0.25">
      <c r="A245" s="2" t="inlineStr">
        <is>
          <t>CR_STRUCTURAL_PRICED</t>
        </is>
      </c>
      <c r="B245" s="2" t="inlineStr">
        <is>
          <t>Construction</t>
        </is>
      </c>
      <c r="C245" s="2" t="inlineStr">
        <is>
          <t>structural concerns (repairs priced)</t>
        </is>
      </c>
      <c r="D245" s="2">
        <v>0.75</v>
      </c>
      <c r="E245" s="2"/>
    </row>
    <row r="246" spans="1:5" x14ac:dyDescent="0.25">
      <c r="A246" s="2" t="inlineStr">
        <is>
          <t>CR_CONTAMINATED</t>
        </is>
      </c>
      <c r="B246" s="2" t="inlineStr">
        <is>
          <t>Construction</t>
        </is>
      </c>
      <c r="C246" s="2" t="inlineStr">
        <is>
          <t>contaminated land</t>
        </is>
      </c>
      <c r="D246" s="2">
        <v>1.5</v>
      </c>
      <c r="E246" s="2" t="inlineStr">
        <is>
          <t>Not priced</t>
        </is>
      </c>
    </row>
    <row r="247" spans="1:5" x14ac:dyDescent="0.25">
      <c r="A247" s="2" t="inlineStr">
        <is>
          <t>CR_CONTAMINATED_PRICED</t>
        </is>
      </c>
      <c r="B247" s="2" t="inlineStr">
        <is>
          <t>Construction</t>
        </is>
      </c>
      <c r="C247" s="2" t="inlineStr">
        <is>
          <t>contaminated land (remediation priced)</t>
        </is>
      </c>
      <c r="D247" s="2">
        <v>0.5</v>
      </c>
      <c r="E247" s="2"/>
    </row>
    <row r="248" spans="1:5" x14ac:dyDescent="0.25">
      <c r="A248" s="2" t="inlineStr">
        <is>
          <t>CR_DAMP</t>
        </is>
      </c>
      <c r="B248" s="2" t="inlineStr">
        <is>
          <t>Construction</t>
        </is>
      </c>
      <c r="C248" s="2" t="inlineStr">
        <is>
          <t>damp</t>
        </is>
      </c>
      <c r="D248" s="2">
        <v>0.5</v>
      </c>
      <c r="E248" s="2" t="inlineStr">
        <is>
          <t>0 when damp treatment is priced</t>
        </is>
      </c>
    </row>
    <row r="249" spans="1:5" x14ac:dyDescent="0.25">
      <c r="A249" s="2" t="inlineStr">
        <is>
          <t>CR_FIRE</t>
        </is>
      </c>
      <c r="B249" s="2" t="inlineStr">
        <is>
          <t>Construction</t>
        </is>
      </c>
      <c r="C249" s="2" t="inlineStr">
        <is>
          <t>fire safety issues</t>
        </is>
      </c>
      <c r="D249" s="2">
        <v>0.5</v>
      </c>
      <c r="E249" s="2" t="inlineStr">
        <is>
          <t>0 when fire stopping is priced</t>
        </is>
      </c>
    </row>
    <row r="250" spans="1:5" x14ac:dyDescent="0.25">
      <c r="A250" s="2" t="inlineStr">
        <is>
          <t>CR_DRAINAGE</t>
        </is>
      </c>
      <c r="B250" s="2" t="inlineStr">
        <is>
          <t>Construction</t>
        </is>
      </c>
      <c r="C250" s="2" t="inlineStr">
        <is>
          <t>drainage issues</t>
        </is>
      </c>
      <c r="D250" s="2">
        <v>0.5</v>
      </c>
      <c r="E250" s="2" t="inlineStr">
        <is>
          <t>0 when drainage is priced</t>
        </is>
      </c>
    </row>
    <row r="251" spans="1:5" x14ac:dyDescent="0.25">
      <c r="A251" s="2" t="inlineStr">
        <is>
          <t>CR_PRE_1980</t>
        </is>
      </c>
      <c r="B251" s="2" t="inlineStr">
        <is>
          <t>Construction</t>
        </is>
      </c>
      <c r="C251" s="2" t="inlineStr">
        <is>
          <t>pre-1980 building</t>
        </is>
      </c>
      <c r="D251" s="2">
        <v>0.5</v>
      </c>
      <c r="E251" s="2" t="inlineStr">
        <is>
          <t>Existing buildings only</t>
        </is>
      </c>
    </row>
    <row r="252" spans="1:5" x14ac:dyDescent="0.25">
      <c r="A252" s="2" t="inlineStr">
        <is>
          <t>EC_STAGE_0_1</t>
        </is>
      </c>
      <c r="B252" s="2" t="inlineStr">
        <is>
          <t>Employer change</t>
        </is>
      </c>
      <c r="C252" s="2" t="inlineStr">
        <is>
          <t>design at Stage 0–1</t>
        </is>
      </c>
      <c r="D252" s="2">
        <v>3</v>
      </c>
      <c r="E252" s="2" t="inlineStr">
        <is>
          <t>Base</t>
        </is>
      </c>
    </row>
    <row r="253" spans="1:5" x14ac:dyDescent="0.25">
      <c r="A253" s="2" t="inlineStr">
        <is>
          <t>EC_LATER</t>
        </is>
      </c>
      <c r="B253" s="2" t="inlineStr">
        <is>
          <t>Employer change</t>
        </is>
      </c>
      <c r="C253" s="2" t="inlineStr">
        <is>
          <t>design past Stage 1</t>
        </is>
      </c>
      <c r="D253" s="2">
        <v>2</v>
      </c>
      <c r="E253" s="2" t="inlineStr">
        <is>
          <t>Base</t>
        </is>
      </c>
    </row>
    <row r="254" spans="1:5" x14ac:dyDescent="0.25">
      <c r="A254" s="2" t="inlineStr">
        <is>
          <t>EO_BASE</t>
        </is>
      </c>
      <c r="B254" s="2" t="inlineStr">
        <is>
          <t>Employer other</t>
        </is>
      </c>
      <c r="C254" s="2" t="inlineStr">
        <is>
          <t>base</t>
        </is>
      </c>
      <c r="D254" s="2">
        <v>1</v>
      </c>
      <c r="E254" s="2" t="inlineStr">
        <is>
          <t>Base</t>
        </is>
      </c>
    </row>
    <row r="255" spans="1:5" x14ac:dyDescent="0.25">
      <c r="A255" s="2" t="inlineStr">
        <is>
          <t>EO_PLANNING_UNSURE</t>
        </is>
      </c>
      <c r="B255" s="2" t="inlineStr">
        <is>
          <t>Employer other</t>
        </is>
      </c>
      <c r="C255" s="2" t="inlineStr">
        <is>
          <t>planning route unsure</t>
        </is>
      </c>
      <c r="D255" s="2">
        <v>0.5</v>
      </c>
      <c r="E255" s="2"/>
    </row>
    <row r="256" spans="1:5" x14ac:dyDescent="0.25">
      <c r="A256" s="2" t="inlineStr">
        <is>
          <t>EO_GRANT</t>
        </is>
      </c>
      <c r="B256" s="2" t="inlineStr">
        <is>
          <t>Employer other</t>
        </is>
      </c>
      <c r="C256" s="2" t="inlineStr">
        <is>
          <t>grant funding</t>
        </is>
      </c>
      <c r="D256" s="2">
        <v>0.5</v>
      </c>
      <c r="E256" s="2"/>
    </row>
    <row r="257" spans="1:5" x14ac:dyDescent="0.25">
      <c r="A257" s="2" t="inlineStr">
        <is>
          <t>EO_HERITAGE</t>
        </is>
      </c>
      <c r="B257" s="2" t="inlineStr">
        <is>
          <t>Employer other</t>
        </is>
      </c>
      <c r="C257" s="2" t="inlineStr">
        <is>
          <t>listed or conservation area</t>
        </is>
      </c>
      <c r="D257" s="2">
        <v>0.5</v>
      </c>
      <c r="E257" s="2"/>
    </row>
    <row r="258" spans="1:5" x14ac:dyDescent="0.25">
      <c r="A258" s="2" t="inlineStr">
        <is>
          <t>CAP</t>
        </is>
      </c>
      <c r="B258" s="2" t="inlineStr">
        <is>
          <t>All</t>
        </is>
      </c>
      <c r="C258" s="2" t="inlineStr">
        <is>
          <t>total risk allowance cap</t>
        </is>
      </c>
      <c r="D258" s="2">
        <v>25</v>
      </c>
      <c r="E258"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t="s">
        <v>1791</v>
      </c>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t="s">
        <v>1792</v>
      </c>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t="s">
        <v>1792</v>
      </c>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t="s">
        <v>1792</v>
      </c>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t="s">
        <v>1793</v>
      </c>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t="s">
        <v>1794</v>
      </c>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t="s">
        <v>1794</v>
      </c>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