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abil\estates-ai-tool\"/>
    </mc:Choice>
  </mc:AlternateContent>
  <xr:revisionPtr revIDLastSave="0" documentId="13_ncr:1_{D34D8564-CBDA-4FC5-ADDE-F5C9F9BFC5E7}" xr6:coauthVersionLast="47" xr6:coauthVersionMax="47" xr10:uidLastSave="{00000000-0000-0000-0000-000000000000}"/>
  <bookViews>
    <workbookView xWindow="2250" yWindow="2250" windowWidth="21600" windowHeight="11295" tabRatio="500" xr2:uid="{00000000-000D-0000-FFFF-FFFF00000000}"/>
  </bookViews>
  <sheets>
    <sheet name="1. Instructions" sheetId="6" r:id="rId1"/>
    <sheet name="2. Rates" sheetId="4" r:id="rId2"/>
    <sheet name="3. Settings" sheetId="3" r:id="rId3"/>
    <sheet name="4. Scope rules" sheetId="5" r:id="rId4"/>
  </sheets>
  <definedNames>
    <definedName name="_xlnm._FilterDatabase" localSheetId="1" hidden="1">'2. Rates'!$A$5:$O$159</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L19" i="4" l="1"/>
  <c r="K19" i="4"/>
  <c r="I19" i="4"/>
  <c r="Z152" i="4"/>
  <c r="Z142" i="4"/>
  <c r="Z141" i="4"/>
  <c r="Z136" i="4"/>
  <c r="L135" i="4"/>
  <c r="K135" i="4"/>
  <c r="J135" i="4"/>
  <c r="I135" i="4"/>
  <c r="H135" i="4"/>
  <c r="L134" i="4"/>
  <c r="K134" i="4"/>
  <c r="J134" i="4"/>
  <c r="I134" i="4"/>
  <c r="H134" i="4"/>
  <c r="Z133" i="4"/>
  <c r="Z131" i="4"/>
  <c r="Z130" i="4"/>
  <c r="Z112" i="4"/>
  <c r="Z111" i="4"/>
  <c r="Z110" i="4"/>
  <c r="Z109" i="4"/>
  <c r="Z106" i="4"/>
  <c r="L98" i="4"/>
  <c r="K98" i="4"/>
  <c r="J98" i="4"/>
  <c r="I98" i="4"/>
  <c r="H98" i="4"/>
  <c r="Z97" i="4"/>
  <c r="Z95" i="4"/>
  <c r="Z94" i="4"/>
  <c r="Z90" i="4"/>
  <c r="Z89" i="4"/>
  <c r="Z88" i="4"/>
  <c r="Z87" i="4"/>
  <c r="Z86" i="4"/>
  <c r="Z85" i="4"/>
  <c r="L82" i="4"/>
  <c r="K82" i="4"/>
  <c r="J82" i="4"/>
  <c r="I82" i="4"/>
  <c r="H82" i="4"/>
  <c r="L81" i="4"/>
  <c r="K81" i="4"/>
  <c r="J81" i="4"/>
  <c r="I81" i="4"/>
  <c r="H81" i="4"/>
  <c r="L78" i="4"/>
  <c r="K78" i="4"/>
  <c r="J78" i="4"/>
  <c r="I78" i="4"/>
  <c r="H78" i="4"/>
  <c r="L77" i="4"/>
  <c r="K77" i="4"/>
  <c r="J77" i="4"/>
  <c r="I77" i="4"/>
  <c r="H77" i="4"/>
  <c r="L76" i="4"/>
  <c r="K76" i="4"/>
  <c r="J76" i="4"/>
  <c r="I76" i="4"/>
  <c r="H76" i="4"/>
  <c r="L75" i="4"/>
  <c r="K75" i="4"/>
  <c r="J75" i="4"/>
  <c r="I75" i="4"/>
  <c r="H75" i="4"/>
  <c r="L74" i="4"/>
  <c r="L83" i="4" s="1"/>
  <c r="K74" i="4"/>
  <c r="K84" i="4" s="1"/>
  <c r="J74" i="4"/>
  <c r="J84" i="4" s="1"/>
  <c r="I74" i="4"/>
  <c r="I84" i="4" s="1"/>
  <c r="H74" i="4"/>
  <c r="H84" i="4" s="1"/>
  <c r="Z73" i="4"/>
  <c r="L72" i="4"/>
  <c r="L80" i="4" s="1"/>
  <c r="K72" i="4"/>
  <c r="K80" i="4" s="1"/>
  <c r="J72" i="4"/>
  <c r="J80" i="4" s="1"/>
  <c r="I72" i="4"/>
  <c r="I79" i="4" s="1"/>
  <c r="H72" i="4"/>
  <c r="H79" i="4" s="1"/>
  <c r="Z71" i="4"/>
  <c r="Z62" i="4"/>
  <c r="Z56" i="4"/>
  <c r="Z55" i="4"/>
  <c r="Z54" i="4"/>
  <c r="Z53" i="4"/>
  <c r="Z50" i="4"/>
  <c r="Z48" i="4"/>
  <c r="Z47" i="4"/>
  <c r="Z45" i="4"/>
  <c r="Z44" i="4"/>
  <c r="Z43" i="4"/>
  <c r="Z41" i="4"/>
  <c r="Z40" i="4"/>
  <c r="Z38" i="4"/>
  <c r="Z37" i="4"/>
  <c r="Z36" i="4"/>
  <c r="Z34" i="4"/>
  <c r="Z32" i="4"/>
  <c r="Z31" i="4"/>
  <c r="Z29" i="4"/>
  <c r="L18" i="4"/>
  <c r="K18" i="4"/>
  <c r="I18" i="4"/>
  <c r="Z13" i="4"/>
  <c r="Z9" i="4"/>
  <c r="Z8" i="4"/>
  <c r="Z7" i="4"/>
  <c r="C78" i="6"/>
  <c r="C77" i="6"/>
  <c r="C74" i="6"/>
  <c r="C73" i="6"/>
  <c r="C72" i="6"/>
  <c r="C71" i="6"/>
  <c r="C70" i="6"/>
  <c r="C69" i="6"/>
  <c r="C68" i="6"/>
  <c r="C67" i="6"/>
  <c r="C66" i="6"/>
  <c r="C65" i="6"/>
  <c r="C64" i="6"/>
  <c r="C63" i="6"/>
  <c r="C62" i="6"/>
  <c r="I80" i="4" l="1"/>
  <c r="J79" i="4"/>
  <c r="K83" i="4"/>
  <c r="K79" i="4"/>
  <c r="J83" i="4"/>
  <c r="L84" i="4"/>
  <c r="I83" i="4"/>
  <c r="L79" i="4"/>
  <c r="H83" i="4"/>
  <c r="H80" i="4"/>
</calcChain>
</file>

<file path=xl/sharedStrings.xml><?xml version="1.0" encoding="utf-8"?>
<sst xmlns="http://schemas.openxmlformats.org/spreadsheetml/2006/main" count="4737" uniqueCount="2067">
  <si>
    <t>3. Settings</t>
  </si>
  <si>
    <t>1. Instructions</t>
  </si>
  <si>
    <t>Needs a code change</t>
  </si>
  <si>
    <t>RES Residential · STU Student · OFF Commercial offices · EDU Education · HEA Healthcare · RET Retail · IND Industrial / warehouse · HOS Hospitality / leisure · MIX Mixed use · OTH Other · ALL any building use.</t>
  </si>
  <si>
    <t>Other conditions</t>
  </si>
  <si>
    <t>Options: pick</t>
  </si>
  <si>
    <t>When selected</t>
  </si>
  <si>
    <t>HOW TO CHANGE THINGS</t>
  </si>
  <si>
    <t>Add an option</t>
  </si>
  <si>
    <t>After any change</t>
  </si>
  <si>
    <t>AI estimate – verify</t>
  </si>
  <si>
    <t>SELF-CHECKS (each should be 0)</t>
  </si>
  <si>
    <t>Unknown project type codes</t>
  </si>
  <si>
    <t>Unknown building use codes</t>
  </si>
  <si>
    <t>Items with no default option</t>
  </si>
  <si>
    <t>Ratio keys with no ALL row</t>
  </si>
  <si>
    <t>Ratios with no value</t>
  </si>
  <si>
    <t>COUNTS</t>
  </si>
  <si>
    <t>Scope items</t>
  </si>
  <si>
    <t>1</t>
  </si>
  <si>
    <t>2</t>
  </si>
  <si>
    <t>4</t>
  </si>
  <si>
    <t>UPDATE LOG</t>
  </si>
  <si>
    <t>v5.2 — 23 Sept 2026</t>
  </si>
  <si>
    <t>Brief decisions confirmed: loose furniture moved into the construction total (BCIS 4.1); number of storeys read from the existing question.</t>
  </si>
  <si>
    <t>v5.2 — Sept 2026</t>
  </si>
  <si>
    <t>Ready for Claude Code. Quantity rules written in a coded form the app can run, with named ratios and inputs on '3. Settings'. 'Options: pick' (One / Several) added. Band items default to Medium. Other conditions use the same names. Rate columns per project type and spec level, and benchmark codes, made machine-readable. 'Group 0?' column, redundant notes and old-code references removed.</t>
  </si>
  <si>
    <t>v5.1 — Sept 2026</t>
  </si>
  <si>
    <t>Reduced to three sheets. Scope items, rates, rules, intervention defaults, BCIS mapping, dependencies and old codes merged into '2. Scope and Rates'. All settings tables stacked on '3. Settings'. Drop-down validation and self-checks added.</t>
  </si>
  <si>
    <t>v5.0 — Sept 2026</t>
  </si>
  <si>
    <t>Scope library merged with the v4.5 Master Cost Table. Permanent Scope IDs. Every rate tagged with its source.</t>
  </si>
  <si>
    <t>v4.5 — June 2026</t>
  </si>
  <si>
    <t>Q2.2 trigger column removed from the Master Cost Table (see v4.5 file for earlier logs).</t>
  </si>
  <si>
    <t>Rate key</t>
  </si>
  <si>
    <t>Scope ID</t>
  </si>
  <si>
    <t>Group</t>
  </si>
  <si>
    <t>Section</t>
  </si>
  <si>
    <t>Item</t>
  </si>
  <si>
    <t>What's included</t>
  </si>
  <si>
    <t>Option</t>
  </si>
  <si>
    <t>Default option</t>
  </si>
  <si>
    <t>Unit</t>
  </si>
  <si>
    <t>Pricing type</t>
  </si>
  <si>
    <t>Quantity rule</t>
  </si>
  <si>
    <t>Available from intervention level</t>
  </si>
  <si>
    <t>Pre-ticked at intervention levels</t>
  </si>
  <si>
    <t>Apply band + location factor</t>
  </si>
  <si>
    <t>Source detail</t>
  </si>
  <si>
    <t>Shown on (project type codes)</t>
  </si>
  <si>
    <t>Pre-ticked on (project type codes)</t>
  </si>
  <si>
    <t>Relevant building uses (codes)</t>
  </si>
  <si>
    <t>When selected (dependencies)</t>
  </si>
  <si>
    <t>BCIS element 1</t>
  </si>
  <si>
    <t>Share 1</t>
  </si>
  <si>
    <t>BCIS element 2</t>
  </si>
  <si>
    <t>Share 2</t>
  </si>
  <si>
    <t>Replaces old codes</t>
  </si>
  <si>
    <t>Notes</t>
  </si>
  <si>
    <t>S-0001-01</t>
  </si>
  <si>
    <t>S-0001</t>
  </si>
  <si>
    <t>0 Facilitating works</t>
  </si>
  <si>
    <t>—</t>
  </si>
  <si>
    <t>Asbestos removal</t>
  </si>
  <si>
    <t>One</t>
  </si>
  <si>
    <t>Standard</t>
  </si>
  <si>
    <t>ALL</t>
  </si>
  <si>
    <t>Yes</t>
  </si>
  <si>
    <t>gifa_rate</t>
  </si>
  <si>
    <t>v4.5 0.1 for Refurbishment and Extension. New Build and External works columns were 0 in v4.5; set to the Refurbishment Std/High values (AI adjustment) so asbestos in a building being demolished is priced</t>
  </si>
  <si>
    <t>NB EX RF FO EW DM OM</t>
  </si>
  <si>
    <t>AGE&lt;2000 &amp; PT=RF FO DM → tick</t>
  </si>
  <si>
    <t>0.1</t>
  </si>
  <si>
    <t>S-0002-01</t>
  </si>
  <si>
    <t>S-0002</t>
  </si>
  <si>
    <t>Demolition of existing building</t>
  </si>
  <si>
    <t>m² demolished</t>
  </si>
  <si>
    <t>DEMOLISHED</t>
  </si>
  <si>
    <t>v4.5 0.2 Refurbishment rates applied to every column: demolition cost doesn't depend on what replaces the building. v4.5 0.2 also covered structural alterations, now in Alterations</t>
  </si>
  <si>
    <t>NB EX EW DM OM</t>
  </si>
  <si>
    <t>DM</t>
  </si>
  <si>
    <t>SUGGEST: S-0001 Asbestos removal · ASSUME (NB): demolished area = new GIFA unless entered</t>
  </si>
  <si>
    <t>0.2</t>
  </si>
  <si>
    <t>S-0003-01</t>
  </si>
  <si>
    <t>S-0003</t>
  </si>
  <si>
    <t>Strip-out</t>
  </si>
  <si>
    <t>GIFA</t>
  </si>
  <si>
    <t>1, 2, 3, 4</t>
  </si>
  <si>
    <t>RF FO OM</t>
  </si>
  <si>
    <t>0.5</t>
  </si>
  <si>
    <t>S-0004-01</t>
  </si>
  <si>
    <t>S-0004</t>
  </si>
  <si>
    <t>Contaminated land</t>
  </si>
  <si>
    <t>IF(PT=EW, EXT_AREA, GIFA)</t>
  </si>
  <si>
    <t>v4.5 0.3. No source recorded in v4.5</t>
  </si>
  <si>
    <t>0.3</t>
  </si>
  <si>
    <t>S-0005-01</t>
  </si>
  <si>
    <t>S-0005</t>
  </si>
  <si>
    <t>Ground improvement</t>
  </si>
  <si>
    <t>FOOTPRINT</t>
  </si>
  <si>
    <t>NB EX EW OM</t>
  </si>
  <si>
    <t>0.4</t>
  </si>
  <si>
    <t>S-0006-01</t>
  </si>
  <si>
    <t>S-0006</t>
  </si>
  <si>
    <t>Tree removal</t>
  </si>
  <si>
    <t>nr trees</t>
  </si>
  <si>
    <t>per_nr</t>
  </si>
  <si>
    <t>ENTER</t>
  </si>
  <si>
    <t>No</t>
  </si>
  <si>
    <t>AI estimate: felling and stump removal per tree. Spec level stands in for tree size. Not in v4.5</t>
  </si>
  <si>
    <t>8.1</t>
  </si>
  <si>
    <t>0.6</t>
  </si>
  <si>
    <t>S-0007-01</t>
  </si>
  <si>
    <t>S-0007</t>
  </si>
  <si>
    <t>Service diversions</t>
  </si>
  <si>
    <t>Size: Small</t>
  </si>
  <si>
    <t>band</t>
  </si>
  <si>
    <t>per_item</t>
  </si>
  <si>
    <t>0.7</t>
  </si>
  <si>
    <t>Size: Medium</t>
  </si>
  <si>
    <t>Size: Large</t>
  </si>
  <si>
    <t>S-0008-01</t>
  </si>
  <si>
    <t>S-0008</t>
  </si>
  <si>
    <t>1 Substructure</t>
  </si>
  <si>
    <t>Foundations</t>
  </si>
  <si>
    <t>Type: Standard</t>
  </si>
  <si>
    <t>footprint_rate</t>
  </si>
  <si>
    <t>v4.5 1.1. No source recorded in v4.5</t>
  </si>
  <si>
    <t>NB EX OM</t>
  </si>
  <si>
    <t>NB EX</t>
  </si>
  <si>
    <t>1.1</t>
  </si>
  <si>
    <t>1.1, 1.2</t>
  </si>
  <si>
    <t>S-0008-02</t>
  </si>
  <si>
    <t>Type: Piled</t>
  </si>
  <si>
    <t>v4.5 1.2. No source recorded in v4.5</t>
  </si>
  <si>
    <t>S-0008-03</t>
  </si>
  <si>
    <t>Type: Not sure</t>
  </si>
  <si>
    <t>Prices as Standard foundations and raises a piling risk (Dependencies)</t>
  </si>
  <si>
    <t>RISK: piling may be required</t>
  </si>
  <si>
    <t>S-0009-01</t>
  </si>
  <si>
    <t>S-0009</t>
  </si>
  <si>
    <t>Ground floor slab</t>
  </si>
  <si>
    <t>v4.5 1.3. No source recorded in v4.5</t>
  </si>
  <si>
    <t>1.3</t>
  </si>
  <si>
    <t>S-0010-01</t>
  </si>
  <si>
    <t>S-0010</t>
  </si>
  <si>
    <t>Basement</t>
  </si>
  <si>
    <t>m² basement</t>
  </si>
  <si>
    <t>v4.5 1.4 (900 / 1,600) plus an AI allowance of £100 / £150 per m² for tanking, which moved here from retired 2.9</t>
  </si>
  <si>
    <t>ASSUME: excavation, retaining walls and tanking included · RISK: groundwater and dewatering</t>
  </si>
  <si>
    <t>1.4, 2.9, 2.10</t>
  </si>
  <si>
    <t>S-0011-01</t>
  </si>
  <si>
    <t>S-0011</t>
  </si>
  <si>
    <t>2 Superstructure and envelope</t>
  </si>
  <si>
    <t>Structure</t>
  </si>
  <si>
    <t>Frame</t>
  </si>
  <si>
    <t>v4.5 2.1. No source recorded in v4.5</t>
  </si>
  <si>
    <t>2.1</t>
  </si>
  <si>
    <t>S-0012-01</t>
  </si>
  <si>
    <t>S-0012</t>
  </si>
  <si>
    <t>Upper floors</t>
  </si>
  <si>
    <t>upperfloors_rate</t>
  </si>
  <si>
    <t>UPPER</t>
  </si>
  <si>
    <t>v4.5 2.2. No source recorded in v4.5</t>
  </si>
  <si>
    <t>STOREYS&lt;2 → untick</t>
  </si>
  <si>
    <t>2.2</t>
  </si>
  <si>
    <t>S-0013-01</t>
  </si>
  <si>
    <t>S-0013</t>
  </si>
  <si>
    <t>Stairs and ramps</t>
  </si>
  <si>
    <t>v4.5 2.4. No source recorded in v4.5</t>
  </si>
  <si>
    <t>NB EX RF OM</t>
  </si>
  <si>
    <t>2.4</t>
  </si>
  <si>
    <t>S-0014-01</t>
  </si>
  <si>
    <t>S-0014</t>
  </si>
  <si>
    <t>Mezzanine floor</t>
  </si>
  <si>
    <t>m² mezzanine</t>
  </si>
  <si>
    <t>area_rate</t>
  </si>
  <si>
    <t>AI estimate per m² of mezzanine floor. v4.5 6.2 was priced per m² of whole-building GIFA, so it isn't comparable</t>
  </si>
  <si>
    <t>NB EX RF FO OM</t>
  </si>
  <si>
    <t>OFF EDU RET IND</t>
  </si>
  <si>
    <t>2.12, 6.2</t>
  </si>
  <si>
    <t>S-0015-01</t>
  </si>
  <si>
    <t>S-0015</t>
  </si>
  <si>
    <t>Roof and walls</t>
  </si>
  <si>
    <t>Roof</t>
  </si>
  <si>
    <t>2.3</t>
  </si>
  <si>
    <t>S-0016-01</t>
  </si>
  <si>
    <t>S-0016</t>
  </si>
  <si>
    <t>External walls</t>
  </si>
  <si>
    <t>2.5</t>
  </si>
  <si>
    <t>S-0017-01</t>
  </si>
  <si>
    <t>S-0017</t>
  </si>
  <si>
    <t>Windows and external doors</t>
  </si>
  <si>
    <t>v4.5 2.6. No source recorded in v4.5</t>
  </si>
  <si>
    <t>2.6</t>
  </si>
  <si>
    <t>S-0018-01</t>
  </si>
  <si>
    <t>S-0018</t>
  </si>
  <si>
    <t>Internal walls and doors</t>
  </si>
  <si>
    <t>Internal walls</t>
  </si>
  <si>
    <t>v4.5 2.7. No source recorded in v4.5</t>
  </si>
  <si>
    <t>2.7</t>
  </si>
  <si>
    <t>S-0019-01</t>
  </si>
  <si>
    <t>S-0019</t>
  </si>
  <si>
    <t>Internal doors</t>
  </si>
  <si>
    <t>v4.5 2.8. No source recorded in v4.5</t>
  </si>
  <si>
    <t>2.8</t>
  </si>
  <si>
    <t>S-0020-01</t>
  </si>
  <si>
    <t>S-0020</t>
  </si>
  <si>
    <t>Fire stopping</t>
  </si>
  <si>
    <t>3, 4</t>
  </si>
  <si>
    <t>AI estimate: fire stopping and compartmentation upgrade in an existing building. Not in v4.5</t>
  </si>
  <si>
    <t>EX RF FO OM</t>
  </si>
  <si>
    <t>2.11</t>
  </si>
  <si>
    <t>S-0021-01</t>
  </si>
  <si>
    <t>S-0021</t>
  </si>
  <si>
    <t>3 Internal finishes</t>
  </si>
  <si>
    <t>Wall finishes</t>
  </si>
  <si>
    <t>v4.5 3.1. No source recorded in v4.5</t>
  </si>
  <si>
    <t>3.1</t>
  </si>
  <si>
    <t>2.9, 3.1</t>
  </si>
  <si>
    <t>S-0022-01</t>
  </si>
  <si>
    <t>S-0022</t>
  </si>
  <si>
    <t>Floor finishes</t>
  </si>
  <si>
    <t>Raised access floor: No</t>
  </si>
  <si>
    <t>v4.5 3.2. No source recorded in v4.5</t>
  </si>
  <si>
    <t>3.2</t>
  </si>
  <si>
    <t>2.9, 3.2</t>
  </si>
  <si>
    <t>S-0022-02</t>
  </si>
  <si>
    <t>Raised access floor: Yes</t>
  </si>
  <si>
    <t>v4.5 3.2 plus an AI allowance of £45/m² for raised access floor</t>
  </si>
  <si>
    <t>S-0023-01</t>
  </si>
  <si>
    <t>S-0023</t>
  </si>
  <si>
    <t>Ceiling finishes</t>
  </si>
  <si>
    <t>v4.5 3.3. No source recorded in v4.5</t>
  </si>
  <si>
    <t>3.3</t>
  </si>
  <si>
    <t>S-0024-01</t>
  </si>
  <si>
    <t>S-0024</t>
  </si>
  <si>
    <t>4 Toilets, kitchens and fittings</t>
  </si>
  <si>
    <t>Toilets, bathrooms and kitchens</t>
  </si>
  <si>
    <t>Toilets</t>
  </si>
  <si>
    <t>Several</t>
  </si>
  <si>
    <t>nr</t>
  </si>
  <si>
    <t>ROUND(GIFA / r.m2_per_person / r.persons_per_wc, 0)</t>
  </si>
  <si>
    <t>OFF EDU HEA RET IND HOS</t>
  </si>
  <si>
    <t>5.1</t>
  </si>
  <si>
    <t>4.2-COM, 4.2-HC, 4.2-HP, 4.31-NR, 4.32-HOH, 5.30-NR</t>
  </si>
  <si>
    <t>HOS</t>
  </si>
  <si>
    <t>HEA</t>
  </si>
  <si>
    <t>S-0024-04</t>
  </si>
  <si>
    <t>Accessible</t>
  </si>
  <si>
    <t>STOREYS * r.accessible_wc_per_floor</t>
  </si>
  <si>
    <t>AI estimate: Doc M pack, grab rails, alarm and larger cubicle. Not in v4.5</t>
  </si>
  <si>
    <t>S-0024-05</t>
  </si>
  <si>
    <t>AI estimate per Changing Places facility (hoist, adult changing bench, peninsular WC). Not in v4.5</t>
  </si>
  <si>
    <t>S-0025-01</t>
  </si>
  <si>
    <t>S-0025</t>
  </si>
  <si>
    <t>Bathrooms and en-suites</t>
  </si>
  <si>
    <t>ROUND(IF(USE=STU, GIFA / r.m2_per_bed, IF(USE=HOS, GIFA / r.m2_per_key, GIFA / r.m2_per_dwelling * r.bathrooms_per_dwelling)), 0)</t>
  </si>
  <si>
    <t>RES STU HOS</t>
  </si>
  <si>
    <t>4.2-HG, 4.2-RES, 6.3</t>
  </si>
  <si>
    <t>S-0025-02</t>
  </si>
  <si>
    <t>v4.5 4.2-HG. No source recorded in v4.5</t>
  </si>
  <si>
    <t>S-0026-01</t>
  </si>
  <si>
    <t>S-0026</t>
  </si>
  <si>
    <t>Showers</t>
  </si>
  <si>
    <t>AI estimate per shower: tray, screen, valve and fittings. Not in v4.5</t>
  </si>
  <si>
    <t>4.41</t>
  </si>
  <si>
    <t>S-0027-01</t>
  </si>
  <si>
    <t>S-0027</t>
  </si>
  <si>
    <t>Kitchens</t>
  </si>
  <si>
    <t>Type: Domestic kitchen</t>
  </si>
  <si>
    <t>ROUND(IF(USE=RES, GIFA / r.m2_per_dwelling, IF(USE=STU, GIFA / r.m2_per_bed / r.beds_per_kitchen, STOREYS * r.tea_points_per_floor)), 0)</t>
  </si>
  <si>
    <t>4.2</t>
  </si>
  <si>
    <t>4.3, 4.3-NR, 4.3-RES, 4.42</t>
  </si>
  <si>
    <t>S-0027-02</t>
  </si>
  <si>
    <t>AI estimate for a staff kitchenette. v4.5 4.3 combined domestic kitchen and break-out</t>
  </si>
  <si>
    <t>S-0028-01</t>
  </si>
  <si>
    <t>S-0028</t>
  </si>
  <si>
    <t>Fittings and furniture</t>
  </si>
  <si>
    <t>Fixed joinery</t>
  </si>
  <si>
    <t>v4.5 4.1. No source recorded in v4.5</t>
  </si>
  <si>
    <t>4.1</t>
  </si>
  <si>
    <t>S-0029-01</t>
  </si>
  <si>
    <t>S-0029</t>
  </si>
  <si>
    <t>Signage</t>
  </si>
  <si>
    <t>v4.5 4.5. No source recorded in v4.5</t>
  </si>
  <si>
    <t>4.4</t>
  </si>
  <si>
    <t>4.5</t>
  </si>
  <si>
    <t>S-0030-01</t>
  </si>
  <si>
    <t>S-0030</t>
  </si>
  <si>
    <t>AV equipment</t>
  </si>
  <si>
    <t>v4.5 4.22 £/room (v4.5 cites Kinly 2025, not verified) ÷ 200 m² GIFA per AV room (assumption)</t>
  </si>
  <si>
    <t>OFF EDU HEA HOS</t>
  </si>
  <si>
    <t>5.12</t>
  </si>
  <si>
    <t>4.22</t>
  </si>
  <si>
    <t>S-0031-01</t>
  </si>
  <si>
    <t>S-0031</t>
  </si>
  <si>
    <t>Loose furniture</t>
  </si>
  <si>
    <t>4.6, 4.7, 4.8, 4.9, 4.33</t>
  </si>
  <si>
    <t>S-0031-02</t>
  </si>
  <si>
    <t>RES</t>
  </si>
  <si>
    <t>v4.5 4.6 furniture + 4.9 white goods per flat (cite BCIS Q1 2026, not verified) ÷ 70 m² per flat (assumption)</t>
  </si>
  <si>
    <t>S-0031-03</t>
  </si>
  <si>
    <t>STU</t>
  </si>
  <si>
    <t>v4.5 4.6 per room (cites BCIS Q1 2026, not verified) ÷ 25 m² GIFA per student bed (assumption)</t>
  </si>
  <si>
    <t>S-0031-04</t>
  </si>
  <si>
    <t>v4.5 4.8 per hotel room (cites C&amp;W 2025, not verified) ÷ 40 m² GIFA per key (assumption)</t>
  </si>
  <si>
    <t>S-0032-01</t>
  </si>
  <si>
    <t>S-0032</t>
  </si>
  <si>
    <t>Specialist equipment</t>
  </si>
  <si>
    <t>Catering kitchen</t>
  </si>
  <si>
    <t>GIFA * r.pct_catering</t>
  </si>
  <si>
    <t>v4.5 4.10 equipment + 4.11 canopy (per kitchen) ÷ 60 m² typical kitchen (assumption), plus 5.23 grease/drainage per m². Sources cited in v4.5: CEDA 2024, BESA Q2 2026, ACO 2025 (not verified)</t>
  </si>
  <si>
    <t>STU OFF EDU HEA RET IND HOS</t>
  </si>
  <si>
    <t>ASSUME: extract canopy and grease trap included</t>
  </si>
  <si>
    <t>5.2</t>
  </si>
  <si>
    <t>4.10, 4.11, 4.12, 4.16, 4.34</t>
  </si>
  <si>
    <t>S-0033-01</t>
  </si>
  <si>
    <t>S-0033</t>
  </si>
  <si>
    <t>Laboratory</t>
  </si>
  <si>
    <t>m² lab</t>
  </si>
  <si>
    <t>GIFA * r.pct_lab</t>
  </si>
  <si>
    <t>EDU HEA IND</t>
  </si>
  <si>
    <t>SUGGEST: S-0059 Fume extraction</t>
  </si>
  <si>
    <t>4.3</t>
  </si>
  <si>
    <t>4.20, 4.21, 4.36</t>
  </si>
  <si>
    <t>S-0034-01</t>
  </si>
  <si>
    <t>S-0034</t>
  </si>
  <si>
    <t>Clinical</t>
  </si>
  <si>
    <t>m² clinical</t>
  </si>
  <si>
    <t>GIFA * r.pct_clinical</t>
  </si>
  <si>
    <t>SUGGEST: S-0061 Medical gases</t>
  </si>
  <si>
    <t>4.19, 4.37</t>
  </si>
  <si>
    <t>S-0035-01</t>
  </si>
  <si>
    <t>S-0035</t>
  </si>
  <si>
    <t>Retail</t>
  </si>
  <si>
    <t>m² sales area</t>
  </si>
  <si>
    <t>IF(USE=RET, GIFA, ENTER)</t>
  </si>
  <si>
    <t>v4.5 4.24 display per m² + 4.25 tills (1 per 100 m²) + 4.27 EAS (1 per 300 m²), assumptions. Fitting rooms: use Other / specialist</t>
  </si>
  <si>
    <t>RET</t>
  </si>
  <si>
    <t>4.24, 4.25, 4.27, 4.35</t>
  </si>
  <si>
    <t>S-0036-01</t>
  </si>
  <si>
    <t>S-0036</t>
  </si>
  <si>
    <t>Warehouse</t>
  </si>
  <si>
    <t>IF(USE=IND, GIFA, ENTER)</t>
  </si>
  <si>
    <t>v4.5 4.13 racking ÷ 2,000 m² + 4.14 dock leveller and 4.15 door per 1,000 m² (assumptions). v4.5 cites SEMA, Thorworld, Hormann (not verified)</t>
  </si>
  <si>
    <t>IND</t>
  </si>
  <si>
    <t>4.13, 4.14, 4.15, 4.38</t>
  </si>
  <si>
    <t>S-0037-01</t>
  </si>
  <si>
    <t>S-0037</t>
  </si>
  <si>
    <t>Sports</t>
  </si>
  <si>
    <t>m² sports area</t>
  </si>
  <si>
    <t>v4.5 4.28 gym equipment per m² + 20% of area as changing at 4.30 rate (assumption)</t>
  </si>
  <si>
    <t>EDU HOS</t>
  </si>
  <si>
    <t>4.28, 4.30, 4.39</t>
  </si>
  <si>
    <t>S-0038-01</t>
  </si>
  <si>
    <t>S-0038</t>
  </si>
  <si>
    <t>Cleanroom</t>
  </si>
  <si>
    <t>m² cleanroom</t>
  </si>
  <si>
    <t>v4.5 6.4. v4.5 cites: ISO 14644, M+W 2025 (not verified)</t>
  </si>
  <si>
    <t>5.13</t>
  </si>
  <si>
    <t>4.44, 6.4</t>
  </si>
  <si>
    <t>S-0039-01</t>
  </si>
  <si>
    <t>S-0039</t>
  </si>
  <si>
    <t>5 Services</t>
  </si>
  <si>
    <t>Mechanical</t>
  </si>
  <si>
    <t>Heating and hot water</t>
  </si>
  <si>
    <t>System: Gas boiler · Scope: Full system</t>
  </si>
  <si>
    <t>5.5</t>
  </si>
  <si>
    <t>5.6</t>
  </si>
  <si>
    <t>5.2, 5.2L, 5.5</t>
  </si>
  <si>
    <t>S-0039-02</t>
  </si>
  <si>
    <t>System: Air source heat pump · Scope: Full system</t>
  </si>
  <si>
    <t>Gas boiler full system × 1.3 (AI factor for air source heat pump)</t>
  </si>
  <si>
    <t>RISK: electrical capacity and DNO check · RATE: Electricity supply upgrade one band up · ASSUME: external plant space included</t>
  </si>
  <si>
    <t>S-0039-03</t>
  </si>
  <si>
    <t>System: Ground source heat pump · Scope: Full system</t>
  </si>
  <si>
    <t>Gas boiler full system × 1.8 (AI factor for ground source heat pump)</t>
  </si>
  <si>
    <t>S-0039-04</t>
  </si>
  <si>
    <t>System: District heating · Scope: Full system</t>
  </si>
  <si>
    <t>Gas boiler full system × 0.9 (AI factor for district heating)</t>
  </si>
  <si>
    <t>S-0039-05</t>
  </si>
  <si>
    <t>System: Electric · Scope: Full system</t>
  </si>
  <si>
    <t>Gas boiler full system × 0.6 (AI factor for electric)</t>
  </si>
  <si>
    <t>S-0039-06</t>
  </si>
  <si>
    <t>System: Gas boiler · Scope: Plant only</t>
  </si>
  <si>
    <t>Full system × 0.35 (AI share for plant). Replaces v4.5 5.2L (£ per item, domestic scale)</t>
  </si>
  <si>
    <t>S-0039-07</t>
  </si>
  <si>
    <t>System: Gas boiler · Scope: Radiators and controls only</t>
  </si>
  <si>
    <t>Full system × 0.30 (AI share for emitters, TRVs and controls)</t>
  </si>
  <si>
    <t>S-0039-08</t>
  </si>
  <si>
    <t>System: Air source heat pump · Scope: Plant only</t>
  </si>
  <si>
    <t>Full system × 0.45 (AI share for plant). Replaces v4.5 5.2L (£ per item, domestic scale)</t>
  </si>
  <si>
    <t>RISK: electrical capacity and DNO check · RATE: Electricity supply upgrade one band up · ASSUME: external plant space included · RISK: existing radiators may need upsizing</t>
  </si>
  <si>
    <t>S-0039-09</t>
  </si>
  <si>
    <t>System: Air source heat pump · Scope: Radiators and controls only</t>
  </si>
  <si>
    <t>S-0039-10</t>
  </si>
  <si>
    <t>System: Ground source heat pump · Scope: Plant only</t>
  </si>
  <si>
    <t>S-0039-11</t>
  </si>
  <si>
    <t>System: Ground source heat pump · Scope: Radiators and controls only</t>
  </si>
  <si>
    <t>S-0039-12</t>
  </si>
  <si>
    <t>System: District heating · Scope: Plant only</t>
  </si>
  <si>
    <t>Full system × 0.3 (AI share for plant). Replaces v4.5 5.2L (£ per item, domestic scale)</t>
  </si>
  <si>
    <t>S-0039-13</t>
  </si>
  <si>
    <t>System: District heating · Scope: Radiators and controls only</t>
  </si>
  <si>
    <t>S-0039-14</t>
  </si>
  <si>
    <t>System: Electric · Scope: Plant only</t>
  </si>
  <si>
    <t>Full system × 0.5 (AI share for plant). Replaces v4.5 5.2L (£ per item, domestic scale)</t>
  </si>
  <si>
    <t>S-0039-15</t>
  </si>
  <si>
    <t>System: Electric · Scope: Radiators and controls only</t>
  </si>
  <si>
    <t>S-0040-01</t>
  </si>
  <si>
    <t>S-0040</t>
  </si>
  <si>
    <t>Water and drainage</t>
  </si>
  <si>
    <t>Scope: Full installation</t>
  </si>
  <si>
    <t>5.3</t>
  </si>
  <si>
    <t>5.4</t>
  </si>
  <si>
    <t>S-0040-02</t>
  </si>
  <si>
    <t>Scope: Visible fittings only</t>
  </si>
  <si>
    <t>Full installation × 0.30 (AI share for taps and visible fittings)</t>
  </si>
  <si>
    <t>S-0041-01</t>
  </si>
  <si>
    <t>S-0041</t>
  </si>
  <si>
    <t>Ventilation</t>
  </si>
  <si>
    <t>v4.5 5.3. No source recorded in v4.5</t>
  </si>
  <si>
    <t>5.7</t>
  </si>
  <si>
    <t>S-0042-01</t>
  </si>
  <si>
    <t>S-0042</t>
  </si>
  <si>
    <t>Cooling</t>
  </si>
  <si>
    <t>v4.5 5.4. No source recorded in v4.5</t>
  </si>
  <si>
    <t>S-0043-01</t>
  </si>
  <si>
    <t>S-0043</t>
  </si>
  <si>
    <t>Controls and BMS</t>
  </si>
  <si>
    <t>v4.5 5.14. No source recorded in v4.5</t>
  </si>
  <si>
    <t>5.14</t>
  </si>
  <si>
    <t>S-0044-01</t>
  </si>
  <si>
    <t>S-0044</t>
  </si>
  <si>
    <t>Electrical</t>
  </si>
  <si>
    <t>Electricity supply upgrade</t>
  </si>
  <si>
    <t>v4.5 5.13 Basic lump sum reused as the Small band. v4.5 cites Ofgem/National Grid 2023-26 (not verified)</t>
  </si>
  <si>
    <t>NB EX RF FO EW OM</t>
  </si>
  <si>
    <t>8.7</t>
  </si>
  <si>
    <t>S-0044-02</t>
  </si>
  <si>
    <t>v4.5 5.13 Std lump sum reused as the Medium band. v4.5 cites Ofgem/National Grid 2023-26 (not verified)</t>
  </si>
  <si>
    <t>S-0044-03</t>
  </si>
  <si>
    <t>v4.5 5.13 High lump sum reused as the Large band. v4.5 cites Ofgem/National Grid 2023-26 (not verified)</t>
  </si>
  <si>
    <t>S-0045-01</t>
  </si>
  <si>
    <t>S-0045</t>
  </si>
  <si>
    <t>Power</t>
  </si>
  <si>
    <t>v4.5 5.7 switchgear + 5.7a sub-distribution + 5.8 wiring. 5.7a cites C&amp;W 2025 / BCIS Q1 2026 (not verified)</t>
  </si>
  <si>
    <t>5.8</t>
  </si>
  <si>
    <t>5.7, 5.7a, 5.8, 5.8a, 5.8b</t>
  </si>
  <si>
    <t>S-0045-02</t>
  </si>
  <si>
    <t>RES STU</t>
  </si>
  <si>
    <t>S-0045-03</t>
  </si>
  <si>
    <t>Scope: Second fix only</t>
  </si>
  <si>
    <t>v4.5 5.8b. v4.5 cites: C&amp;W 2025, RateQS Nov 2025 (not verified)</t>
  </si>
  <si>
    <t>S-0046-01</t>
  </si>
  <si>
    <t>S-0046</t>
  </si>
  <si>
    <t>Lighting</t>
  </si>
  <si>
    <t>v4.5 5.8c luminaires and controls (cites C&amp;W Fit-Out Guide 2025, not verified) + 5.10 external lighting on the building</t>
  </si>
  <si>
    <t>5.8c, 5.10</t>
  </si>
  <si>
    <t>S-0046-02</t>
  </si>
  <si>
    <t>Scope: Replace fittings only</t>
  </si>
  <si>
    <t>Full installation × 0.75 (AI: like-for-like luminaires, no new controls or layout)</t>
  </si>
  <si>
    <t>S-0047-01</t>
  </si>
  <si>
    <t>S-0047</t>
  </si>
  <si>
    <t>Emergency lighting</t>
  </si>
  <si>
    <t>v4.5 5.9b. v4.5 cites: BCIS Q1 2026 (not verified)</t>
  </si>
  <si>
    <t>5.9b</t>
  </si>
  <si>
    <t>S-0048-01</t>
  </si>
  <si>
    <t>S-0048</t>
  </si>
  <si>
    <t>Standby power</t>
  </si>
  <si>
    <t>Type: Generator · Size: Small</t>
  </si>
  <si>
    <t>AI estimate (up to 50 kVA)</t>
  </si>
  <si>
    <t>PT=NB &amp; USE=HEA → tick</t>
  </si>
  <si>
    <t>5.25, 5.26</t>
  </si>
  <si>
    <t>S-0048-02</t>
  </si>
  <si>
    <t>Type: UPS · Size: Small</t>
  </si>
  <si>
    <t>v4.5 5.26 Std (10–20 kVA), cites Eaton 2025 (not verified)</t>
  </si>
  <si>
    <t>S-0048-03</t>
  </si>
  <si>
    <t>Type: Generator · Size: Medium</t>
  </si>
  <si>
    <t>v4.5 5.25 Std (50–100 kVA), cites FG Wilson 2025 (not verified)</t>
  </si>
  <si>
    <t>S-0048-04</t>
  </si>
  <si>
    <t>Type: UPS · Size: Medium</t>
  </si>
  <si>
    <t>AI estimate between v4.5 Std and High</t>
  </si>
  <si>
    <t>S-0048-05</t>
  </si>
  <si>
    <t>Type: Generator · Size: Large</t>
  </si>
  <si>
    <t>v4.5 5.25 High (200–400 kVA), cites FG Wilson 2025 (not verified)</t>
  </si>
  <si>
    <t>S-0048-06</t>
  </si>
  <si>
    <t>Type: UPS · Size: Large</t>
  </si>
  <si>
    <t>v4.5 5.26 High (50–100 kVA), cites Eaton 2025 (not verified)</t>
  </si>
  <si>
    <t>S-0049-01</t>
  </si>
  <si>
    <t>S-0049</t>
  </si>
  <si>
    <t>Fire safety</t>
  </si>
  <si>
    <t>Fire alarm</t>
  </si>
  <si>
    <t>v4.5 5.9a. v4.5 cites: BCIS Q1 2026, C&amp;W 2025 (not verified)</t>
  </si>
  <si>
    <t>5.9a</t>
  </si>
  <si>
    <t>S-0050-01</t>
  </si>
  <si>
    <t>S-0050</t>
  </si>
  <si>
    <t>Sprinklers</t>
  </si>
  <si>
    <t>v4.5 5.6. Refurbishment Basic was 0 in v4.5; set to the Std value so sprinklers are never free</t>
  </si>
  <si>
    <t>PT=NB &amp; USE=RES STU &amp; STOREYS&gt;=4 → tick</t>
  </si>
  <si>
    <t>5.11</t>
  </si>
  <si>
    <t>S-0051-01</t>
  </si>
  <si>
    <t>S-0051</t>
  </si>
  <si>
    <t>Smoke ventilation</t>
  </si>
  <si>
    <t>nr floors</t>
  </si>
  <si>
    <t>STOREYS</t>
  </si>
  <si>
    <t>AI estimate per floor served: AOV, controls and interface. Not in v4.5</t>
  </si>
  <si>
    <t>RES STU HEA HOS</t>
  </si>
  <si>
    <t>PT=NB &amp; STOREYS&gt;=2 → tick</t>
  </si>
  <si>
    <t>5.31</t>
  </si>
  <si>
    <t>S-0052-01</t>
  </si>
  <si>
    <t>S-0052</t>
  </si>
  <si>
    <t>Data and security</t>
  </si>
  <si>
    <t>Data and IT</t>
  </si>
  <si>
    <t>v4.5 5.16. No source recorded in v4.5</t>
  </si>
  <si>
    <t>NB</t>
  </si>
  <si>
    <t>5.16</t>
  </si>
  <si>
    <t>S-0053-01</t>
  </si>
  <si>
    <t>S-0053</t>
  </si>
  <si>
    <t>Security</t>
  </si>
  <si>
    <t>v4.5 5.18. No source recorded in v4.5</t>
  </si>
  <si>
    <t>5.18</t>
  </si>
  <si>
    <t>S-0054-01</t>
  </si>
  <si>
    <t>S-0054</t>
  </si>
  <si>
    <t>Lifts</t>
  </si>
  <si>
    <t>Type: Passenger</t>
  </si>
  <si>
    <t>IF(STOREYS&gt;=2, 1, 0)</t>
  </si>
  <si>
    <t>v4.5 5.19. No source recorded in v4.5</t>
  </si>
  <si>
    <t>5.10</t>
  </si>
  <si>
    <t>5.19</t>
  </si>
  <si>
    <t>S-0054-02</t>
  </si>
  <si>
    <t>Type: Platform</t>
  </si>
  <si>
    <t>AI estimate per platform lift. v4.5 5.19 combined lifts and platform lifts</t>
  </si>
  <si>
    <t>S-0054-03</t>
  </si>
  <si>
    <t>Type: Goods or bed</t>
  </si>
  <si>
    <t>AI estimate per goods or bed lift</t>
  </si>
  <si>
    <t>S-0055-01</t>
  </si>
  <si>
    <t>S-0055</t>
  </si>
  <si>
    <t>Renewables and EV</t>
  </si>
  <si>
    <t>Solar PV</t>
  </si>
  <si>
    <t>kWp</t>
  </si>
  <si>
    <t>per_kwp</t>
  </si>
  <si>
    <t>FOOTPRINT * r.kwp_per_m2_roof</t>
  </si>
  <si>
    <t>RISK: roof condition and structure to confirm; DNO G99 application</t>
  </si>
  <si>
    <t>S-0056-01</t>
  </si>
  <si>
    <t>S-0056</t>
  </si>
  <si>
    <t>Battery storage</t>
  </si>
  <si>
    <t>kWh</t>
  </si>
  <si>
    <t>per_kwh</t>
  </si>
  <si>
    <t>S-0057-01</t>
  </si>
  <si>
    <t>S-0057</t>
  </si>
  <si>
    <t>EV charging</t>
  </si>
  <si>
    <t>nr chargers</t>
  </si>
  <si>
    <t>IF(USE=RES, ROUND(GIFA / r.m2_per_dwelling, 0), MAX(1, ROUND(Q(S-0074) / 5, 0)))</t>
  </si>
  <si>
    <t>v4.5 5.15. Refurbishment Basic was 0 in v4.5; set to the Std value</t>
  </si>
  <si>
    <t>RISK: DNO capacity check · RATE: Electricity supply upgrade one band up</t>
  </si>
  <si>
    <t>5.15</t>
  </si>
  <si>
    <t>S-0058-01</t>
  </si>
  <si>
    <t>S-0058</t>
  </si>
  <si>
    <t>Specialist services</t>
  </si>
  <si>
    <t>Compressed air</t>
  </si>
  <si>
    <t>AI estimate below v4.5 5.21 Std</t>
  </si>
  <si>
    <t>EDU IND</t>
  </si>
  <si>
    <t>5.21</t>
  </si>
  <si>
    <t>S-0058-02</t>
  </si>
  <si>
    <t>v4.5 5.21 Std. v4.5 cites Atlas Copco Q2 2026 (not verified)</t>
  </si>
  <si>
    <t>S-0058-03</t>
  </si>
  <si>
    <t>v4.5 5.21 High. v4.5 cites Atlas Copco Q2 2026 (not verified)</t>
  </si>
  <si>
    <t>S-0059-01</t>
  </si>
  <si>
    <t>S-0059</t>
  </si>
  <si>
    <t>Fume extraction</t>
  </si>
  <si>
    <t>AI estimate below v4.5 5.24 Std</t>
  </si>
  <si>
    <t>5.24</t>
  </si>
  <si>
    <t>S-0059-02</t>
  </si>
  <si>
    <t>v4.5 5.24 Std. v4.5 cites Airmaster Q2 2026 (not verified)</t>
  </si>
  <si>
    <t>S-0059-03</t>
  </si>
  <si>
    <t>v4.5 5.24 High. v4.5 cites Airmaster Q2 2026 (not verified)</t>
  </si>
  <si>
    <t>S-0060-01</t>
  </si>
  <si>
    <t>S-0060</t>
  </si>
  <si>
    <t>Process drainage</t>
  </si>
  <si>
    <t>m² process area</t>
  </si>
  <si>
    <t>v4.5 5.23. v4.5 cites: ACO 2025 (not verified)</t>
  </si>
  <si>
    <t>5.23</t>
  </si>
  <si>
    <t>S-0061-01</t>
  </si>
  <si>
    <t>S-0061</t>
  </si>
  <si>
    <t>Medical gases</t>
  </si>
  <si>
    <t>nr outlets</t>
  </si>
  <si>
    <t>ROUND(GIFA / r.m2_per_bed * r.gas_outlets_per_bed, 0)</t>
  </si>
  <si>
    <t>v4.5 4.18. v4.5 cites: BOC Healthcare 2025 (not verified)</t>
  </si>
  <si>
    <t>4.18, 5.33</t>
  </si>
  <si>
    <t>S-0062-01</t>
  </si>
  <si>
    <t>S-0062</t>
  </si>
  <si>
    <t>Nurse call</t>
  </si>
  <si>
    <t>ROUND(GIFA / r.m2_per_bed, 0)</t>
  </si>
  <si>
    <t>v4.5 5.27. v4.5 cites: Aidcall Q2 2026, HTM 08-03 (not verified)</t>
  </si>
  <si>
    <t>RES HEA</t>
  </si>
  <si>
    <t>5.27</t>
  </si>
  <si>
    <t>S-0063-01</t>
  </si>
  <si>
    <t>S-0063</t>
  </si>
  <si>
    <t>Server room cooling</t>
  </si>
  <si>
    <t>AI estimate below v4.5 5.29 Std</t>
  </si>
  <si>
    <t>5.29</t>
  </si>
  <si>
    <t>S-0063-02</t>
  </si>
  <si>
    <t>v4.5 5.29 Std. v4.5 cites Airedale Q2 2026 (not verified)</t>
  </si>
  <si>
    <t>S-0063-03</t>
  </si>
  <si>
    <t>v4.5 5.29 High. v4.5 cites Airedale Q2 2026 (not verified)</t>
  </si>
  <si>
    <t>S-0064-01</t>
  </si>
  <si>
    <t>S-0064</t>
  </si>
  <si>
    <t>7 Work to existing buildings</t>
  </si>
  <si>
    <t>Repairs</t>
  </si>
  <si>
    <t>Condition: Fair</t>
  </si>
  <si>
    <t>v4.5 7.1 structural + 7.2 fabric repairs (no source recorded)</t>
  </si>
  <si>
    <t>EX RF OM</t>
  </si>
  <si>
    <t>7.6</t>
  </si>
  <si>
    <t>7.1, 7.2</t>
  </si>
  <si>
    <t>S-0064-02</t>
  </si>
  <si>
    <t>Condition: Good</t>
  </si>
  <si>
    <t>Fair × 0.5 (AI)</t>
  </si>
  <si>
    <t>S-0064-03</t>
  </si>
  <si>
    <t>Condition: Poor</t>
  </si>
  <si>
    <t>Fair × 2.0 (AI)</t>
  </si>
  <si>
    <t>S-0065-01</t>
  </si>
  <si>
    <t>S-0065</t>
  </si>
  <si>
    <t>Alterations</t>
  </si>
  <si>
    <t>AI estimate informed by v4.5 0.2 (which combined demolition and structural alterations)</t>
  </si>
  <si>
    <t>7.1</t>
  </si>
  <si>
    <t>0.2, 7.6</t>
  </si>
  <si>
    <t>S-0066-01</t>
  </si>
  <si>
    <t>S-0066</t>
  </si>
  <si>
    <t>Damp treatment</t>
  </si>
  <si>
    <t>m² footprint</t>
  </si>
  <si>
    <t>v4.5 7.3 was per m² GIFA; × 2.5 to convert to per m² footprint (assumes 2.5 storeys)</t>
  </si>
  <si>
    <t>7.3</t>
  </si>
  <si>
    <t>S-0067-01</t>
  </si>
  <si>
    <t>S-0067</t>
  </si>
  <si>
    <t>8 External works</t>
  </si>
  <si>
    <t>Site, access and drainage</t>
  </si>
  <si>
    <t>Site clearance and preparation</t>
  </si>
  <si>
    <t>m² external</t>
  </si>
  <si>
    <t>external_area_rate</t>
  </si>
  <si>
    <t>EXT_AREA</t>
  </si>
  <si>
    <t>v4.5 8.1 External works column (£10/m²) used as Std; Basic ×0.7 and High ×1.6 (AI spread). v4.5 priced this per m² GIFA on other project types</t>
  </si>
  <si>
    <t>NB EX RF EW DM OM</t>
  </si>
  <si>
    <t>S-0068-01</t>
  </si>
  <si>
    <t>S-0068</t>
  </si>
  <si>
    <t>Surface water drainage</t>
  </si>
  <si>
    <t>v4.5 8.4 External works column (£25/m²) used as Std; Basic ×0.7 and High ×1.6 (AI spread). v4.5 priced this per m² GIFA on other project types</t>
  </si>
  <si>
    <t>NB EX RF EW OM</t>
  </si>
  <si>
    <t>8.6</t>
  </si>
  <si>
    <t>8.4</t>
  </si>
  <si>
    <t>S-0069-01</t>
  </si>
  <si>
    <t>S-0069</t>
  </si>
  <si>
    <t>Foul drainage</t>
  </si>
  <si>
    <t>v4.5 8.5. No source recorded in v4.5</t>
  </si>
  <si>
    <t>8.5</t>
  </si>
  <si>
    <t>S-0070-01</t>
  </si>
  <si>
    <t>S-0070</t>
  </si>
  <si>
    <t>External utilities</t>
  </si>
  <si>
    <t>v4.5 8.6. No source recorded in v4.5</t>
  </si>
  <si>
    <t>S-0071-01</t>
  </si>
  <si>
    <t>S-0071</t>
  </si>
  <si>
    <t>Highways and site access</t>
  </si>
  <si>
    <t>AI estimate. Not in v4.5</t>
  </si>
  <si>
    <t>8.2</t>
  </si>
  <si>
    <t>8.14</t>
  </si>
  <si>
    <t>S-0071-02</t>
  </si>
  <si>
    <t>S-0071-03</t>
  </si>
  <si>
    <t>S-0072-01</t>
  </si>
  <si>
    <t>S-0072</t>
  </si>
  <si>
    <t>Retaining walls and earthworks</t>
  </si>
  <si>
    <t>8.15</t>
  </si>
  <si>
    <t>S-0072-02</t>
  </si>
  <si>
    <t>S-0072-03</t>
  </si>
  <si>
    <t>S-0073-01</t>
  </si>
  <si>
    <t>S-0073</t>
  </si>
  <si>
    <t>Paving and landscaping</t>
  </si>
  <si>
    <t>Roads, paths and paving</t>
  </si>
  <si>
    <t>m² hard surface</t>
  </si>
  <si>
    <t>v4.5 8.2 External works column (£50/m²) used as Std; Basic ×0.7 and High ×1.6 (AI spread). v4.5 priced this per m² GIFA on other project types</t>
  </si>
  <si>
    <t>S-0074-01</t>
  </si>
  <si>
    <t>S-0074</t>
  </si>
  <si>
    <t>Car parking</t>
  </si>
  <si>
    <t>v4.5 8.3. No source recorded in v4.5</t>
  </si>
  <si>
    <t>8.3</t>
  </si>
  <si>
    <t>S-0075-01</t>
  </si>
  <si>
    <t>S-0075</t>
  </si>
  <si>
    <t>HGV yard</t>
  </si>
  <si>
    <t>v4.5 8.10. v4.5 cites: BCIS highways Q2 2026 (not verified)</t>
  </si>
  <si>
    <t>8.10</t>
  </si>
  <si>
    <t>S-0076-01</t>
  </si>
  <si>
    <t>S-0076</t>
  </si>
  <si>
    <t>Soft landscaping</t>
  </si>
  <si>
    <t>v4.5 8.7 External works column (£30/m²) used as Std; Basic ×0.7 and High ×1.6 (AI spread). v4.5 priced this per m² GIFA on other project types</t>
  </si>
  <si>
    <t>S-0077-01</t>
  </si>
  <si>
    <t>S-0077</t>
  </si>
  <si>
    <t>Roof terrace and green roof</t>
  </si>
  <si>
    <t>m² roof</t>
  </si>
  <si>
    <t>v4.5 8.13. v4.5 cites: Bauder Q2 2026 (not verified)</t>
  </si>
  <si>
    <t>8.13</t>
  </si>
  <si>
    <t>S-0078-01</t>
  </si>
  <si>
    <t>S-0078</t>
  </si>
  <si>
    <t>Biodiversity net gain</t>
  </si>
  <si>
    <t>12</t>
  </si>
  <si>
    <t>8.16</t>
  </si>
  <si>
    <t>S-0078-02</t>
  </si>
  <si>
    <t>S-0078-03</t>
  </si>
  <si>
    <t>S-0079-01</t>
  </si>
  <si>
    <t>S-0079</t>
  </si>
  <si>
    <t>Boundaries and fixtures</t>
  </si>
  <si>
    <t>Fences, gates and walls</t>
  </si>
  <si>
    <t>m</t>
  </si>
  <si>
    <t>per_m</t>
  </si>
  <si>
    <t>r.fence_multiplier * SQRT(EXT_AREA)</t>
  </si>
  <si>
    <t>AI estimate per linear metre. v4.5 8.8 was per m² GIFA, so it isn't comparable</t>
  </si>
  <si>
    <t>8.8</t>
  </si>
  <si>
    <t>S-0080-01</t>
  </si>
  <si>
    <t>S-0080</t>
  </si>
  <si>
    <t>External lighting</t>
  </si>
  <si>
    <t>v4.5 8.9 External works column (£10/m²) used as Std; Basic ×0.7 and High ×1.6 (AI spread). v4.5 priced this per m² GIFA on other project types</t>
  </si>
  <si>
    <t>8.9</t>
  </si>
  <si>
    <t>S-0081-01</t>
  </si>
  <si>
    <t>S-0081</t>
  </si>
  <si>
    <t>Cycle storage</t>
  </si>
  <si>
    <t>v4.5 8.11. v4.5 cites: Cyclehoop Q2 2026 (not verified)</t>
  </si>
  <si>
    <t>8.11</t>
  </si>
  <si>
    <t>Bin store</t>
  </si>
  <si>
    <t>8.12</t>
  </si>
  <si>
    <t>S-0083-01</t>
  </si>
  <si>
    <t>S-0083</t>
  </si>
  <si>
    <t>Automatic (not shown)</t>
  </si>
  <si>
    <t>Builder's work in connection</t>
  </si>
  <si>
    <t>v4.5 5.20. No source recorded in v4.5</t>
  </si>
  <si>
    <t>AUTO: add when any Group 5 item is selected; never shown</t>
  </si>
  <si>
    <t>5.20</t>
  </si>
  <si>
    <t>SETTINGS — every other number the app reads</t>
  </si>
  <si>
    <t>Each table starts at its ▶ marker and ends at the first blank row. To add a row, insert it inside the table (above the blank row). Don't rename markers or headers: the app finds tables by them.</t>
  </si>
  <si>
    <t>▶ workbook_info</t>
  </si>
  <si>
    <t>Version stamped on every report the app produces. Update on every change</t>
  </si>
  <si>
    <t>Field</t>
  </si>
  <si>
    <t>Value</t>
  </si>
  <si>
    <t>Version</t>
  </si>
  <si>
    <t>Bump on every published change (5.3, 5.4 …) and add a line to the update log</t>
  </si>
  <si>
    <t>Date</t>
  </si>
  <si>
    <t>2026-09-23</t>
  </si>
  <si>
    <t>Owner</t>
  </si>
  <si>
    <t>Nabil Kayali</t>
  </si>
  <si>
    <t>▶ building_uses</t>
  </si>
  <si>
    <t>Code</t>
  </si>
  <si>
    <t>Building use (label on screen)</t>
  </si>
  <si>
    <t>Treated as residential</t>
  </si>
  <si>
    <t>Residential</t>
  </si>
  <si>
    <t>Student accommodation (PBSA / halls)</t>
  </si>
  <si>
    <t>OFF</t>
  </si>
  <si>
    <t>Commercial offices</t>
  </si>
  <si>
    <t>EDU</t>
  </si>
  <si>
    <t>Education</t>
  </si>
  <si>
    <t>Healthcare</t>
  </si>
  <si>
    <t>Industrial / warehouse</t>
  </si>
  <si>
    <t>Hospitality / leisure</t>
  </si>
  <si>
    <t>MIX</t>
  </si>
  <si>
    <t>Mixed use</t>
  </si>
  <si>
    <t>Every item listed; nothing hidden under More items</t>
  </si>
  <si>
    <t>OTH</t>
  </si>
  <si>
    <t>Other</t>
  </si>
  <si>
    <t>(any building use)</t>
  </si>
  <si>
    <t>▶ project_types</t>
  </si>
  <si>
    <t>Project type (label on screen)</t>
  </si>
  <si>
    <t>Basic column</t>
  </si>
  <si>
    <t>Standard column</t>
  </si>
  <si>
    <t>High column</t>
  </si>
  <si>
    <t>Uses level of intervention</t>
  </si>
  <si>
    <t>New Build</t>
  </si>
  <si>
    <t>EX</t>
  </si>
  <si>
    <t>Extension</t>
  </si>
  <si>
    <t>RF</t>
  </si>
  <si>
    <t>Refurbishment</t>
  </si>
  <si>
    <t>FO</t>
  </si>
  <si>
    <t>Fit-out</t>
  </si>
  <si>
    <t>EW</t>
  </si>
  <si>
    <t>External works only</t>
  </si>
  <si>
    <t>Demolition only</t>
  </si>
  <si>
    <t>OM</t>
  </si>
  <si>
    <t>Other or mixed</t>
  </si>
  <si>
    <t>Per component</t>
  </si>
  <si>
    <t>From v4.5: split GIFA by use/type, price each block on its own project type's columns, and sum</t>
  </si>
  <si>
    <t>▶ spec_levels</t>
  </si>
  <si>
    <t>Q2.4 options. The level picks the Basic / Standard / High column on project_types</t>
  </si>
  <si>
    <t>Level</t>
  </si>
  <si>
    <t>Description</t>
  </si>
  <si>
    <t>Basic</t>
  </si>
  <si>
    <t>Minimum compliance; budget materials; functional finish. Student accommodation, back-of-house, warehouses.</t>
  </si>
  <si>
    <t>Good commercial standard; durable mid-range materials. Typical offices, education, general academic space.</t>
  </si>
  <si>
    <t>High</t>
  </si>
  <si>
    <t>Flagship/premium; high-end finishes, bespoke joinery, enhanced M&amp;E. Boardrooms, reception, executive, prestige.</t>
  </si>
  <si>
    <t>▶ intervention_levels</t>
  </si>
  <si>
    <t>Level of intervention (Refurbishment and Fit-out only) → band multiplier and design duration (from v4.5)</t>
  </si>
  <si>
    <t>Name</t>
  </si>
  <si>
    <t>Band multiplier (m² rates)</t>
  </si>
  <si>
    <t>Design duration multiplier</t>
  </si>
  <si>
    <t>Fabric and finishes only</t>
  </si>
  <si>
    <t>Decoration, floor/wall finishes, ceilings, fixtures replaced in-place. No M&amp;E work. No walls moved. Lowest cost and shortest programme.</t>
  </si>
  <si>
    <t>Finishes with minor services</t>
  </si>
  <si>
    <t>Finishes as above plus light-touch M&amp;E: 2nd fix fixtures, replacement light fittings, sockets and switches. Existing wiring and pipework retained. No new systems.</t>
  </si>
  <si>
    <t>Full systems replacement</t>
  </si>
  <si>
    <t>Complete replacement of heating, plumbing and electrical systems throughout. Same layout, same positions, no structural changes. Building rewired and re-plumbed. Typical full flat or office refurbishment.</t>
  </si>
  <si>
    <t>Reconfiguration or full redesign</t>
  </si>
  <si>
    <t>Layout changes, walls moved or removed, or building stripped to structure and redesigned. Requires architect, structural engineer, building control, possibly planning. Highest cost and longest programme.</t>
  </si>
  <si>
    <t>▶ location_factors</t>
  </si>
  <si>
    <t>Region</t>
  </si>
  <si>
    <t>Postcode areas</t>
  </si>
  <si>
    <t>Low</t>
  </si>
  <si>
    <t>Mid (use)</t>
  </si>
  <si>
    <t>Inner London</t>
  </si>
  <si>
    <t>EC,WC,E1W,SW1,SE1</t>
  </si>
  <si>
    <t>Outer London</t>
  </si>
  <si>
    <t>E,N,NW,SE,SW,W,BR,CR,DA,EN,HA,IG,KT,RM,SM,TW,UB,WD</t>
  </si>
  <si>
    <t>South East</t>
  </si>
  <si>
    <t>East of England</t>
  </si>
  <si>
    <t>CM,CB,IP,NR,LU,AL,SG,PE,SS,CO</t>
  </si>
  <si>
    <t>West Midlands ★ DEFAULT</t>
  </si>
  <si>
    <t>East Midlands</t>
  </si>
  <si>
    <t>LE,NG,DE,LN,NN</t>
  </si>
  <si>
    <t>Yorkshire &amp; Humberside</t>
  </si>
  <si>
    <t>LS,BD,HX,HD,HG,YO,HU,S,DN,WF</t>
  </si>
  <si>
    <t>North West</t>
  </si>
  <si>
    <t>North East</t>
  </si>
  <si>
    <t>NE,SR,DH,TS,DL</t>
  </si>
  <si>
    <t>Wales</t>
  </si>
  <si>
    <t>CF,SA,NP,LD,SY,LL</t>
  </si>
  <si>
    <t>Scotland</t>
  </si>
  <si>
    <t>Northern Ireland</t>
  </si>
  <si>
    <t>BT</t>
  </si>
  <si>
    <t>▶ benchmarks</t>
  </si>
  <si>
    <t>Expected works £/m² by project type and building use (from v4.5, now in codes). Outside the range = review flag</t>
  </si>
  <si>
    <t>Project type</t>
  </si>
  <si>
    <t>Building use</t>
  </si>
  <si>
    <t>Expected low £/m²</t>
  </si>
  <si>
    <t>Expected high £/m²</t>
  </si>
  <si>
    <t>▶ inputs</t>
  </si>
  <si>
    <t>Names used in 'Quantity rule' and 'Other conditions'. Default = what the app uses if the answer is blank</t>
  </si>
  <si>
    <t>Comes from</t>
  </si>
  <si>
    <t>Default (quantity rule)</t>
  </si>
  <si>
    <t>Q1.5 Approximate size (GIFA)</t>
  </si>
  <si>
    <t>IF(PT=EW, 0, ENTER)</t>
  </si>
  <si>
    <t>On Refurbishment and Fit-out this is the area of works</t>
  </si>
  <si>
    <t>Number of storeys (existing question)</t>
  </si>
  <si>
    <t>Default used only if the answer is blank</t>
  </si>
  <si>
    <t>Worked out</t>
  </si>
  <si>
    <t>GIFA / STOREYS</t>
  </si>
  <si>
    <t>Ground floor area</t>
  </si>
  <si>
    <t>GIFA - FOOTPRINT</t>
  </si>
  <si>
    <t>Upper floor area</t>
  </si>
  <si>
    <t>External works area, asked on the Group 8 header</t>
  </si>
  <si>
    <t>IF(PT=EW, ENTER, FOOTPRINT * r.site_ratio)</t>
  </si>
  <si>
    <t>Must be entered on External works only</t>
  </si>
  <si>
    <t>Demolition item, 'I know this'</t>
  </si>
  <si>
    <t>Area of building to demolish</t>
  </si>
  <si>
    <t>PT</t>
  </si>
  <si>
    <t>Q1.2 Project type</t>
  </si>
  <si>
    <t>A code from project_types</t>
  </si>
  <si>
    <t>USE</t>
  </si>
  <si>
    <t>Q1.3 Building use</t>
  </si>
  <si>
    <t>A code from building_uses</t>
  </si>
  <si>
    <t>AGE</t>
  </si>
  <si>
    <t>Q1.4 Building age</t>
  </si>
  <si>
    <t>End year of the chosen band (e.g. 1980–1999 → 1999); post-2000 → current year</t>
  </si>
  <si>
    <t>LEVEL</t>
  </si>
  <si>
    <t>Level of intervention</t>
  </si>
  <si>
    <t>1–4; Refurbishment and Fit-out only</t>
  </si>
  <si>
    <t>▶ quantity_ratios</t>
  </si>
  <si>
    <t>Named ratios used as r.name in quantity rules. The row for the building use is used, else ALL</t>
  </si>
  <si>
    <t>Key</t>
  </si>
  <si>
    <t>Used for</t>
  </si>
  <si>
    <t>Source</t>
  </si>
  <si>
    <t>m2_per_person</t>
  </si>
  <si>
    <t>Toilets: people = GIFA ÷ this</t>
  </si>
  <si>
    <t>Toilets (education)</t>
  </si>
  <si>
    <t>Toilets (healthcare)</t>
  </si>
  <si>
    <t>Toilets (retail)</t>
  </si>
  <si>
    <t>Toilets (industrial)</t>
  </si>
  <si>
    <t>Toilets (hospitality)</t>
  </si>
  <si>
    <t>persons_per_wc</t>
  </si>
  <si>
    <t>Toilets: WCs = people ÷ this (simplified BS 6465-1 / Workplace Regs)</t>
  </si>
  <si>
    <t>accessible_wc_per_floor</t>
  </si>
  <si>
    <t>Toilets: accessible option</t>
  </si>
  <si>
    <t>m2_per_dwelling</t>
  </si>
  <si>
    <t>Bathrooms, kitchens, EV charging (residential)</t>
  </si>
  <si>
    <t>bathrooms_per_dwelling</t>
  </si>
  <si>
    <t>Bathrooms (residential)</t>
  </si>
  <si>
    <t>m2_per_bed</t>
  </si>
  <si>
    <t>Student beds or hospital beds, by building use</t>
  </si>
  <si>
    <t>Bathrooms and kitchens (student en-suite beds)</t>
  </si>
  <si>
    <t>Medical gases and nurse call (hospital beds)</t>
  </si>
  <si>
    <t>m2_per_key</t>
  </si>
  <si>
    <t>Bathrooms (hotel rooms)</t>
  </si>
  <si>
    <t>beds_per_kitchen</t>
  </si>
  <si>
    <t>Kitchens (student cluster flats)</t>
  </si>
  <si>
    <t>tea_points_per_floor</t>
  </si>
  <si>
    <t>Kitchens (non-residential)</t>
  </si>
  <si>
    <t>pct_catering</t>
  </si>
  <si>
    <t>Catering kitchen area as a share of GIFA</t>
  </si>
  <si>
    <t>Catering kitchen area (hospitality)</t>
  </si>
  <si>
    <t>pct_lab</t>
  </si>
  <si>
    <t>Laboratory area as a share of GIFA</t>
  </si>
  <si>
    <t>Laboratory area (education)</t>
  </si>
  <si>
    <t>pct_clinical</t>
  </si>
  <si>
    <t>Clinical fit-out area as a share of GIFA</t>
  </si>
  <si>
    <t>Clinical fit-out area (healthcare)</t>
  </si>
  <si>
    <t>gas_outlets_per_bed</t>
  </si>
  <si>
    <t>kwp_per_m2_roof</t>
  </si>
  <si>
    <t>Solar PV kWp = footprint × this</t>
  </si>
  <si>
    <t>site_ratio</t>
  </si>
  <si>
    <t>External area default = footprint × this</t>
  </si>
  <si>
    <t>pct_hard</t>
  </si>
  <si>
    <t>Roads, paths and paving = external area × this</t>
  </si>
  <si>
    <t>pct_soft</t>
  </si>
  <si>
    <t>Soft landscaping = external area × this</t>
  </si>
  <si>
    <t>fence_multiplier</t>
  </si>
  <si>
    <t>Fences = this × √ external area (perimeter of a square)</t>
  </si>
  <si>
    <t>▶ factors</t>
  </si>
  <si>
    <t>Multipliers applied to rates</t>
  </si>
  <si>
    <t>Applies to</t>
  </si>
  <si>
    <t>When</t>
  </si>
  <si>
    <t>modular_factor</t>
  </si>
  <si>
    <t>Groups 1–3 rates</t>
  </si>
  <si>
    <t>Group 2 construction method = Modular</t>
  </si>
  <si>
    <t>▶ percentage_rules</t>
  </si>
  <si>
    <t>Addition</t>
  </si>
  <si>
    <t>Type</t>
  </si>
  <si>
    <t>Condition (questionnaire trigger)</t>
  </si>
  <si>
    <t>Adjust %</t>
  </si>
  <si>
    <t>Cap %</t>
  </si>
  <si>
    <t>A</t>
  </si>
  <si>
    <t>Contractor's Preliminaries</t>
  </si>
  <si>
    <t>BASE</t>
  </si>
  <si>
    <t>ADD</t>
  </si>
  <si>
    <t>Q3.6 = Fully occupied throughout</t>
  </si>
  <si>
    <t>Q3.6 = Partially occupied</t>
  </si>
  <si>
    <t>Q3.5 includes Restricted working hours</t>
  </si>
  <si>
    <t>Programme duration &gt; 18 months</t>
  </si>
  <si>
    <t>B</t>
  </si>
  <si>
    <t>Overheads &amp; Profit</t>
  </si>
  <si>
    <t>RANGE</t>
  </si>
  <si>
    <t>Works cost &lt; £1M → 10–12% (use 11%)</t>
  </si>
  <si>
    <t>Works cost £1M–£5M → 9–10% (use 9.5%)</t>
  </si>
  <si>
    <t>Works cost &gt; £5M → 8–9% (use 8.5%)</t>
  </si>
  <si>
    <t>C</t>
  </si>
  <si>
    <t>Professional Fees</t>
  </si>
  <si>
    <t>Q4.5 = Stage 0–1 → 12–15% (use 13.5%)</t>
  </si>
  <si>
    <t>Q4.5 = Stage 2 → 10–13% (use 11.5%)</t>
  </si>
  <si>
    <t>Q4.5 = Stage 3 → 7–10% (use 8.5%)</t>
  </si>
  <si>
    <t>Q4.5 = Stage 4 → 5–7% (use 6%)</t>
  </si>
  <si>
    <t>Q2.5 includes BREEAM</t>
  </si>
  <si>
    <t>Q1.4 = Pre-1900 OR Q3.4 includes Listed Building Consent (heritage/conservation consultant uplift — apply once only, do not stack)</t>
  </si>
  <si>
    <t>D</t>
  </si>
  <si>
    <t>Developer &amp; Project Costs</t>
  </si>
  <si>
    <t>Q3.4 = Full planning (3–4%, use 3.5%)</t>
  </si>
  <si>
    <t>Q3.4 = Full planning + Listed Building Consent</t>
  </si>
  <si>
    <t>Q3.4 = Change of use consent</t>
  </si>
  <si>
    <t>Q3.4 = Prior approval (2–3%, use 2.5%)</t>
  </si>
  <si>
    <t>Q3.4 = Permitted development</t>
  </si>
  <si>
    <t>Q3.4 = Unsure / pre-application</t>
  </si>
  <si>
    <t>Q3.3 = No surveys yet</t>
  </si>
  <si>
    <t>Q3.4 includes Listed Building Consent (LBC + planning assumed; same as Full planning + Listed Building Consent trigger)</t>
  </si>
  <si>
    <t>E</t>
  </si>
  <si>
    <t>Risk Allowance</t>
  </si>
  <si>
    <t>Baseline 5%</t>
  </si>
  <si>
    <t>Q3.3 = None — surveys needed</t>
  </si>
  <si>
    <t>Q3.1 = Unsure — surveys needed</t>
  </si>
  <si>
    <t>Q3.1 = Asbestos known or suspected</t>
  </si>
  <si>
    <t>Q3.1 = Contaminated land</t>
  </si>
  <si>
    <t>Q3.1 = Structural concerns</t>
  </si>
  <si>
    <t>Q3.1 = Ageing or inadequate M&amp;E</t>
  </si>
  <si>
    <t>Q3.1 = Drainage issues</t>
  </si>
  <si>
    <t>Q3.1 = Damp or water ingress</t>
  </si>
  <si>
    <t>Q3.1 = Fire safety deficiencies</t>
  </si>
  <si>
    <t>Q4.1 = Hard deadline (specific date given)</t>
  </si>
  <si>
    <t>H</t>
  </si>
  <si>
    <t>Client Contingency</t>
  </si>
  <si>
    <t>FIXED</t>
  </si>
  <si>
    <t>ALWAYS 5% — never adjusted. Survey uncertainty sits in E, not here.</t>
  </si>
  <si>
    <t>F</t>
  </si>
  <si>
    <t>Inflation — tender delay</t>
  </si>
  <si>
    <t>COMPONENT</t>
  </si>
  <si>
    <t>0–6 months to tender → 0%</t>
  </si>
  <si>
    <t>6–12 months to tender → 2%</t>
  </si>
  <si>
    <t>12–18 months to tender → 4%</t>
  </si>
  <si>
    <t>18+ months to tender → 6%</t>
  </si>
  <si>
    <t>Inflation — construction mid-pt</t>
  </si>
  <si>
    <t>Construction ≤ 6 months → 1%</t>
  </si>
  <si>
    <t>Construction 6–12 months → 2%</t>
  </si>
  <si>
    <t>Construction 12–18 months → 3%</t>
  </si>
  <si>
    <t>Construction 18–24 months → 4%</t>
  </si>
  <si>
    <t>Construction 24+ months → 5%</t>
  </si>
  <si>
    <t>G</t>
  </si>
  <si>
    <t>VAT (reference only)</t>
  </si>
  <si>
    <t>NOT added to total. Recoverability confirmed by client Finance. New build may zero-rate.</t>
  </si>
  <si>
    <t>▶ retired_codes</t>
  </si>
  <si>
    <t>Old codes with no replacement item (all others are listed on their item's 'Replaces old codes')</t>
  </si>
  <si>
    <t>Old code</t>
  </si>
  <si>
    <t>Was</t>
  </si>
  <si>
    <t>Status</t>
  </si>
  <si>
    <t>Reason</t>
  </si>
  <si>
    <t>Specialist equipment (lab/AV/med)</t>
  </si>
  <si>
    <t>Retired</t>
  </si>
  <si>
    <t>Use Other / specialist scope</t>
  </si>
  <si>
    <t>4.17</t>
  </si>
  <si>
    <t>Overhead crane and gantry</t>
  </si>
  <si>
    <t>Cranes via Other / specialist scope</t>
  </si>
  <si>
    <t>4.26</t>
  </si>
  <si>
    <t>Fitting rooms</t>
  </si>
  <si>
    <t>Fitting rooms via Other / specialist</t>
  </si>
  <si>
    <t>4.29</t>
  </si>
  <si>
    <t>Spectator seating and bleachers</t>
  </si>
  <si>
    <t>Spectator seating via Other / specialist</t>
  </si>
  <si>
    <t>5.1b</t>
  </si>
  <si>
    <t>Mechanical second fix</t>
  </si>
  <si>
    <t>Empty row in v4.5</t>
  </si>
  <si>
    <t>6.1</t>
  </si>
  <si>
    <t>Prefabricated / modular units</t>
  </si>
  <si>
    <t>Group 2 construction method: Modular</t>
  </si>
  <si>
    <t>7.4</t>
  </si>
  <si>
    <t>M&amp;E overhaul / life-expired services</t>
  </si>
  <si>
    <t>Group 5 covers replacement</t>
  </si>
  <si>
    <t>7.5</t>
  </si>
  <si>
    <t>Making good after structural works</t>
  </si>
  <si>
    <t>Inside every refurbishment rate</t>
  </si>
  <si>
    <t>0.8</t>
  </si>
  <si>
    <t>Temporary works and propping (question map)</t>
  </si>
  <si>
    <t>Inside the alteration and basement rates</t>
  </si>
  <si>
    <t>v4.5 5.11. No source recorded in v4.5. Ext Works (added v5.3) = the NB Std rate; a ground-mount frame or car-park canopy is not included — add it under Other / specialist scope.</t>
  </si>
  <si>
    <t>v4.5 5.12. No source recorded in v4.5. Ext Works (added v5.3) = the NB Std rate.</t>
  </si>
  <si>
    <t>NB EW</t>
  </si>
  <si>
    <t>NB EX EW</t>
  </si>
  <si>
    <t>Q2.3 has ≥4 M&amp;E items (M&amp;E-heavy)</t>
  </si>
  <si>
    <t>▶ range_widths</t>
  </si>
  <si>
    <t>Estimate range around the mid-point, by confidence grade (A–D). Low × mid = bottom, High × mid = top</t>
  </si>
  <si>
    <t>Grade</t>
  </si>
  <si>
    <t>Values from the September 2026 workbook spec (illustrative) — review against real outturns</t>
  </si>
  <si>
    <t>v5.3 — 23 Sept 2026</t>
  </si>
  <si>
    <t>Gaps filled: Solar PV and Battery storage Ext Works rates (= NB Std); External works only pre-ticks (site clearance, surface water drainage, paving, soft landscaping, fences — the app's previous External works preset); ▶ range_widths added on '3. Settings' (illustrative); percentage rule and golden rules updated to Q2.2 = level of intervention, Q2.3 = scope.</t>
  </si>
  <si>
    <t>B,CV,WV,WS,DY,ST,WR,HR,TF,SY1,SY2,SY3,SY4,SY5,SY6,SY7,SY8,SY9,SY10,SY11,SY12,SY13</t>
  </si>
  <si>
    <t>M,SK,WN,WA,BL,OL,PR,BB,LA,FY,CW,CH,L,CA,SY14</t>
  </si>
  <si>
    <t>GU,RH,TN,ME,CT,BN,PO,SO,RG,SL,OX,HP,MK</t>
  </si>
  <si>
    <t>EH,G,FK,KY,DD,PH,AB,IV,KW,PA,KA,ML,TD,DG,HS,ZE</t>
  </si>
  <si>
    <t>Regional location factor by postcode area, or by district where an area is split (e.g. SY10). West Midlands is the default. South West added in v5.4 — its factors are an AI estimate, verify against BCIS</t>
  </si>
  <si>
    <t>South West</t>
  </si>
  <si>
    <t>BS,BA,BH,DT,EX,GL,PL,SN,SP,TA,TQ,TR</t>
  </si>
  <si>
    <t>v5.4 — 24 Sept 2026</t>
  </si>
  <si>
    <t>Regions: South West added (BS, BA, BH, DT, EX, GL, PL, SN, SP, TA, TQ, TR — factors 0.94 / 1.00 / 0.97 are an AI estimate, verify against BCIS); missing areas added (L and CA North West, MK South East, TF West Midlands, HS and ZE Scotland); Shropshire districts SY1–SY13 West Midlands and SY14 North West, the rest of SY stays Wales. Found by the 21-report test run: Bristol, Cotswolds and Liverpool were priced at the West Midlands default.</t>
  </si>
  <si>
    <t>RATES — mid-point UK rates, before the location factor, preliminaries and OH&amp;P</t>
  </si>
  <si>
    <t>Two price families: Refurb &amp; Fit-out (Refurbishment, Fit-out, Demolition only) and New build &amp; Extension (New build, Extension, External works only). A blank Basic or High = same as Standard. A dash (–) = no price, so the item cannot be selected in Q2.3 for that project type.</t>
  </si>
  <si>
    <t>Units: m² GIFA = gross internal floor area; m² footprint = ground-floor area. When an item shows and how its quantity is estimated are on '4. Scope rules'. Rate key (grey, last column) is permanent — never change it.</t>
  </si>
  <si>
    <t>Not included (priced elsewhere, or not at all)</t>
  </si>
  <si>
    <t>Refurb &amp; Fit-out Basic</t>
  </si>
  <si>
    <t>Refurb &amp; Fit-out Std</t>
  </si>
  <si>
    <t>Refurb &amp; Fit-out High</t>
  </si>
  <si>
    <t>New build &amp; Extension Std</t>
  </si>
  <si>
    <t>New build &amp; Extension High</t>
  </si>
  <si>
    <t>Spon's check (converted, PDF page)</t>
  </si>
  <si>
    <t>GROUP 0 — FACILITATING WORKS</t>
  </si>
  <si>
    <t>Survey-led removal and disposal of asbestos and other hazardous materials from the building worked on (on New build: the building being demolished), incl. enclosures, air testing and licensed disposal</t>
  </si>
  <si>
    <t>The asbestos refurbishment &amp; demolition survey itself (a fee)</t>
  </si>
  <si>
    <t>m² GIFA</t>
  </si>
  <si>
    <t>Your figure</t>
  </si>
  <si>
    <t>£13 (p.248)</t>
  </si>
  <si>
    <t>Demolition of the whole existing building to ground level: soft strip, disconnection of services, breaking out ground slab and shallow foundations, removal and disposal of arisings</t>
  </si>
  <si>
    <t>Asbestos removal (0.1); basements and deep foundations; contaminated ground (0.4)</t>
  </si>
  <si>
    <t>£131–£397 (p.413)</t>
  </si>
  <si>
    <t>Removal of existing finishes, ceilings, non-structural partitions, fittings and redundant services back to shell, incl. disposal</t>
  </si>
  <si>
    <t>Structural alterations (7.2); asbestos (0.1)</t>
  </si>
  <si>
    <t>£35–£99 (p.242, 246)</t>
  </si>
  <si>
    <t>Treatment or removal and disposal of contaminated ground under the building (on External works only: the site area), incl. capping layer and verification</t>
  </si>
  <si>
    <t>Site investigation (a fee). Not offered on refurbishment, fit-out or demolition only</t>
  </si>
  <si>
    <t>£47–£164 (p.112)</t>
  </si>
  <si>
    <t>Ground stabilisation under the building footprint: mine-working grouting, vibro-compaction or soil improvement</t>
  </si>
  <si>
    <t>Piling (in 1.1b Foundations)</t>
  </si>
  <si>
    <t>Per tree: felling, stump grinding or removal, and disposal</t>
  </si>
  <si>
    <t>Replacement planting (8.10); tree surveys and protection orders</t>
  </si>
  <si>
    <t>£340–£833 (p.452)</t>
  </si>
  <si>
    <t>Diverting or protecting existing underground services (drains, cables, pipes) that cross the building footprint, incl. utility company charges for the diversion</t>
  </si>
  <si>
    <t>New connections for the building (8.4 External utilities)</t>
  </si>
  <si>
    <t>GROUP 1 — SUBSTRUCTURE</t>
  </si>
  <si>
    <t>1.1a</t>
  </si>
  <si>
    <t>Excavation, disposal, concrete strip or pad foundations and ground beams up to ground-floor slab level</t>
  </si>
  <si>
    <t>Ground floor slab (1.2); basement (1.3); ground improvement (0.5)</t>
  </si>
  <si>
    <t>Spon's-based (approved)</t>
  </si>
  <si>
    <t>£114–£158 (p.292)</t>
  </si>
  <si>
    <t>1.1b</t>
  </si>
  <si>
    <t>Piled</t>
  </si>
  <si>
    <t>Piled foundations (CFA or mini-piles) with pile caps and ground beams, for poor ground</t>
  </si>
  <si>
    <t>£250–£335 (p.292)</t>
  </si>
  <si>
    <t>1.1c</t>
  </si>
  <si>
    <t>Not sure</t>
  </si>
  <si>
    <t>Priced as standard foundations and adds a piling risk to the report until ground conditions are known</t>
  </si>
  <si>
    <t>Older workbook (v4.5) (= 1.1a × 1)</t>
  </si>
  <si>
    <t>1.2</t>
  </si>
  <si>
    <t>Excavation to formation, hardcore sub-base, blinding, DPM, insulation and reinforced concrete ground-bearing slab</t>
  </si>
  <si>
    <t>Floor finishes and screed (3.2)</t>
  </si>
  <si>
    <t>£131–£196 (p.299, 300, 301)</t>
  </si>
  <si>
    <t>Bulk excavation and disposal, temporary works, reinforced concrete basement walls and floor, and waterproofing (tanking)</t>
  </si>
  <si>
    <t>Finishes and services inside the basement</t>
  </si>
  <si>
    <t>£438–£533 (p.302)</t>
  </si>
  <si>
    <t>GROUP 2 — SUPERSTRUCTURE AND ENVELOPE</t>
  </si>
  <si>
    <t>New build: steel or concrete frame (columns, beams, bracing) incl. fire protection. Refurbishment: strengthening or adapting the existing frame</t>
  </si>
  <si>
    <t>Floor slabs (1.2, 2.2); roof structure (2.5)</t>
  </si>
  <si>
    <t>Kept after Spon's check</t>
  </si>
  <si>
    <t>Refurb £118 (p.242) · New build £103–£201 (p.265, 302)</t>
  </si>
  <si>
    <t>Upper floor slabs or decks (composite steel deck, precast or timber) incl. balconies. Refurbishment: repairing or strengthening existing floors</t>
  </si>
  <si>
    <t>Floor finishes (3.2); frame (2.1)</t>
  </si>
  <si>
    <t>m² upper floors</t>
  </si>
  <si>
    <t>Refurb £25 (p.242) · New build £93–£136 (p.308)</t>
  </si>
  <si>
    <t>Staircases and ramps with finishes, handrails and balustrades</t>
  </si>
  <si>
    <t>Lifts (5.16)</t>
  </si>
  <si>
    <t>Refurb £43 (p.242) · New build £6–£35 (p.266, 260)</t>
  </si>
  <si>
    <t>Free-standing steel mezzanine floor with deck, access stair, balustrade and fire protection</t>
  </si>
  <si>
    <t>Finishes and services on the mezzanine</t>
  </si>
  <si>
    <t>£187–£234 (p.302)</t>
  </si>
  <si>
    <t>Roof structure, covering, insulation, rainwater goods, roof access and edge protection (measured on plan, = footprint). Refurbishment: re-covering and insulating the existing roof</t>
  </si>
  <si>
    <t>Rooflights over standard provision; green roof (8.11); solar PV (5.17)</t>
  </si>
  <si>
    <t>Refurb £94–£220 (p.246, 313) · New build £181–£258 (p.310, 313)</t>
  </si>
  <si>
    <t>External walls and facade: masonry, cladding or curtain wall (solid parts), insulation and internal lining. Refurbishment: repairs, re-rendering or over-cladding</t>
  </si>
  <si>
    <t>Windows and external doors (2.7)</t>
  </si>
  <si>
    <t>Refurb £18–£61 (p.242, 246) · New build £75–£338 (p.266, 324)</t>
  </si>
  <si>
    <t>Windows, external doors, entrance screens and glazing, with ironmongery</t>
  </si>
  <si>
    <t>Curtain walling solid panels (2.6)</t>
  </si>
  <si>
    <t>Refurb £107 (p.246) · New build £122–£226 (p.266, 333)</t>
  </si>
  <si>
    <t>Internal walls and partitions (stud or block), incl. acoustic and fire-rated partitions, and toilet IPS panels</t>
  </si>
  <si>
    <t>Wall finishes (3.1); doors (2.9)</t>
  </si>
  <si>
    <t>£115–£167 (p.275, 243)</t>
  </si>
  <si>
    <t>2.9</t>
  </si>
  <si>
    <t>Internal doorsets (frame, leaf, ironmongery, decoration), incl. fire doors</t>
  </si>
  <si>
    <t>External doors (2.7)</t>
  </si>
  <si>
    <t>Refurb £62–£147 (p.247, 255) · New build £38–£163 (p.275, 251)</t>
  </si>
  <si>
    <t>2.10</t>
  </si>
  <si>
    <t>Upgrading fire stopping and compartmentation in an existing building: sealing service penetrations, fire barriers in voids and cavities</t>
  </si>
  <si>
    <t>Fire doors (2.9); fire alarm (5.11)</t>
  </si>
  <si>
    <t>GROUP 3 — INTERNAL FINISHES</t>
  </si>
  <si>
    <t>Plaster or dry lining, decoration and wall tiling, incl. tanking in wet areas</t>
  </si>
  <si>
    <t>Wall panelling as joinery (4.5)</t>
  </si>
  <si>
    <t>Refurb £89–£119 (p.247, 255) · New build £56–£134 (p.251, 267)</t>
  </si>
  <si>
    <t>3.2a</t>
  </si>
  <si>
    <t>Screed and floor coverings (carpet, vinyl, tiles, timber), skirtings and entrance matting, incl. tanking in wet areas</t>
  </si>
  <si>
    <t>Structural slabs (1.2, 2.2)</t>
  </si>
  <si>
    <t>Refurb £72–£215 (p.247, 256) · New build £75–£110 (p.251, 261)</t>
  </si>
  <si>
    <t>3.2b</t>
  </si>
  <si>
    <t>As 3.2a plus a raised access floor (steel-encased panels on pedestals) for offices and data rooms</t>
  </si>
  <si>
    <t>Refurb £127–£142 (p.353) · New build £142–£190 (p.353)</t>
  </si>
  <si>
    <t>Suspended or plasterboard ceilings with decoration, incl. access panels and bulkheads</t>
  </si>
  <si>
    <t>Light fittings (5.8)</t>
  </si>
  <si>
    <t>Refurb £42–£106 (p.247, 256) · New build £71–£104 (p.252, 267)</t>
  </si>
  <si>
    <t>GROUP 4 — TOILETS, KITCHENS AND FITTINGS</t>
  </si>
  <si>
    <t>4.1a</t>
  </si>
  <si>
    <t>Per WC: WC pan, wash basin and taps, cubicle, hand dryer and a share of vanity units and accessories, fitted</t>
  </si>
  <si>
    <t>Wall and floor tiling (3.1, 3.2); water pipework and drainage (5.2); lighting and ventilation</t>
  </si>
  <si>
    <t>nr WCs</t>
  </si>
  <si>
    <t>£1,710–£2,137 (p.361)</t>
  </si>
  <si>
    <t>4.1b</t>
  </si>
  <si>
    <t>4.1c</t>
  </si>
  <si>
    <t>Per accessible WC (Approved Document M): larger cubicle, Doc M pack, grab rails, alarm and accessories</t>
  </si>
  <si>
    <t>Changing Places (hoist, adult changing bench)</t>
  </si>
  <si>
    <t>Per Changing Places toilet: ceiling hoist, height-adjustable adult changing bench, peninsular WC, privacy screen and alarm. Needed in some large new public buildings. Priced only when you enter how many</t>
  </si>
  <si>
    <t>Unverified †</t>
  </si>
  <si>
    <t>4.2a</t>
  </si>
  <si>
    <t>Per bathroom: bath or shower tray and screen, WC, basin, taps, mirror and accessories, fitted</t>
  </si>
  <si>
    <t>Tiling (3.1, 3.2); pipework (5.2); extract fan (5.3)</t>
  </si>
  <si>
    <t>nr bathrooms</t>
  </si>
  <si>
    <t>Older workbook (v4.5)</t>
  </si>
  <si>
    <t>£1,916–£2,558 (p.362)</t>
  </si>
  <si>
    <t>4.2b</t>
  </si>
  <si>
    <t>As 4.2a with hotel-grade fittings and finishes</t>
  </si>
  <si>
    <t>£6,560–£8,247 (p.359)</t>
  </si>
  <si>
    <t>Per shower: tray, screen or curtain, thermostatic valve and head, fitted</t>
  </si>
  <si>
    <t>Tiling (3.1, 3.2); pipework (5.2); benches and lockers (4.14)</t>
  </si>
  <si>
    <t>nr showers</t>
  </si>
  <si>
    <t>£890–£1,148 (p.362)</t>
  </si>
  <si>
    <t>4.4a</t>
  </si>
  <si>
    <t>Domestic kitchen</t>
  </si>
  <si>
    <t>Per kitchen: base and wall units, worktop, sink and taps, fitted</t>
  </si>
  <si>
    <t>White goods (4.8); pipework (5.2); electrics (5.7)</t>
  </si>
  <si>
    <t>nr kitchens</t>
  </si>
  <si>
    <t>£2,975–£11,245 (p.358)</t>
  </si>
  <si>
    <t>4.4b</t>
  </si>
  <si>
    <t>£2,975–£3,702 (p.358)</t>
  </si>
  <si>
    <t>Built-in, made-to-fit items: reception desks, fitted storage and shelving, lockers, fitted benches, wall panelling</t>
  </si>
  <si>
    <t>Loose furniture (4.8); kitchens (4.4); toilet vanity units (4.1)</t>
  </si>
  <si>
    <t>Refurb £72–£257 (p.248, 243) · New build £32–£102 (p.276, 252)</t>
  </si>
  <si>
    <t>4.6</t>
  </si>
  <si>
    <t>Statutory safety signs (fire exits, fire equipment, accessible WCs, room signs) and internal wayfinding</t>
  </si>
  <si>
    <t>External building name signs and branding</t>
  </si>
  <si>
    <t>£3–£4 (p.248, 276)</t>
  </si>
  <si>
    <t>4.7</t>
  </si>
  <si>
    <t>Screens, projectors, audio, and room booking panels in meeting and teaching rooms, installed</t>
  </si>
  <si>
    <t>Data cabling (5.14)</t>
  </si>
  <si>
    <t>4.8a</t>
  </si>
  <si>
    <t>Loose furniture and equipment: desks, chairs, tables, beds, white goods</t>
  </si>
  <si>
    <t>Built-in joinery (4.5)</t>
  </si>
  <si>
    <t>£103–£131 (p.358)</t>
  </si>
  <si>
    <t>4.8b</t>
  </si>
  <si>
    <t>Residential: sofas, beds, tables, chairs and white goods per flat, spread over the floor area</t>
  </si>
  <si>
    <t>4.8c</t>
  </si>
  <si>
    <t>Student rooms: bed, desk, chair, storage per room, spread over the floor area</t>
  </si>
  <si>
    <t>4.8d</t>
  </si>
  <si>
    <t>Hotel rooms: beds, case goods, seating and public-area furniture, spread over the floor area</t>
  </si>
  <si>
    <t>4.9</t>
  </si>
  <si>
    <t>Commercial kitchen: cooking equipment, stainless steel benching, servery and bar counters, extract canopy and grease trap</t>
  </si>
  <si>
    <t>Kitchen room finishes (Group 3); general ventilation (5.3)</t>
  </si>
  <si>
    <t>m² kitchen</t>
  </si>
  <si>
    <t>4.10</t>
  </si>
  <si>
    <t>Laboratory benching, sinks, storage and fume cupboards</t>
  </si>
  <si>
    <t>Fume extract ductwork and fans (5.21); lab gases</t>
  </si>
  <si>
    <t>4.11</t>
  </si>
  <si>
    <t>Clinical fittings and fixed equipment: couches, clinical sinks, pendants, clinical storage</t>
  </si>
  <si>
    <t>Medical gas pipework (5.23); nurse call (5.24)</t>
  </si>
  <si>
    <t>4.12</t>
  </si>
  <si>
    <t>Shop fit-out fixtures: display units, counters and tills, fitting rooms, security tags</t>
  </si>
  <si>
    <t>Shopfront (2.7); floor and ceiling finishes (Group 3)</t>
  </si>
  <si>
    <t>4.13</t>
  </si>
  <si>
    <t>Pallet racking, dock levellers and loading doors</t>
  </si>
  <si>
    <t>Overhead cranes (use Other / specialist scope)</t>
  </si>
  <si>
    <t>m² warehouse</t>
  </si>
  <si>
    <t>4.14</t>
  </si>
  <si>
    <t>Gym and fitness equipment, changing room lockers and benches</t>
  </si>
  <si>
    <t>Sports floor finishes (3.2); spectator seating (use Other / specialist scope)</t>
  </si>
  <si>
    <t>4.15</t>
  </si>
  <si>
    <t>Cleanroom enclosure, ceiling, filtered air supply and validation</t>
  </si>
  <si>
    <t>Process equipment</t>
  </si>
  <si>
    <t>GROUP 5 — SERVICES</t>
  </si>
  <si>
    <t>5.1a</t>
  </si>
  <si>
    <t>Gas boiler, full system</t>
  </si>
  <si>
    <t>Full system: heat source, pipework, radiators or underfloor heating, controls, and hot water generation</t>
  </si>
  <si>
    <t>Cooling (5.4); ventilation (5.3); gas supply to the site (8.4)</t>
  </si>
  <si>
    <t>Refurb £92–£137 (p.243, 248) · New build £50–£112 (p.364, 363)</t>
  </si>
  <si>
    <t>Air source heat pump, full system</t>
  </si>
  <si>
    <t>Full system with an air source heat pump as the heat source (incl. hot water cylinder and buffer)</t>
  </si>
  <si>
    <t>5.1c</t>
  </si>
  <si>
    <t>Ground source heat pump, full system</t>
  </si>
  <si>
    <t>Full system with a ground source heat pump incl. boreholes or ground loops</t>
  </si>
  <si>
    <t>Unverified † (= 5.1a × 1.8)</t>
  </si>
  <si>
    <t>5.1d</t>
  </si>
  <si>
    <t>District heating, full system</t>
  </si>
  <si>
    <t>Full system fed from a district heating network: heat interface units, pipework and emitters</t>
  </si>
  <si>
    <t>5.1e</t>
  </si>
  <si>
    <t>Electric, full system</t>
  </si>
  <si>
    <t>Electric heating throughout: panel heaters or electric boilers and direct hot water heaters</t>
  </si>
  <si>
    <t>Unverified † (= 5.1a × 0.6)</t>
  </si>
  <si>
    <t>5.1f</t>
  </si>
  <si>
    <t>Gas boiler, plant only</t>
  </si>
  <si>
    <t>Plant only: new gas boiler(s), flue, pumps and plant-room pipework; existing pipework and radiators kept</t>
  </si>
  <si>
    <t>Unverified † (= 5.1a × 0.35)</t>
  </si>
  <si>
    <t>5.1g</t>
  </si>
  <si>
    <t>Gas boiler, radiators and controls only</t>
  </si>
  <si>
    <t>Radiators and controls only: new emitters, TRVs, local pipework and controls; existing heat source kept</t>
  </si>
  <si>
    <t>Unverified † (= 5.1a × 0.3)</t>
  </si>
  <si>
    <t>5.1h</t>
  </si>
  <si>
    <t>Air source heat pump, plant only</t>
  </si>
  <si>
    <t>Plant only: new air source heat pump(s), cylinder and plant pipework; existing pipework and radiators kept</t>
  </si>
  <si>
    <t>Unverified † (= 5.1b × 0.45)</t>
  </si>
  <si>
    <t>5.1i</t>
  </si>
  <si>
    <t>Air source heat pump, radiators and controls only</t>
  </si>
  <si>
    <t>Radiators and controls only (sized for a heat pump); existing heat pump kept</t>
  </si>
  <si>
    <t>Unverified † (= 5.1b × 0.3)</t>
  </si>
  <si>
    <t>5.1j</t>
  </si>
  <si>
    <t>Ground source heat pump, plant only</t>
  </si>
  <si>
    <t>Plant only: ground source heat pump, boreholes or ground loops; existing pipework and radiators kept</t>
  </si>
  <si>
    <t>Unverified † (= 5.1c × 0.45)</t>
  </si>
  <si>
    <t>5.1k</t>
  </si>
  <si>
    <t>Ground source heat pump, radiators and controls only</t>
  </si>
  <si>
    <t>Radiators and controls only (sized for a ground source heat pump); existing heat source kept</t>
  </si>
  <si>
    <t>Unverified † (= 5.1c × 0.3)</t>
  </si>
  <si>
    <t>5.1l</t>
  </si>
  <si>
    <t>District heating, plant only</t>
  </si>
  <si>
    <t>Plant only: heat interface unit and connection to the network; existing pipework and radiators kept</t>
  </si>
  <si>
    <t>Unverified † (= 5.1d × 0.3)</t>
  </si>
  <si>
    <t>5.1m</t>
  </si>
  <si>
    <t>District heating, radiators and controls only</t>
  </si>
  <si>
    <t>Radiators and controls only on a district heating system; existing connection kept</t>
  </si>
  <si>
    <t>5.1n</t>
  </si>
  <si>
    <t>Electric, plant only</t>
  </si>
  <si>
    <t>Plant only: electric boiler or water heaters; existing emitters kept</t>
  </si>
  <si>
    <t>Unverified † (= 5.1e × 0.5)</t>
  </si>
  <si>
    <t>5.1o</t>
  </si>
  <si>
    <t>Electric, radiators and controls only</t>
  </si>
  <si>
    <t>New electric panel heaters and controls only</t>
  </si>
  <si>
    <t>Unverified † (= 5.1e × 0.3)</t>
  </si>
  <si>
    <t>5.2a</t>
  </si>
  <si>
    <t>Full installation</t>
  </si>
  <si>
    <t>Full installation: cold and hot water distribution pipework, above-ground soil, waste and rainwater pipework, and the connections to sanitary fittings</t>
  </si>
  <si>
    <t>Sanitaryware (4.1–4.3); below-ground drainage (8.3)</t>
  </si>
  <si>
    <t>Refurb £68–£180 (p.248, 257) · New build £22–£89 (p.362, 363)</t>
  </si>
  <si>
    <t>5.2b</t>
  </si>
  <si>
    <t>Visible fittings only</t>
  </si>
  <si>
    <t>Visible fittings only: taps, valves and short connections to sanitaryware; existing pipework kept</t>
  </si>
  <si>
    <t>Mechanical ventilation and extract: fans, AHUs or MVHR units, ductwork, grilles and controls</t>
  </si>
  <si>
    <t>Cooling (5.4); smoke ventilation (5.13); fume extraction (5.21)</t>
  </si>
  <si>
    <t>Refurb £13–£29 (p.248, 258) · New build £8–£66 (p.364)</t>
  </si>
  <si>
    <t>Air conditioning or comfort cooling: VRF / split units or chilled water, pipework and controls</t>
  </si>
  <si>
    <t>Server room cooling (5.25)</t>
  </si>
  <si>
    <t>£84–£149 (p.363)</t>
  </si>
  <si>
    <t>Building management system: controllers, sensors, meters and software for heating, cooling and ventilation</t>
  </si>
  <si>
    <t>Local controls supplied with each system</t>
  </si>
  <si>
    <t>£22 (p.244)</t>
  </si>
  <si>
    <t>5.6a</t>
  </si>
  <si>
    <t>Small</t>
  </si>
  <si>
    <t>New or upgraded electricity supply from the network, priced as a lump sum by size. Small: capacity increase on the existing supply — new meter, cut-out and incoming cable, no DNO network works</t>
  </si>
  <si>
    <t>Internal distribution (5.7)</t>
  </si>
  <si>
    <t>5.6b</t>
  </si>
  <si>
    <t>Medium</t>
  </si>
  <si>
    <t>Medium: new larger low-voltage supply from the network with DNO reinforcement, no new substation</t>
  </si>
  <si>
    <t>£40,764–£48,729 (p.393)</t>
  </si>
  <si>
    <t>5.6c</t>
  </si>
  <si>
    <t>Large</t>
  </si>
  <si>
    <t>Large: new high-voltage supply with an on-site substation and DNO works</t>
  </si>
  <si>
    <t>5.7a</t>
  </si>
  <si>
    <t>Full installation: main switchgear, distribution boards, containment, all wiring for power and lighting circuits, sockets and switches</t>
  </si>
  <si>
    <t>Light fittings (5.8); new supply from the network (5.6)</t>
  </si>
  <si>
    <t>Refurb £186–£217 (p.248, 244) · New build £53–£137 (p.365)</t>
  </si>
  <si>
    <t>5.7b</t>
  </si>
  <si>
    <t>As 5.7a for flats and student rooms: consumer units per dwelling, wiring and sockets (no sub-distribution boards)</t>
  </si>
  <si>
    <t>£84–£119 (p.366)</t>
  </si>
  <si>
    <t>5.7c</t>
  </si>
  <si>
    <t>Second fix only</t>
  </si>
  <si>
    <t>Second fix only: new sockets, switches and accessories on existing wiring</t>
  </si>
  <si>
    <t>5.8a</t>
  </si>
  <si>
    <t>Full installation: light fittings (LED), lighting controls and external lights fixed to the building</t>
  </si>
  <si>
    <t>Wiring (in 5.7 Power); emergency lighting (5.9); site lighting (8.14)</t>
  </si>
  <si>
    <t>Refurb £62 (p.248) · New build £34–£46 (p.365)</t>
  </si>
  <si>
    <t>5.8b</t>
  </si>
  <si>
    <t>Replace fittings only</t>
  </si>
  <si>
    <t>Replace light fittings only: like-for-like LED fittings on existing wiring and layout, no new controls</t>
  </si>
  <si>
    <t>Unverified † (= 5.8a × 0.75)</t>
  </si>
  <si>
    <t>5.9</t>
  </si>
  <si>
    <t>Emergency and exit lighting with testing system</t>
  </si>
  <si>
    <t>General lighting (5.8)</t>
  </si>
  <si>
    <t>5.10a</t>
  </si>
  <si>
    <t>Generator, small</t>
  </si>
  <si>
    <t>Standby power (generator or UPS), priced as a lump sum by type and size. Standby generator up to 50 kVA with enclosure, fuel tank and changeover switch</t>
  </si>
  <si>
    <t>Distribution to the protected circuits (5.7)</t>
  </si>
  <si>
    <t>5.10b</t>
  </si>
  <si>
    <t>UPS, small</t>
  </si>
  <si>
    <t>UPS 10–20 kVA with batteries, for comms or critical circuits</t>
  </si>
  <si>
    <t>5.10c</t>
  </si>
  <si>
    <t>Generator, medium</t>
  </si>
  <si>
    <t>Standby generator 50–100 kVA with enclosure, fuel tank and changeover switch</t>
  </si>
  <si>
    <t>5.10d</t>
  </si>
  <si>
    <t>UPS, medium</t>
  </si>
  <si>
    <t>UPS 20–50 kVA with batteries</t>
  </si>
  <si>
    <t>5.10e</t>
  </si>
  <si>
    <t>Generator, large</t>
  </si>
  <si>
    <t>Standby generator 200–400 kVA with acoustic enclosure, fuel system and changeover switchgear</t>
  </si>
  <si>
    <t>£179,672 (p.279)</t>
  </si>
  <si>
    <t>5.10f</t>
  </si>
  <si>
    <t>UPS, large</t>
  </si>
  <si>
    <t>UPS 50–100 kVA with batteries and bypass</t>
  </si>
  <si>
    <t>Fire detection and alarm system: panel, detectors, sounders, call points and cabling</t>
  </si>
  <si>
    <t>Sprinklers (5.12); smoke ventilation (5.13)</t>
  </si>
  <si>
    <t>£20–£25 (p.371)</t>
  </si>
  <si>
    <t>Sprinklers or mist system with tank and pumps, and dry or wet risers where needed</t>
  </si>
  <si>
    <t>Fire alarm (5.11)</t>
  </si>
  <si>
    <t>£16–£56 (p.370, 279)</t>
  </si>
  <si>
    <t>Per floor served: automatic opening vents (AOVs) or smoke shaft dampers to stairs and corridors, with controls and interface</t>
  </si>
  <si>
    <t>General ventilation (5.3)</t>
  </si>
  <si>
    <t>Structured data cabling, Wi-Fi access points, comms cabinets and containment</t>
  </si>
  <si>
    <t>IT equipment and AV (4.7)</t>
  </si>
  <si>
    <t>£18 (p.248)</t>
  </si>
  <si>
    <t>Access control, CCTV, intruder alarm and door entry</t>
  </si>
  <si>
    <t>5.16a</t>
  </si>
  <si>
    <t>Passenger</t>
  </si>
  <si>
    <t>Per lift: lift car, machine, doors at each floor, installation and commissioning</t>
  </si>
  <si>
    <t>Lift pit and shaft structure (in 2.1, 1.3)</t>
  </si>
  <si>
    <t>nr lifts</t>
  </si>
  <si>
    <t>£103,081–£126,509 (p.367)</t>
  </si>
  <si>
    <t>5.16b</t>
  </si>
  <si>
    <t>Platform</t>
  </si>
  <si>
    <t>Per platform lift: short-rise wheelchair platform lift (up to ~4 m), enclosure and installation</t>
  </si>
  <si>
    <t>£12,651–£14,994 (p.368)</t>
  </si>
  <si>
    <t>5.16c</t>
  </si>
  <si>
    <t>Goods or bed</t>
  </si>
  <si>
    <t>Per goods or bed lift: heavy-duty car (≈2,000 kg), doors at each floor, installation</t>
  </si>
  <si>
    <t>£126,509–£154,622 (p.368)</t>
  </si>
  <si>
    <t>5.17</t>
  </si>
  <si>
    <t>Solar panels, mounting, inverters, cabling and grid connection (roof, canopy or ground-mounted)</t>
  </si>
  <si>
    <t>Battery storage (5.18); roof strengthening</t>
  </si>
  <si>
    <t>£2,460–£3,163 (p.372)</t>
  </si>
  <si>
    <t>Battery storage units, inverter and connection</t>
  </si>
  <si>
    <t>Solar PV (5.17)</t>
  </si>
  <si>
    <t>Per charger: 7–22 kW charge point, cabling, ducting and connection to the building supply</t>
  </si>
  <si>
    <t>Supply upgrade (5.6)</t>
  </si>
  <si>
    <t>5.20a</t>
  </si>
  <si>
    <t>Compressed air plant and pipework, priced as a lump sum by size. Small: one compressor, receiver and a short pipework run (workshop scale)</t>
  </si>
  <si>
    <t>5.20b</t>
  </si>
  <si>
    <t>Medium: compressor with dryer, receiver and pipework to several outlets</t>
  </si>
  <si>
    <t>5.20c</t>
  </si>
  <si>
    <t>Large: duty / standby compressors, dryers and a distribution ring</t>
  </si>
  <si>
    <t>5.21a</t>
  </si>
  <si>
    <t>Extract ductwork and fans for fume cupboards and processes, priced as a lump sum by size. Small: extract fan and ductwork for one or two fume cupboards</t>
  </si>
  <si>
    <t>Fume cupboards themselves (4.10)</t>
  </si>
  <si>
    <t>5.21b</t>
  </si>
  <si>
    <t>Medium: extract system for up to about six fume cupboards or process points</t>
  </si>
  <si>
    <t>5.21c</t>
  </si>
  <si>
    <t>Large: central extract plant for a whole laboratory floor</t>
  </si>
  <si>
    <t>5.22</t>
  </si>
  <si>
    <t>Trade and process drainage: channels, gullies, interceptors and separators</t>
  </si>
  <si>
    <t>General drainage (5.2, 8.3)</t>
  </si>
  <si>
    <t>Medical gas pipework, outlets, alarms and area valve units (oxygen, air, vacuum)</t>
  </si>
  <si>
    <t>Gas plant or bulk supply</t>
  </si>
  <si>
    <t>Nurse call per bed: call points, indicators, staff attack and panels</t>
  </si>
  <si>
    <t>Clinical fittings (4.11)</t>
  </si>
  <si>
    <t>nr beds</t>
  </si>
  <si>
    <t>5.25a</t>
  </si>
  <si>
    <t>Precision cooling for server or comms rooms, priced as a lump sum by size. Small: split cooling unit for a comms room (one or two racks)</t>
  </si>
  <si>
    <t>General cooling (5.4)</t>
  </si>
  <si>
    <t>5.25b</t>
  </si>
  <si>
    <t>Medium: precision cooling for a server room of up to about ten racks</t>
  </si>
  <si>
    <t>5.25c</t>
  </si>
  <si>
    <t>Large: duty / standby precision cooling for a data room</t>
  </si>
  <si>
    <t>5.26</t>
  </si>
  <si>
    <t>Builder's work for services: holes, chases, plinths, plant bases and making good. Added automatically when any Group 5 item is selected</t>
  </si>
  <si>
    <t>Refurb £21–£44 (p.244, 248) · New build £19–£55 (p.373)</t>
  </si>
  <si>
    <t>GROUP 7 — WORK TO EXISTING BUILDINGS</t>
  </si>
  <si>
    <t>7.1a</t>
  </si>
  <si>
    <t>Fair</t>
  </si>
  <si>
    <t>Repairs to the existing structure and fabric (cracks, lintels, concrete defects, roof and wall repairs), incl. local underpinning</t>
  </si>
  <si>
    <t>Full re-roofing (2.5); new structure (2.1)</t>
  </si>
  <si>
    <t>7.1b</t>
  </si>
  <si>
    <t>Good</t>
  </si>
  <si>
    <t>Repairs to a building in good condition: minor defects only</t>
  </si>
  <si>
    <t>Unverified † (= 7.1a × 0.5)</t>
  </si>
  <si>
    <t>7.1c</t>
  </si>
  <si>
    <t>Poor</t>
  </si>
  <si>
    <t>Repairs to a building in poor condition: widespread structural and fabric defects</t>
  </si>
  <si>
    <t>Unverified † (= 7.1a × 2)</t>
  </si>
  <si>
    <t>7.2</t>
  </si>
  <si>
    <t>Structural alterations: new openings, removing load-bearing walls with steels and propping, partial demolition and making good</t>
  </si>
  <si>
    <t>Strip-out of finishes (0.3)</t>
  </si>
  <si>
    <t>£25 (p.242)</t>
  </si>
  <si>
    <t>Damp-proof course injection, tanking of affected walls, re-plastering</t>
  </si>
  <si>
    <t>Roof or gutter leaks (7.1)</t>
  </si>
  <si>
    <t>GROUP 8 — EXTERNAL WORKS</t>
  </si>
  <si>
    <t>Site clearance, vegetation removal, topsoil strip, cut and fill, levelling</t>
  </si>
  <si>
    <t>Tree removal (0.6); demolition (0.2)</t>
  </si>
  <si>
    <t>£8 (p.229)</t>
  </si>
  <si>
    <t>Surface water drainage: gullies, channels, pipework, manholes, SuDS and attenuation</t>
  </si>
  <si>
    <t>Foul drainage (8.3)</t>
  </si>
  <si>
    <t>£30–£37 (p.384)</t>
  </si>
  <si>
    <t>Below-ground foul drainage from the building to the public sewer, incl. manholes and connection</t>
  </si>
  <si>
    <t>Above-ground pipework (5.2)</t>
  </si>
  <si>
    <t>£4 (p.229)</t>
  </si>
  <si>
    <t>Water, gas, electricity and telecoms connections on site, incl. utility company connection charges</t>
  </si>
  <si>
    <t>A new substation (5.6); diversions (0.7)</t>
  </si>
  <si>
    <t>£19–£23 (p.231, 248)</t>
  </si>
  <si>
    <t>8.5a</t>
  </si>
  <si>
    <t>New site access and highway works (Section 278), priced as a lump sum by size. Small: new or widened vehicle crossover and dropped kerb</t>
  </si>
  <si>
    <t>Roads inside the site (8.7)</t>
  </si>
  <si>
    <t>8.5b</t>
  </si>
  <si>
    <t>Medium: new junction bell-mouth and footway works under a Section 278 agreement</t>
  </si>
  <si>
    <t>8.5c</t>
  </si>
  <si>
    <t>Large: major junction works (turning lane or signals) under a Section 278 agreement</t>
  </si>
  <si>
    <t>8.6a</t>
  </si>
  <si>
    <t>Retaining walls and earthworks for sloping sites, priced as a lump sum by size. Small: short retaining walls under about 1.2 m and minor regrading</t>
  </si>
  <si>
    <t>Basement retaining walls (1.3)</t>
  </si>
  <si>
    <t>8.6b</t>
  </si>
  <si>
    <t>Medium: retaining walls of about 1.5–2 m along part of the site, with cut and fill</t>
  </si>
  <si>
    <t>8.6c</t>
  </si>
  <si>
    <t>Large: extensive retaining structures or major earthworks on a steep site</t>
  </si>
  <si>
    <t>Roads, footpaths and hard landscaping: sub-base, surfacing, kerbs and edgings</t>
  </si>
  <si>
    <t>Car parking spaces (8.8); HGV yard (8.9)</t>
  </si>
  <si>
    <t>£38–£164 (p.374, 230)</t>
  </si>
  <si>
    <t>Per surface parking space: sub-base, surfacing, kerbs, marking, drainage and share of lighting</t>
  </si>
  <si>
    <t>EV chargers (5.19); multi-storey or underground parking</t>
  </si>
  <si>
    <t>nr spaces</t>
  </si>
  <si>
    <t>£2,788–£3,538 (p.375)</t>
  </si>
  <si>
    <t>Heavy-duty concrete hardstanding and turning area for HGVs</t>
  </si>
  <si>
    <t>Drainage (8.2); dock levellers (4.13)</t>
  </si>
  <si>
    <t>m² yard</t>
  </si>
  <si>
    <t>£60 (p.230)</t>
  </si>
  <si>
    <t>Topsoil, grass seeding or turf, planting and trees, first-year maintenance</t>
  </si>
  <si>
    <t>Biodiversity net gain units (8.12)</t>
  </si>
  <si>
    <t>m² soft</t>
  </si>
  <si>
    <t>£7–£35 (p.378, 377)</t>
  </si>
  <si>
    <t>Extra over the roof for a green roof (sedum or biodiverse) or roof terrace finish, incl. drainage layer</t>
  </si>
  <si>
    <t>The roof itself (2.5)</t>
  </si>
  <si>
    <t>£110–£276 (p.234, 315)</t>
  </si>
  <si>
    <t>8.12a</t>
  </si>
  <si>
    <t>Biodiversity net gain: on-site habitat work or off-site units, priced as a lump sum by size. Small: on-site habitat enhancement (planting, habitat boxes) and monitoring</t>
  </si>
  <si>
    <t>Reported below the construction total. Soft landscaping (8.10)</t>
  </si>
  <si>
    <t>8.12b</t>
  </si>
  <si>
    <t>Medium: on-site habitat creation plus a few off-site biodiversity units</t>
  </si>
  <si>
    <t>8.12c</t>
  </si>
  <si>
    <t>Large: purchase of off-site biodiversity units for a larger deficit</t>
  </si>
  <si>
    <t>Boundary fencing, walls and gates, per linear metre of boundary</t>
  </si>
  <si>
    <t>Vehicle barriers</t>
  </si>
  <si>
    <t>£36–£123 (p.379, 230, 231)</t>
  </si>
  <si>
    <t>Site and car park lighting columns or bollards, cabling and controls</t>
  </si>
  <si>
    <t>Lights fixed to the building (5.8)</t>
  </si>
  <si>
    <t>£2–£3 (p.394)</t>
  </si>
  <si>
    <t>Per cycle space: stands and a share of a covered shelter</t>
  </si>
  <si>
    <t>Enclosed cycle stores inside the building</t>
  </si>
  <si>
    <t>£30–£37 (p.383)</t>
  </si>
  <si>
    <t>SCOPE RULES — how the app uses each item (rarely needs changing)</t>
  </si>
  <si>
    <t>Two tables, each starting at its ▶ marker and ending at the first blank row — to add a row, insert it inside the table. ▶ items: one row per Scope ID. ▶ options: one row per Rate key on '2. Rates'. What each column means is on '1. Instructions'.</t>
  </si>
  <si>
    <t>▶ items</t>
  </si>
  <si>
    <t>Item (for reading)</t>
  </si>
  <si>
    <t>IF(PT=EW, EXT_AREA, FOOTPRINT)</t>
  </si>
  <si>
    <t>4.8</t>
  </si>
  <si>
    <t>5.25</t>
  </si>
  <si>
    <t>▶ options</t>
  </si>
  <si>
    <t>Option (as the app shows it)</t>
  </si>
  <si>
    <t>Quantity rule (if different from the item)</t>
  </si>
  <si>
    <t>v4.5 0.4. No source recorded in v4.5 · Note: Piling is in Foundations</t>
  </si>
  <si>
    <t>Owner's rate, 27 Sept 2026: £100 per m² of building footprint (replaces the Small / Medium / Large bands)</t>
  </si>
  <si>
    <t>Standard WC: v4.5 4.2-COM ware + 4.31-NR cubicle + ½ × 5.30-NR hand dryer + ¼ × 4.32-HOH vanity run (assumption: 1 dryer per 2 WCs, 1 vanity run per 4 WCs) · Note: BCIS split is an AI estimate</t>
  </si>
  <si>
    <t>v4.5 4.7 £/workstation (cites BCO Fit-Out Guide 2024, not verified) ÷ 10 m² per workstation (assumption) · Note: In the construction total (decision 23 Sept 2026)</t>
  </si>
  <si>
    <t>v4.5 4.20 benching per m² + 4.21 fume cupboards ÷ 50 m² lab per cupboard (assumption). v4.5 cites Lab-Interiors / Waldner-Esco Q2 2026 (not verified) · Note: Fume extraction ductwork and fans are in Fume extraction</t>
  </si>
  <si>
    <t>v4.5 4.19. v4.5 cites: NHS P21+ 2024 (not verified) · Note: Medical gas pipework is in Medical gases</t>
  </si>
  <si>
    <t>v4.5 5.2 heating + 5.5 gas installation (no source recorded in v4.5) · Note: BCIS split is an AI estimate</t>
  </si>
  <si>
    <t>v4.5 5.1. No source recorded in v4.5 · Note: BCIS split is an AI estimate</t>
  </si>
  <si>
    <t>AI estimate. Not in v4.5 · Note: Reported below the construction total</t>
  </si>
  <si>
    <t>There is no Basic new-build rate, so Basic reads Standard</t>
  </si>
  <si>
    <t>Same rates as New build (owner, 27 Sept 2026)</t>
  </si>
  <si>
    <t>Same rates as Refurbishment</t>
  </si>
  <si>
    <t>Reads the New build Standard rates; quantities from the external works area</t>
  </si>
  <si>
    <t>Q1.3 options. The Code is what '2. Rates' and '4. Scope rules' uses</t>
  </si>
  <si>
    <t>Used on '2. Rates' and '4. Scope rules' only: the item or rate applies to every building use</t>
  </si>
  <si>
    <t>Q1.2 options. The rate column read for each specification level. The Code is what '2. Rates' and '4. Scope rules' uses</t>
  </si>
  <si>
    <t>Prices and scope of works for Projento, in four sheets. Prepared by Nabil Kayali.</t>
  </si>
  <si>
    <t>THE FOUR SHEETS</t>
  </si>
  <si>
    <t>2. Rates</t>
  </si>
  <si>
    <t>Every price. One row per item or option, the rates side by side. The sheet you maintain.</t>
  </si>
  <si>
    <t>Project types (and which rate column each reads), building uses, specification and intervention levels, location factors, benchmarks, quantity ratios, factors and percentages.</t>
  </si>
  <si>
    <t>4. Scope rules</t>
  </si>
  <si>
    <t>How the app uses each item: when it shows, what starts ticked, how the quantity is estimated, BCIS split and old codes. Rarely needs changing.</t>
  </si>
  <si>
    <t>This page: how to read and change the workbook, the self-checks and the update log.</t>
  </si>
  <si>
    <t>READING '2. RATES'</t>
  </si>
  <si>
    <t>Rates</t>
  </si>
  <si>
    <t>Mid-point UK rates before the location factor, preliminaries and overheads &amp; profit — the app adds those from '3. Settings'.</t>
  </si>
  <si>
    <t>Which column</t>
  </si>
  <si>
    <t>Refurbishment, Fit-out and Demolition only read the Refurb &amp; Fit-out columns (the same price for both). New build, Extension and External works only read the New build &amp; Extension columns. Other or mixed reads Refurb &amp; Fit-out, then New build where that is 0.</t>
  </si>
  <si>
    <t>Blank Basic or High</t>
  </si>
  <si>
    <t>Same as Standard.</t>
  </si>
  <si>
    <t>Dash (–) = no price</t>
  </si>
  <si>
    <t>No price for that project type, so the item (or option) cannot be selected in Q2.3 Scope of works for it. The cell holds 0.</t>
  </si>
  <si>
    <t>ALL = any building use. A code (e.g. HOS, HEA, RES STU) = a rate for that use only; the app uses it for that use and the ALL row otherwise.</t>
  </si>
  <si>
    <t>What's included / Not included</t>
  </si>
  <si>
    <t>What the rate covers, and what is priced elsewhere (with the code of the row that prices it) or not at all. Size bands (Small / Medium / Large) say what each lump sum assumes.</t>
  </si>
  <si>
    <t>Units</t>
  </si>
  <si>
    <t>m² GIFA = gross internal floor area of the building worked on (Q1.5). m² footprint = ground-floor area (GIFA ÷ storeys). m² upper floors = GIFA − footprint. m² roof = roof on plan (= footprint). m² external = the external works area. nr … = a count (WCs, lifts, spaces). band = one lump sum.</t>
  </si>
  <si>
    <t>Formula cells</t>
  </si>
  <si>
    <t>A few options are priced as a multiple of another row (e.g. air source heat pump = gas boiler × 1.3). The Source column shows the row and factor; change the factor in the cell formula.</t>
  </si>
  <si>
    <t>Code and Rate key</t>
  </si>
  <si>
    <t>Code (0.1, 4.2a) is for reading. Rate key (last column, grey) is permanent: saved projects store it. Never change or reuse a Rate key.</t>
  </si>
  <si>
    <t>Spon's check</t>
  </si>
  <si>
    <t>Spon's Architects' &amp; Builders' Price Book 2024 figure converted to this workbook's basis (Q3 2026, UK mid-point, excluding prelims and OH&amp;P), with the PDF page.</t>
  </si>
  <si>
    <t>PRICE SOURCE (column 'Source' on '2. Rates')</t>
  </si>
  <si>
    <t>Set by the owner.</t>
  </si>
  <si>
    <t>Suggested from Spon's 2024 and approved by the owner.</t>
  </si>
  <si>
    <t>Compared with Spon's 2024; the owner kept the existing rate.</t>
  </si>
  <si>
    <t>Carried from v4.5, not yet checked.</t>
  </si>
  <si>
    <t>Estimated, not yet checked. Lines using it are marked † on reports until the source changes.</t>
  </si>
  <si>
    <t>Change a price</t>
  </si>
  <si>
    <t>Edit the cell on '2. Rates' and update its Source. Save in Excel.</t>
  </si>
  <si>
    <t>Insert a row on '2. Rates' under the item with the next Rate key (e.g. S-0039-16), and a row for that key on '4. Scope rules' ▶ options.</t>
  </si>
  <si>
    <t>Add an item</t>
  </si>
  <si>
    <t>Insert its rows on '2. Rates', a row on ▶ items (next unused Scope ID — never reuse one) and a row per option on ▶ options.</t>
  </si>
  <si>
    <t>When an item shows, or its quantity</t>
  </si>
  <si>
    <t>4. Scope rules'.</t>
  </si>
  <si>
    <t>A percentage, ratio or factor</t>
  </si>
  <si>
    <t>3. Settings'.</t>
  </si>
  <si>
    <t>Check the self-checks below all read 0, bump the Version on '3. Settings', add a line to the update log, save in Excel.</t>
  </si>
  <si>
    <t>A new column, pricing type, input name or 'When selected' effect type; renamed sheets, ▶ markers or column headers.</t>
  </si>
  <si>
    <t>SCOPE RULES SHEET — WHAT THE COLUMNS MEAN</t>
  </si>
  <si>
    <t>Project type codes</t>
  </si>
  <si>
    <t>NB New build · EX Extension · RF Refurbishment · FO Fit-out · EW External works only · DM Demolition only · OM Other or mixed. Several codes separated by spaces, e.g. "NB EX RF". "—" means none.</t>
  </si>
  <si>
    <t>Building use codes</t>
  </si>
  <si>
    <t>Shown on / Pre-ticked on</t>
  </si>
  <si>
    <t>The project types an item is offered on, and the ones where "Use typical scope" ticks it.</t>
  </si>
  <si>
    <t>Relevant building uses</t>
  </si>
  <si>
    <t>Uses for which the item is listed first and can start ticked. It never hides an item — the rest sit under "More items".</t>
  </si>
  <si>
    <t>One = the user picks one option (drop-down). Several = more than one option, each with its own quantity (e.g. standard + accessible toilets).</t>
  </si>
  <si>
    <t>How the app estimates the quantity when the user has not entered one (their figure always wins). On ▶ options, blank = the item's rule.</t>
  </si>
  <si>
    <t xml:space="preserve">  names</t>
  </si>
  <si>
    <t>GIFA · STOREYS · FOOTPRINT · UPPER · EXT_AREA · DEMOLISHED · PT · USE · AGE · LEVEL — defined, with defaults, on '3. Settings' ▶ inputs.</t>
  </si>
  <si>
    <t xml:space="preserve">  ratios</t>
  </si>
  <si>
    <t>r.name reads ▶ quantity_ratios on '3. Settings': the row for the building use, else ALL (e.g. r.m2_per_bed is 25 for student, 70 for healthcare).</t>
  </si>
  <si>
    <t xml:space="preserve">  functions</t>
  </si>
  <si>
    <t>IF(test, then, else) · ROUND(x, 0) · MAX(a, b) · MIN(a, b) · SQRT(x) · Q(S-0000) = another item's quantity · + − * / and = &lt;&gt; &lt; &gt; &lt;= &gt;=.</t>
  </si>
  <si>
    <t xml:space="preserve">  keywords</t>
  </si>
  <si>
    <t>ENTER = not priced until the user enters a quantity. 1 = one item.</t>
  </si>
  <si>
    <t>Tests joined by "&amp;", then "→ tick" or "→ untick", e.g. "PT=NB &amp; USE=RES → tick". "=" followed by several codes means any of them.</t>
  </si>
  <si>
    <t>RISK: adds a risk · ASSUME: adds an assumption · RATE: moves another item's default one band up · SUGGEST: ticks another item (by Scope ID). Separate several with " · ".</t>
  </si>
  <si>
    <t>Available from / Pre-ticked at intervention levels</t>
  </si>
  <si>
    <t>Refurbishment and Fit-out only: the option is greyed out below that level, and starts ticked at the listed levels.</t>
  </si>
  <si>
    <t>Yes = the rate is multiplied by the location factor and, on Refurbishment / Fit-out, the intervention band.</t>
  </si>
  <si>
    <t>BCIS element / Share</t>
  </si>
  <si>
    <t>Where the item's cost is reported in the BCIS elements. Shares add up to 100%.</t>
  </si>
  <si>
    <t>v4.5 codes this item replaces, so older saved projects still open. Never delete.</t>
  </si>
  <si>
    <t>Duplicate rate keys on '2. Rates'</t>
  </si>
  <si>
    <t>Rows on '2. Rates' with no ▶ options row</t>
  </si>
  <si>
    <t>▶ options rows with no '2. Rates' row</t>
  </si>
  <si>
    <t>▶ options rows whose Scope ID is not on ▶ items</t>
  </si>
  <si>
    <t>Rows with no Source</t>
  </si>
  <si>
    <t>Items whose BCIS shares don't total 100%</t>
  </si>
  <si>
    <t>Pick-one items with more than one default</t>
  </si>
  <si>
    <t>Items with no quantity rule</t>
  </si>
  <si>
    <t>Priced rows</t>
  </si>
  <si>
    <t>v5.5 — 27 Sept 2026</t>
  </si>
  <si>
    <t>Reorganised for reading: '2. Scope and Rates' split into '2. Rates' (prices, one row per item or option, like v3.3) and '4. Scope rules' (the app's rules). Two rate families: Refurb &amp; Fit-out (same price for both) and New build &amp; Extension (Extension now priced as New build; Extension-only items moved into those columns); Ext Works column removed — External works only reads New build Std. Building use column on '2. Rates'. Units say what they measure (m² GIFA, m² footprint …). What's included / Not included written for every row, incl. what each size band assumes. Blank Basic / High = same as Standard; no price = not selectable in Q2.3. Rates from the owner's Spon's 2024 review (decisions up to 4.6 Signage). Service diversions: one rate, £100 per m² of footprint (external works area on External works only). Contaminated land not offered on demolition only. Changing Places prices only when a number is entered. Notes column moved into Source detail.</t>
  </si>
  <si>
    <t>-</t>
  </si>
  <si>
    <t>NK Comment</t>
  </si>
  <si>
    <t>Staff kitchenette (non-domestic)</t>
  </si>
  <si>
    <t>Per staff kitchenette in a non-domestic building (offices, schools, healthcare): base and wall units, worktop, sink and hot-water tap, fitted</t>
  </si>
  <si>
    <t>nr kitchenettes</t>
  </si>
  <si>
    <t>Type: Staff kitchenette (non-domestic)</t>
  </si>
  <si>
    <t>NB EX FO OM</t>
  </si>
  <si>
    <t>2026-09-28</t>
  </si>
  <si>
    <t>Removed by the owner in the v5.5 review (bin store S-0082 deleted)</t>
  </si>
  <si>
    <t>v5.6 — 28 Sept 2026</t>
  </si>
  <si>
    <t>Yes = the option chosen unless the user picks another. Building-use codes (e.g. RES STU) = the default for those uses only, ahead of Yes — Kitchens defaults to a domestic kitchen on residential and student buildings and a staff kitchenette everywhere else.</t>
  </si>
  <si>
    <t>Owner's review of v5.5: rates edited by the owner (roof, internal doors, toilets, fixed joinery, signage, AV, loose furniture, heating High, water, cooling, controls, lighting, fire alarm, sprinklers, solar PV); frame, upper floors and stairs no longer offered on refurbishment. Toilets: one rate for every building use (HOS and HEA variants removed). Changing Places Standard £45,000. Showers 900 / 1,400 / 2,500. Bathroom pods and bin store removed (bin store's old code 8.12 retired). Tea point renamed Staff kitchenette (non-domestic). Mezzanine offered on Fit-out, not Refurbishment. Kitchens: staff kitchenette is the default on non-domestic buildings, domestic kitchen on residential and student (Default option now takes building-use codes).</t>
  </si>
  <si>
    <t>5.26b</t>
  </si>
  <si>
    <t>As 5.26a for flats and student rooms being rewired: chasing walls for new containment, holes through ceilings, infilling and making good. Added automatically</t>
  </si>
  <si>
    <t>Tender – Lakeside S&amp;F (Sep 2026)</t>
  </si>
  <si>
    <t>S-0083-02</t>
  </si>
  <si>
    <t>5.14b</t>
  </si>
  <si>
    <t>As 5.14a for flats and student rooms: data and telephone outlets per flat, communal data cabling and cabinets, and TV/FM aerial distribution</t>
  </si>
  <si>
    <t>S-0052-02</t>
  </si>
  <si>
    <t>5.3b</t>
  </si>
  <si>
    <t>Extract fans only</t>
  </si>
  <si>
    <t>Extract fans only: bathroom and WC extract fans, kitchen cooker-hood extract, ducting to outside, fire collars and electrical connection; no central plant</t>
  </si>
  <si>
    <t>Full ventilation systems (5.3a); cooling (5.4). Not offered on new build</t>
  </si>
  <si>
    <t>S-0041-02</t>
  </si>
  <si>
    <t>3.3b</t>
  </si>
  <si>
    <t>As 3.3a for flats and student rooms: overboarding or making good existing plasterboard ceilings, mist coat and two coats emulsion (anti-fungal in kitchens and bathrooms)</t>
  </si>
  <si>
    <t>Light fittings (5.8); loft insulation (2.5b)</t>
  </si>
  <si>
    <t>S-0023-02</t>
  </si>
  <si>
    <t>3.2c</t>
  </si>
  <si>
    <t>As 3.2a for flats and student rooms: latex levelling screed, sheet vinyl (slip-resistant in wet areas), skirtings and threshold strips</t>
  </si>
  <si>
    <t>S-0022-03</t>
  </si>
  <si>
    <t>2.5b</t>
  </si>
  <si>
    <t>Loft insulation only</t>
  </si>
  <si>
    <t>Loft insulation top-up only, roof kept: remove and dispose of old quilt, lay 300 mm mineral wool quilt at ceiling level between and over joists (measured on plan, = footprint)</t>
  </si>
  <si>
    <t>Roof covering, structure and repairs (2.5a); fire barriers in the roof void (2.10). Not offered on new build</t>
  </si>
  <si>
    <t>S-0015-02</t>
  </si>
  <si>
    <t>£32 (bids £29–£39) on 1,099 m², incl. removing the old insulation</t>
  </si>
  <si>
    <t>£5,296 per kitchen (bids £4,538–£5,890): units supplied and fitted, sink and taps connected. New build columns not changed</t>
  </si>
  <si>
    <t>2.5a</t>
  </si>
  <si>
    <t>Full roof</t>
  </si>
  <si>
    <t>3.3a</t>
  </si>
  <si>
    <t>5.3a</t>
  </si>
  <si>
    <t>Full system</t>
  </si>
  <si>
    <t>5.14a</t>
  </si>
  <si>
    <t>5.26a</t>
  </si>
  <si>
    <t>Residential: £51 — see 3.2c</t>
  </si>
  <si>
    <t>Residential: £30 — see 3.3b</t>
  </si>
  <si>
    <t>£20 (bids £15–£26) for local pipework changes to new kitchens and bathrooms — confirms £19.5</t>
  </si>
  <si>
    <t>Not comparable: the tender only covered works to the existing central battery system</t>
  </si>
  <si>
    <t>Data alone £19.4 (bids £17–£29), residential — confirms £18. With TV aerial see 5.14b</t>
  </si>
  <si>
    <t>Lump sum £76k (bids £61k–£84k) for estate amenity lighting incl. trenching; no external area to convert</t>
  </si>
  <si>
    <t>Lakeside S&amp;F tender (29 Sep 2026): builder's work for the rewire of 49 flats and a house, median of 4 bids ÷ 0.94 = £27/m²; Basic and High scaled from 5.26a; New build columns = 5.26a</t>
  </si>
  <si>
    <t>Lakeside S&amp;F tender (29 Sep 2026): data, telephone and TV aerial per flat plus communal cabling, median of 4 bids ÷ 0.94 = £24.5/m²; Basic and High scaled from 5.14a; New build columns = 5.14a</t>
  </si>
  <si>
    <t>Scope: Extract fans only</t>
  </si>
  <si>
    <t>Lakeside S&amp;F tender (29 Sep 2026): bathroom and kitchen extract fans, ducting and electrical connections, median of 4 bids ÷ 0.94 = £18.5/m²; Basic and High scaled from 5.3a</t>
  </si>
  <si>
    <t>Lakeside S&amp;F tender (29 Sep 2026): overboard and redecorate ceilings in flats and stair cores, median of 4 bids ÷ 0.94 = £30/m²; Basic and High scaled from 3.3a; New build columns = 3.3a</t>
  </si>
  <si>
    <t>Lakeside S&amp;F tender (29 Sep 2026): latex screed, sheet vinyl and skirtings in flats and stair cores, median of 4 bids ÷ 0.94 = £51/m²; Std £50, Basic and High scaled from 3.2a; New build columns = 3.2a</t>
  </si>
  <si>
    <t>Scope: Loft insulation only</t>
  </si>
  <si>
    <t>Lakeside S&amp;F tender (29 Sep 2026): 1,099 m² of 300 mm quilt incl. removing old insulation, median of 4 bids ÷ 0.94 = £32/m²</t>
  </si>
  <si>
    <t>Scope: Full roof</t>
  </si>
  <si>
    <t>Scope: Full system</t>
  </si>
  <si>
    <t>v4.5 0.5. No source recorded in v4.5 · Sep 2026: rates from the Lakeside S&amp;F tender returns (see 'Tender check' on '2. Rates')</t>
  </si>
  <si>
    <t>v4.5 4.2-RES. No source recorded in v4.5 · Sep 2026: rates from the Lakeside S&amp;F tender returns (see 'Tender check' on '2. Rates')</t>
  </si>
  <si>
    <t>v4.5 4.3. No source recorded in v4.5 · Sep 2026: rates from the Lakeside S&amp;F tender returns (see 'Tender check' on '2. Rates')</t>
  </si>
  <si>
    <t>v4.5 5.7 switchgear + 5.8 wiring (no sub-distribution row for residential in v4.5) · Sep 2026: rates from the Lakeside S&amp;F tender returns (see 'Tender check' on '2. Rates')</t>
  </si>
  <si>
    <t>Lakeside S&amp;F tender, Sep 2026: 50 dwellings on 3,306 m², one bathroom each</t>
  </si>
  <si>
    <t>Tender check</t>
  </si>
  <si>
    <t>From the Lakeside Staff &amp; Family Flats tender returns (29 Sept 2026); the figure and bid range are in the 'Tender check' column.</t>
  </si>
  <si>
    <t>v5.7 — 30 Sept 2026</t>
  </si>
  <si>
    <t>Lakeside S&amp;F tender returns (29 Sept 2026): five bids, four used (median ÷ 0.94 West Midlands factor, on 3,306 m² measured floor area). Changed, Refurb &amp; Fit-out columns only: strip-out £45 → £55; bathrooms £900 / £2,000 / £3,500 → £1,150 / £2,500 / £4,400; domestic kitchens £3,500 / £6,000 / £10,000 → £3,100 / £5,300 / £8,850; residential power (5.7b) £70 / £108 / £185 → £95 / £150 / £255. Added: residential rows (RES STU) for floor finishes (3.2c £50), ceilings (3.3b £30), data incl. TV aerial (5.14b £25) and builder's work (5.26b £27); options Roof — Loft insulation only (2.5b, £32/m² roof) and Ventilation — Extract fans only (5.3b, £19). Ratios: m2_per_dwelling 80 → 66, bathrooms_per_dwelling 1.2 → 1.0. New 'Tender check' column on '2. Rates' and price source 'Tender – Lakeside S&amp;F (Sep 2026)'. Confirmed and kept: wall finishes, water (visible fittings), fire alarm, data, fire stopping (Basic).</t>
  </si>
  <si>
    <t>v5.8 — 1 Oct 2026</t>
  </si>
  <si>
    <t>CS: £48 (bids £45–£51) for insulated render to part of the façade of an occupied 4-storey building. With the brick remedials under it (see 7.1a): £97 (bids £70–£122). Scaffold extra (see 2.7).</t>
  </si>
  <si>
    <t>CS: £210 (bids £192–£228) for triple-glazed windows, curtain walling and doors on a whole 4-storey building (openings ≈ 16% of GIFA, ≈ £1,330/m² of opening), incl. take-out, closers, fire barriers, reveals, boards and decs (≈ 30% on top of supply and fit). 17% above High. The low bid left out the curtain walling. Scaffold for envelope works (in the bids' prelims): £42 (bids £35–£49) per m² GIFA, extra to 2.5a, 2.6 and 2.7. Out-turn: window design development added £86k (3.3% of the contract sum) after award.</t>
  </si>
  <si>
    <t>CS: £224 (bids £210–£238) for the whole M&amp;E package of an air source heat pump conversion of an occupied academic building: heat pumps replacing gas boilers, LTHW alterations, coils to 6 AHUs, about 160 radiators, BMS and ventilation (no breakdown). Std 5.1b + 5.5 = £93. Heat pumps: 3 × 118 kW (N+1, about 240 kW duty, about 69 W/m² after the fabric works), so about £1,800–2,100 per kW installed for the whole M&amp;E package.</t>
  </si>
  <si>
    <t>Residential rewire: £27 — see 5.26b. CS: £8 (bids £6–£10), 2.5–4.6% of M&amp;E, for a heat pump conversion (plant room, pipework and radiators).</t>
  </si>
  <si>
    <t>CS: £48 (bids £25–£71) for brick remedials before rendering: slab edges exposed, new stainless steel angles and cavity trays, remedial ties, movement joints, repointing.</t>
  </si>
  <si>
    <t>Evidence only, no rates changed. Computer Science Building decarbonisation tender returns (Harrabin and Chiel, March 2024; mean of two bids × 1.07 ÷ 0.94, on 3,495 m² GIA and 699 m² of roof) added to the Tender check column for 2.5a roof, 2.6 external walls, 2.7 windows (with the scaffold figure), 5.1b air source heat pump, 5.26a builder's work and 7.1a repairs, with the final out-turn (July 2026) and CPW's heat pump sizes. The Tender check header and its note above now cover more than one project. Suggested for the owner to decide: roof Std about £300 (Computer Science £313, Claycroft £627–£704); air source heat pump full system Std about £190; a scaffold item of about £40/m² GIFA for envelope works; triple glazing about £210/m² GIFA (an option, or High).</t>
  </si>
  <si>
    <t>Whitefields rate (£ per this row's unit, this workbook's basis: Total Reclaims contract 2026, excl. the contractor's prelims and OH&amp;P, ÷ 0.94 × 1.014. Evidence only — the app does not read it)</t>
  </si>
  <si>
    <t>Whitefields rate</t>
  </si>
  <si>
    <t>v5.9 — 2 Oct 2026</t>
  </si>
  <si>
    <t>Tender check (this row's unit, on this workbook's basis. Unlabelled = Lakeside S&amp;F, Sep 2026: median of 4 bids ÷ 0.94. CS = Computer Science decarbonisation, Mar 2024: 2 bids × 1.07 ÷ 0.94. WF = Whitefields demolition, Total Reclaims contract 2026: line items × 1.014 ÷ 0.94 — the figure is also in column R. CC = Claycroft refurbishment, Morgan Sindall G4 contract May 2025: packages × 1.034 ÷ 0.94 — the figure is also in column S)</t>
  </si>
  <si>
    <t>Claycroft rate (£ per this row's unit, this workbook's basis: Morgan Sindall G4 contract, May 2025 — sub-contract packages excl. Morgan Sindall's prelims, risk, fee and design, × 1.034 ÷ 0.94, on 17,172 m² GIA measured. 2.10 fire stopping is the forecast out-turn (Mace Val 16, Sep 2026). Evidence only — the app does not read it)</t>
  </si>
  <si>
    <t>£54 (bids £36–£56) for a partial strip-out: finishes, fittings, redundant electrics and protection CC: £51.4 on the Claycroft G4 contract (Cawarden, £801,990): full strip-out of three occupied student blocks, 17,172 m² GIA. Three bids £802k–£928k.</t>
  </si>
  <si>
    <t>Loft insulation only: £32 — see 2.5b. CS: £313 (bids £288–£338) per m² of roof re-covered (699 m², less than the footprint) for a flat warm-roof overlay on the kept asphalt: AVCL, 120 mm PIR, two-layer felt, insulated upstands, new copings, ballast relaid. Scaffold extra (see 2.7). Claycroft pitched re-roof £627–£704. CC: £517 per m² of roof plan (5,747 m² footprint) on the G4 contract: strip concrete tiles, top-hat spacers, Euroclad secret-fix metal over-roof, hips and verges, new eaves, gutters and soffits (£596 per m of eaves), incl. Metclad's design and prelims; excl. the bay-window cladding and scaffold (scaffold £99 per m² of plan). Forecast out-turn with roof timber remedials £601. Tiled like-for-like alternative about £460 (Stage 3).</t>
  </si>
  <si>
    <t>£13.5 (bids £7–£32) for local fire stopping only — in line with Basic £15 CC: £96 forecast out-turn (Mace Val 16, Sep 2026; £88 if the Claycroft 2 CE replaces its provisional sum), against £22 for the £350k provisional sum in the G4 contract. By block: Claycroft 1 £53 (final); Claycroft 3 £76 (measured: about 18 seals per bed at about £42 each; access 22% of the cost); Claycroft 2 £135–£155 (under review). Excludes £1.30m of compartment-wall head remediation on Claycroft 3, which included a 16-week delay.</t>
  </si>
  <si>
    <t>£72 (bids £60–£84) incl. bathroom wall cladding, kitchen tiling and full redecoration — confirms £75 CC: £99 on the G4 contract: decoration (RE Martin, £1.02m; three bids £1.02m–£1.16m), making good (£274k) and PVC hygienic wall cladding (£251k). Includes painting ceilings and doors.</t>
  </si>
  <si>
    <t>£51 (bids £48–£59). New build columns copied from 3.2a CC: £38 on the G4 contract: carpet and vinyl (Active, £506k; three bids £506k–£660k), Claycroft 2 corridor and lobby floors (£88k) and screed (£4.5k).</t>
  </si>
  <si>
    <t>£30 (bids £21–£36). New build columns copied from 3.3a CC: £70 on the G4 contract: ceilings and partitions package (Ace, £1.10m; three bids £1.10m–£1.23m) — replacement plasterboard ceilings (two layers of fire-line board on top floors), stair soffits and some partitions, not split. Claycroft replaced its ceilings, so compare with 3.3a.</t>
  </si>
  <si>
    <t>£2,563 per bathroom (bids £2,322–£4,440); standard suite alone £2,460. New build columns not changed CC: £3,869 per bathroom on the G4 contract, Claycroft 1 (135 bathroom units): IPS and vanity (Inscape) plus WC, basin and bath with taps, incl. assisted-bathroom changes. Water and drainage connections are in 5.2a; PVC wall cladding is in 3.1.</t>
  </si>
  <si>
    <t>CC: £64 on the G4 contract: joinery package (Mansard, £994k; two bids £994k–£1.04m) — bathroom joinery (boxings, bath panels, shelves) 67%, bedroom joinery (wardrobe alterations, shelving) 21%, other incl. signage 12%.</t>
  </si>
  <si>
    <t>CC: £39 on the G4 contract: domestic hot and cold water (riser pipework and valves, bathroom connections, DHW plate heat exchangers and pumps) and drainage (bathroom connections to stacks, SVP terminations). A partial replacement, not a full installation. Sanitaryware is in 4.2a.</t>
  </si>
  <si>
    <t>Residential extract-only scope: £18.5 — see 5.3b CC: forecast out-turn £92 (Mace Val 16) for bathroom extract incl. new ductwork and roof-mounted fans added by CE in Claycroft 1 (£182k) and Claycroft 2 (£865k). The contract figure is on 5.3b.</t>
  </si>
  <si>
    <t>£18.5 (bids £13–£23), incl. the electrical connection to each fan CC: £28 on the G4 contract: new branch connections, dampers and grilles to the existing bathroom extract, duct cleaning and flow checks, plus fire dampers (£124k). Forecast out-turn £92 once new ductwork and roof fans were added — see 5.3a.</t>
  </si>
  <si>
    <t>CC: £4.3 on the G4 contract: interfaces from the existing BEMS to the new fire alarm and DHW controls only.</t>
  </si>
  <si>
    <t>Power + lighting £186 (bids £157–£253) less lighting 5.8a £33 = £153; incl. landlord panels and sub-mains per block. New build columns not changed CC: £158 on the G4 contract: full rewire — LV switch panels and distribution boards (£1.10m), containment (£366k), small power (£669k), isolation and strip-out of the old installation (£158k) and earthing. Electrical total with lighting, fire alarm and data: £355.</t>
  </si>
  <si>
    <t>Not separable in the tender — checked together with 5.7b CC: £113 on the G4 contract for general, emergency and external lighting together (£1.66m, not split) — compare with 5.8a + 5.9 (£33 + £10).</t>
  </si>
  <si>
    <t>£18.6 (bids £18–£21), residential — confirms £18 CC: £65 on the G4 contract: new fire alarm throughout three blocks of student flats (£949k). Disabled refuge and assisted-WC alarms add £8.5 (not in this figure).</t>
  </si>
  <si>
    <t>£24.5 incl. TV aerial system (bids £22–£39). New build columns copied from 5.14a CC: £19 on the G4 contract: voice and data (£284k); no TV aerial system.</t>
  </si>
  <si>
    <t>Not comparable: the tender only had doorbells and door-entry infrastructure CC: £4.5 on the G4 contract: access control (£52k) and CCTV (£14k) only.</t>
  </si>
  <si>
    <t>CC: £112,850 per lift on the G4 contract: one passenger lift removed and replaced in Claycroft 3 (Morris Vermaport, £102,588 incl. design).</t>
  </si>
  <si>
    <t>£27 (bids £18–£55): chasing and making good for a full rewire of occupied flats. New build columns copied from 5.26a CC: £11 on the G4 contract: builder's work assessed by Morgan Sindall at 2.2% of M&amp;E (£172k); more builder's work is priced inside the M&amp;E lines.</t>
  </si>
  <si>
    <t>CC: no contract figure. The forecast out-turn (Mace Val 16) adds £2.65m of structural and fabric defect remediation, £164 on this basis — mostly a £2.14m budget for Claycroft 2, found only as each block was opened up.</t>
  </si>
  <si>
    <t>Lakeside Staff &amp; Family Flats tender returns (29 Sept 2026) converted to this workbook's basis: the median of the four credible bids (BSN, Chiel, Harrabin, William Gough with its kitchen error corrected; Watkin Jones excluded at twice the field) ÷ 0.94 West Midlands factor, per this row's unit, on 3,306 m² measured floor area (49 flats, the Warden's house and nine stair cores). Excludes the contractors' preliminaries and OH&amp;P. Lines starting 'CS:' are the Computer Science Building decarbonisation tender returns (Harrabin and Chiel, March 2024; two bids, so the mean): tender × 1.07 (to Q3 2026) ÷ 0.94, on 3,495 m² GIA (UoW Estates CAD outlines) and 699 m² of roof. Evidence only: no rate was changed for them in v5.8. Final out-turn (financial statement, July 2026): construction £2.73m, +3.4% on a £2.64m contract; total project £3.13m excl. VAT. WF lines: Whitefields demolition (17 blocks, UoW main campus), the Total Reclaims contract (tendered Feb 2026, Option 2) — the figure is also in column R, Whitefields rate. CC lines: the Claycroft student residences refurbishment (679 beds, three occupied blocks, UoW main campus), Morgan Sindall G4 contract (May 2025, SCAPE) — the figure is also in column S, Claycroft rate.</t>
  </si>
  <si>
    <t>Claycroft rate</t>
  </si>
  <si>
    <t>Column S on '2. Rates': the Claycroft student residences refurbishment figure for that row (Morgan Sindall, Tier 1, SCAPE Lot 4, NEC ECC; G4 contract £20,955,523, May 2025), in the row's unit and on this workbook's basis — sub-contract package values without Morgan Sindall's prelims, risk, fee and design, × 1.034 to Q3 2026, ÷ 0.94 West Midlands factor. m² GIFA uses 17,172 m² GIA and m² roof the 5,747 m² footprint, both measured from the UoW Estates fire plans; bathrooms use Claycroft 1 (135 bathroom units). M&amp;E rows include their share (6.5%) of the M&amp;E design, prelims and testing. 2.10 fire stopping is the forecast out-turn (Mace Val 16, Sep 2026; ÷ 0.94, not rebased), because the contract held only a £350k provisional sum. Evidence only: the app does not read this column and no rate changed.</t>
  </si>
  <si>
    <t>v5.10 — 3 Oct 2026</t>
  </si>
  <si>
    <t>Evidence only, no rates changed. New column S 'Claycroft rate' on '2. Rates' and CC lines in Tender check, from the Claycroft refurbishment (Morgan Sindall G4 contract £20.96m, May 2025; Mace Val 16 forecast final account £27.96m, +33%; 17,172 m² GIA measured, 679 beds): strip-out £51; metal over-roof £517/m² roof; fire stopping £96 (out-turn); wall finishes £99; floor finishes £38; ceilings £70; bathrooms £3,869 each; fixed joinery £64; water and drainage £39; extract £28; power £158; lighting incl. emergency £113; fire alarm £65; data £19; passenger lift £112,850; BWIC £11. Not on '2. Rates': scaffold £33/m² GIA; Morgan Sindall prelims 11.3% of works, fee 2.2%, risk 2.8%, design 2.1%; client risk and contingency 21.5% of contract, exceeded by the forecast growth (structural and fabric defects £2.65m, fire stopping incl. compartment-wall heads £2.63m, M&amp;E £1.40m, roof £0.55m).</t>
  </si>
  <si>
    <t>Column R on '2. Rates': the Whitefields demolition contract figure for that row (Total Reclaims, £525,676; AFC £532,445 at FS 16, Jul 2026), in the row's unit and on this workbook's basis — line items without the contractor's prelims and OH&amp;P, ÷ 0.94 West Midlands factor, × 1.014 to Q3 2026. Quantities from the owner: 17 blocks, 3,740 m² GIA (about 220 m² each over ground and first floors), 2,210 m² footprint (about 130 m² each), 8,000 m² site. Evidence only: the app does not read this column and no rate changed.</t>
  </si>
  <si>
    <t>Evidence only, no rates changed. New column R 'Whitefields rate' on '2. Rates' and WF lines in Tender check, from the Whitefields demolition contract (Total Reclaims £525,676; AFC £532,445 at FS 16, Jul 2026; 3,740 m² GIA, 2,210 m² footprint, 8,000 m² site): 0.1 asbestos £8.1/m² GIFA; 0.2 demolition incl. disconnections £73/m² demolished; 0.7 service diversions £36/m² footprint (254 m water-main replacement); 8.10 topsoil and seed £2.1/m². Not on '2. Rates': the contractor's prelims incl. hoarding were 16.8% of works and OH&amp;P 15%; professional fees 28% of construction (asbestos surveys £43k, ecology £33k), UoW Estates fees 4%, contingency 7%; construction 15–16 weeks on site.</t>
  </si>
  <si>
    <t>WF: £8.1 on the contract (Total Reclaims, £28,050 to the asbestos BoQ) over 3,740 m² GIA (17 blocks × about 220 m², owner's figures). Five bids on the same BoQ: £8.1–£42.5, median £12.7. Mace's pre-tender allowance was £85,000 (£24.5). The R&amp;D survey (£9,400) was a fee.</t>
  </si>
  <si>
    <t>WF: £73 per m² demolished on the contract, 3,740 m² GIA (17 blocks × about 220 m², owner's figures): soft strip, demolish, slabs and foundations £34; disconnecting and cutting back drainage, water, gas, electrical and telecoms, plus Trinity / Honeywell fire alarm, security and metering removal, £39. Core demolition across five bids £34–£70 (median £46). About £15k per block. Excludes the water-main replacement (0.7) and the contractor's own £15k provisional sums for the Trinity / Honeywell work, which those quotes replace.</t>
  </si>
  <si>
    <t>WF: £36 per m² footprint on the contract (17 × about 130 m² = 2,210 m² footprint): replacing 254 m of ductile iron water main across the site in MDPE, with temporary water, trenching, stone surround and tarmac reinstatement (£74k; about £315/m of main). £44 with the changes pending at FS 16, Jul 2026 (trial pits on the district heating and water mains, out-of-hours water works: £16.7k).</t>
  </si>
  <si>
    <t>WF: £2.1 per m² over the 8,000 m² site (contract £15.4k): topsoil and grass seed to the UoW Grounds specification only — no planting or maintenance. Five bids £2.1–£11.2, median £3.2.</t>
  </si>
  <si>
    <t>SUGGEST: S-0020 Fire stopping · SUGGEST: S-0047 Emergency lighting · SUGGEST: S-0001 Asbestos removal</t>
  </si>
  <si>
    <t>SUGGEST: S-0041 Ventilation · SUGGEST: S-0019 Internal doors</t>
  </si>
  <si>
    <t>SUGGEST: S-0041 Ventilation</t>
  </si>
  <si>
    <t>SUGGEST: S-0020 Fire stopping · SUGGEST: S-0047 Emergency lighting</t>
  </si>
  <si>
    <t>Additions A–H, applied in the NRM1 order the app uses: A Prelims = % × Works; B OH&amp;P = % × (Works + A); Construction = Works + A + B; C Fees and D Developer costs = % × Construction; Base = Construction + C + D; E Risk and H Contingency = % × Base; F Inflation = % × (Base + E + H). A Prelims: 7% base (relaxed, vacant, no restrictions) plus the ADD rows that apply, capped at 11% outside London; London rows add 2 (Outer) or 3 (Inner) points with a 14% cap. The cap used is the highest cap among the rows that apply. Every figure here is read by the app — change it here, not in the code. Since v5.16 the E and H rows below are not used: risk is set by ▶ risk_allowance (four NRM1 categories, no separate contingency); they are kept only for older copies of the app.</t>
  </si>
  <si>
    <t>NRM1 COST ESTIMATE TOOL — v5.19 (October 2026)</t>
  </si>
  <si>
    <t>Project rate columns (T–Z)</t>
  </si>
  <si>
    <t>Columns T–Y on '2. Rates' hold the other real projects' figures in the row's unit and on this workbook's basis, beside Whitefields (R) and Claycroft (S): T Lakeside S&amp;F (tender Sep 2026, median of 4 bids); U Computer Science decarbonisation (tender Mar 2024, mean of 2 bids); V Scarman Public Toilets Phase 2 (HIGH spec, tender Apr 2026, median of 6 bids; per m² over the 71 m² toilet area); W Co-op grocery store fit-out (Kingfisher contract Aug 2025, 885 m²); X IBRB café servery (Senevo winning bid 2025, 72 m² café, 28 m² servery); Y Riley Court Psychology full refurbishment (Maris signed contract £9.15m, GMP Nov 2024, GIFA 3,850 m²). Each excludes the contractor's prelims, OH&amp;P and design, rebased to Q3 2026 and ÷ 0.94 West Midlands. Column Z is the average of R–Y for the row. Projects differ in scope and specification, so expect spread. Not on '2. Rates': scaffold for envelope works £42 (CS) and £33 (Claycroft) per m² GIFA; retail refrigeration £379 and retailer equipment £373 per m² (Co-op); preliminaries Lakeside ~9%, Whitefields 16.8%, Claycroft 11.3%, Scarman 14%, Co-op 7.2%, IBRB 17.7%, Riley Court 5.5% (+4% contractor PM and design). Evidence only: the app does not read these columns and no rate changed. Column AA is Claude's suggested Refurb &amp; Fit-out Standard rate for each row with evidence, and AB the reason (Raise / Lower / Keep). They are suggestions for the owner only: the app does not read them, and a rate changes only when the owner edits the rate columns.</t>
  </si>
  <si>
    <t>v5.19 — 9 Oct 2026</t>
  </si>
  <si>
    <t>Wording only, no figure changed: ▶ risk_allowance label 'ageing M&amp;E, being replaced' → 'ageing M&amp;E being replaced' (it read as two items in the report).</t>
  </si>
  <si>
    <t>v5.18 — 8 Oct 2026</t>
  </si>
  <si>
    <t>Professional fees by procurement route: new ▶ route_fees on '3. Settings'. Design and build: client fees −3 points and contractor's design 2% of construction (Claycroft D&amp;B 2.1%); two-stage (PCSA): −1.5 and 1%; traditional and construction management unchanged. Only while Stage 4 is still to do. The preferred route comes from the Procurement Reference.</t>
  </si>
  <si>
    <t>v5.17 — 8 Oct 2026</t>
  </si>
  <si>
    <t>Inflation from the rate base date: new ▶ inflation on '3. Settings'. Rates are at Q3 2026 (15 Aug 2026); 3.5% a year compounded to the programme's construction mid-point, capped at 12%. Replaces the banded F rows of ▶ percentage_rules.</t>
  </si>
  <si>
    <t>v5.16 — 8 Oct 2026</t>
  </si>
  <si>
    <t>Risk allowance in the four NRM1 categories: new ▶ risk_allowance on '3. Settings' (design development by design stage, construction, employer change, employer other; cap 25%). Replaces E and the fixed 5% contingency H. Items already priced in the scope reduce or remove their risk row; occupation, deadline and phasing stay in prelims and programme only.</t>
  </si>
  <si>
    <t>v5.15 — 7 Oct 2026</t>
  </si>
  <si>
    <t>Confidence grade scored from the workbook: new ▶ confidence on '3. Settings' (points per factor, grade thresholds, caps: Stage 0–1 at B; existing building with neither a condition nor an R&amp;D survey at C). ▶ range_widths skewed upwards: A −10/+15, B −10/+20, C −15/+25, D −20/+35.</t>
  </si>
  <si>
    <t>v5.14 — 6 Oct 2026</t>
  </si>
  <si>
    <t>Preliminaries: 7% base (relaxed, vacant, no restrictions) plus occupation, restricted hours, shared access, programme over 18 months, 4+ M&amp;E items, heritage, hard deadline and speed-first, capped at 11%; Outer London +2 and Inner London +3 with a 14% cap. The ▶ percentage_rules header states the on-cost order the app uses (OH&amp;P on works + prelims; risk on base cost; inflation on the cost limit).</t>
  </si>
  <si>
    <t>v5.13 — 5 Oct 2026</t>
  </si>
  <si>
    <t>Scope dependencies ('When selected' SUGGEST on '4. Scope rules'): kitchens and bathrooms → ventilation (domestic also → internal doors); strip-out → fire stopping, emergency lighting, asbestos removal; full power installation → fire stopping, emergency lighting. The report flags any that are not ticked.</t>
  </si>
  <si>
    <t>v5.12 — 4 Oct 2026</t>
  </si>
  <si>
    <t>Rates updated from the owner's review of the v5.11 suggestions (column AA marked green = accept, amber = owner's figure, red = no change). 25 rows changed; each row's Basic, Standard, High and New build Std / High move by the same ratio as Standard (new Std ÷ old Std), rounded. Std (Refurb &amp; Fit-out): demolition 130→100; roof 110→190; external walls 60→100; windows 120→140; internal walls 110→150; internal doors 60→100; floor finishes 75→85; ceilings 50→80; staff kitchenette 4,000→6,000; signage 10→12; catering kitchen 690→1,000; ASHP full system 78→190 and district heating full system 54→120 (now figures, not = 5.1a × factor; their plant-only / radiators-only rows still follow by formula); water and drainage 65→80; ventilation 45→75 (owner); extract fans 19→22; BMS 15→25; lighting 33→80 (5.8b follows at 75%); fire alarm 18→35; data 18→20; security 15→20; passenger lift 40,000→60,000 (owner); builder's work 18→12; foul drainage 6→10 (owner); external utilities 10→25. Kept: toilets and accessible WCs (owner: no change) and the 20 'keep' rows; 5.2b visible-fittings water fixed at its figures (19.5 Std, Lakeside tender) so it does not follow 5.2a. Changed rows' Source = 'Your figure'.</t>
  </si>
  <si>
    <t>v5.11 — 4 Oct 2026</t>
  </si>
  <si>
    <t>Evidence only, no rates changed. Six more project columns on '2. Rates' beside Whitefields (R) and Claycroft (S), each a plain figure in the row's unit on this workbook's basis: T Lakeside S&amp;F (15 rows), U Computer Science (6), V Scarman Public Toilets Phase 2, high spec (12), W Co-op store fit-out (19), X IBRB café (7), Y Riley Court Psychology refurbishment (27, from the signed contract CSA). Column Z averages R–Y on 47 rows. Row 24 explains the columns and lists the evidence that has no row (scaffold, retail refrigeration and equipment, preliminaries %). Columns AA–AB: Claude's suggested Refurb &amp; Fit-out Std rate and the reason, on all 47 rows (25 raise, 2 lower, 20 keep).</t>
  </si>
  <si>
    <t>Lakeside rate (£ per this row's unit, this workbook's basis: Lakeside Staff &amp; Family Flats refurbishment, tender Sep 2026, median of 4 bids ÷ 0.94. Evidence only — the app does not read it)</t>
  </si>
  <si>
    <t>Computer Science rate (£ per this row's unit, this workbook's basis: CS Building decarbonisation, tender Mar 2024, mean of 2 bids × 1.07 ÷ 0.94; roof per m² footprint; 5.1b is the whole M&amp;E package. Evidence only)</t>
  </si>
  <si>
    <t>Scarman rate (£ per this row's unit, this workbook's basis: Scarman Public Toilets Phase 2, HIGH specification, tender Apr 2026, median of 6 bids × 1.007 ÷ 0.94; per m² figures over the 71 m² toilet area only. Evidence only)</t>
  </si>
  <si>
    <t>Co-op rate (£ per this row's unit, this workbook's basis: Co-op grocery store fit-out, Kingfisher CSA, contract Aug 2025 × 1.03 ÷ 0.94, over 885 m². Evidence only)</t>
  </si>
  <si>
    <t>IBRB café rate (£ per this row's unit, this workbook's basis: IBRB café servery fit-out, Senevo winning bid 2025 × 1.035 ÷ 0.94, over 72 m² (catering kitchen per 28 m² servery). Evidence only)</t>
  </si>
  <si>
    <t>Riley Court rate (£ per this row's unit, this workbook's basis: Psychology building full refurbishment, Maris signed contract CSA £9.15m, GMP Nov 2024 × 1.05 ÷ 0.94, GIFA 3,850 m². Evidence only)</t>
  </si>
  <si>
    <t>Average of project rates (mean of columns R–Y that hold a figure for this row. Projects differ in scope and specification, so read it with the column notes. Evidence only — the app does not read it)</t>
  </si>
  <si>
    <t>Suggested Refurb &amp; Fit-out Std rate (Claude's suggestion from the project columns R–Y, 4 Oct 2026, for the owner to accept, change or ignore. Evidence only — the app does not read it)</t>
  </si>
  <si>
    <t>Reason for the suggestion</t>
  </si>
  <si>
    <t>Keep. Matches Mace pre-tender allowance (£24.5); one low tender (£8) is not enough to cut it.</t>
  </si>
  <si>
    <t>Lower. Whitefields £73 on simple 2-storey masonry; £100 leaves room for framed or taller buildings.</t>
  </si>
  <si>
    <t>Keep. Lakeside, Claycroft, Co-op and Riley Court all £49–55. Scarman and IBRB are tiny jobs.</t>
  </si>
  <si>
    <t>Keep. One water-main job (£36); diversions are too site-specific to move the rate.</t>
  </si>
  <si>
    <t>Raise. Computer Science £182 per m² footprint. Claycroft metal over-roof £517 is a High case.</t>
  </si>
  <si>
    <t>Keep. Lakeside tender.</t>
  </si>
  <si>
    <t>Raise. CS part render £48; Riley Court full envelope upgrade £171 (cladding, insulated linings).</t>
  </si>
  <si>
    <t>Raise. Riley Court new windows £147; CS triple glazing £210 (High). Co-op was refinish only.</t>
  </si>
  <si>
    <t>Raise. Riley Court £247 (acoustic academic partitions); Co-op £26 was a light shop fit-out.</t>
  </si>
  <si>
    <t>Raise. Riley Court £164, Scarman £99; Co-op £9 reused most doors.</t>
  </si>
  <si>
    <t>Keep. Most projects £3–24; Claycroft £96 out-turn (surveyed occupied residential) is a High case.</t>
  </si>
  <si>
    <t>Keep. Lakeside £72, Claycroft £99, Riley Court £39 (decoration only). Scarman is toilet-area only.</t>
  </si>
  <si>
    <t>Raise slightly. Riley Court £95 full replacement; Co-op £22 kept its floor. Scarman is toilet-area only.</t>
  </si>
  <si>
    <t>Keep. Lakeside £51, Claycroft £38.</t>
  </si>
  <si>
    <t>Raise. Riley Court £110 new suspended ceilings; Co-op £21 painted soffits only.</t>
  </si>
  <si>
    <t>Keep. Lakeside £30; Claycroft £70 was full replacement (High case).</t>
  </si>
  <si>
    <t>Keep as is (owner, 4 Oct 2026).</t>
  </si>
  <si>
    <t>Keep. Lakeside £2,563; Claycroft £3,869 sits between Std and High.</t>
  </si>
  <si>
    <t>Keep. Lakeside tender £5,296.</t>
  </si>
  <si>
    <t>Raise. Riley Court about £10,300 per tea point (8 assumed); your own review said £5,500.</t>
  </si>
  <si>
    <t>Keep. Riley Court £42, Claycroft £64, Co-op £7.</t>
  </si>
  <si>
    <t>Raise slightly. Riley Court £12, Co-op £16 (incl. graphics).</t>
  </si>
  <si>
    <t>Raise. IBRB café servery £1,438 (bespoke stainless) = High; your own review said Std £1,000.</t>
  </si>
  <si>
    <t>Raise. CS whole heat pump M&amp;E package £224; enter as a figure, not = 5.1a × factor.</t>
  </si>
  <si>
    <t>Raise. Riley Court £135 incl. new LTHW pipework, radiators and pumps off district heating.</t>
  </si>
  <si>
    <t>Raise. Riley Court £105, IBRB £124 (small café); Claycroft £39 and Co-op £18 were partial.</t>
  </si>
  <si>
    <t>Keep. Lakeside £20.</t>
  </si>
  <si>
    <t>Raise. Riley Court MVHR £172, Co-op £73, Claycroft out-turn £92.</t>
  </si>
  <si>
    <t>Raise slightly. Lakeside £18.5, Claycroft £28; Scarman £62 is toilet-area only.</t>
  </si>
  <si>
    <t>Keep. Riley Court £34 and Co-op £40 cooled only some rooms; no whole-building evidence.</t>
  </si>
  <si>
    <t>Raise. Riley Court £59 (full BMS budget); Co-op £11.5; Claycroft £4 interfaces only.</t>
  </si>
  <si>
    <t>Keep. Riley Court £131, Scarman £97, Co-op £89. IBRB £218 is one supply on a small room.</t>
  </si>
  <si>
    <t>Keep. Lakeside £153, Claycroft £158.</t>
  </si>
  <si>
    <t>Raise. Five projects £51–198 (median £84); £33 is far too low.</t>
  </si>
  <si>
    <t>Raise. Riley Court £44, Claycroft £65, Scarman £77 for new systems; Lakeside £19 was partial.</t>
  </si>
  <si>
    <t>Raise slightly. Lakeside £19, Riley Court £34, IBRB £5.</t>
  </si>
  <si>
    <t>Keep. Lakeside £24.5, Claycroft £19.</t>
  </si>
  <si>
    <t>Raise. Riley Court £22, Co-op £58 (retail CCTV and alarm); Claycroft £4.5 minimal.</t>
  </si>
  <si>
    <t>Raise. Claycroft £112,850 for a replacement passenger lift; £40,000 is a third of that.</t>
  </si>
  <si>
    <t>Lower. CS £8, Co-op £3; most builder's work sits inside the M&amp;E prices.</t>
  </si>
  <si>
    <t>Keep. Lakeside £27 (rewire of occupied flats); Claycroft £11.</t>
  </si>
  <si>
    <t>Keep. CS brick remedials £48.</t>
  </si>
  <si>
    <t>Keep. Riley Court £54.</t>
  </si>
  <si>
    <t>Raise. Riley Court £35 for new internal below-ground drainage (one project).</t>
  </si>
  <si>
    <t>Raise. Riley Court £68 for new district heating and water mains (one project; site-specific).</t>
  </si>
  <si>
    <t>Keep. Whitefields £2 was topsoil and seed only, not planting.</t>
  </si>
  <si>
    <t>Base 7% — vacant, no restrictions, relaxed programme</t>
  </si>
  <si>
    <t>Q2.3 has ≥4 M&amp;E items (complex services)</t>
  </si>
  <si>
    <t>Q1.4 = Pre-1900 OR Q3.4 includes Listed Building Consent (heritage complexity)</t>
  </si>
  <si>
    <t>Q4.1 = Hard deadline (condensed programme)</t>
  </si>
  <si>
    <t>Q4.4 top priority = Speed (condensed programme)</t>
  </si>
  <si>
    <t>Region = Outer London</t>
  </si>
  <si>
    <t>Region = Inner London</t>
  </si>
  <si>
    <t>▶ confidence</t>
  </si>
  <si>
    <t>Confidence grade: points per factor that applies, grade thresholds, and grade caps. The app adds up the points of every factor that applies, takes the grade from the GRADE rows, then applies the lowest cap of any factor that applies. Keys are read by the app — do not rename them.</t>
  </si>
  <si>
    <t>Factor (as printed)</t>
  </si>
  <si>
    <t>Points</t>
  </si>
  <si>
    <t>Threshold</t>
  </si>
  <si>
    <t>Caps grade at</t>
  </si>
  <si>
    <t>GRADE_A</t>
  </si>
  <si>
    <t>Grade A when the total points are at most</t>
  </si>
  <si>
    <t>GRADE_B</t>
  </si>
  <si>
    <t>Grade B when the total points are at most</t>
  </si>
  <si>
    <t>GRADE_C</t>
  </si>
  <si>
    <t>Grade C when the total points are at most (above this: D)</t>
  </si>
  <si>
    <t>STAGE_0_1</t>
  </si>
  <si>
    <t>design at Stage 0–1</t>
  </si>
  <si>
    <t>NO_SURVEYS</t>
  </si>
  <si>
    <t>no surveys in the last 5 years</t>
  </si>
  <si>
    <t>NO_CONDITION_SURVEY</t>
  </si>
  <si>
    <t>no condition survey</t>
  </si>
  <si>
    <t>NO_RD_SURVEY</t>
  </si>
  <si>
    <t>no asbestos R&amp;D survey (pre-2000 building)</t>
  </si>
  <si>
    <t>NO_CONDITION_OR_RD</t>
  </si>
  <si>
    <t>neither a condition nor an asbestos R&amp;D survey</t>
  </si>
  <si>
    <t>CONDITION_UNKNOWN</t>
  </si>
  <si>
    <t>building condition unknown</t>
  </si>
  <si>
    <t>PLANNING_UNSURE</t>
  </si>
  <si>
    <t>planning route not established</t>
  </si>
  <si>
    <t>EXISTING_BUILDING</t>
  </si>
  <si>
    <t>existing building</t>
  </si>
  <si>
    <t>AGE_PRE_1980</t>
  </si>
  <si>
    <t>built before 1980</t>
  </si>
  <si>
    <t>OCCUPIED_FULL</t>
  </si>
  <si>
    <t>fully occupied during works</t>
  </si>
  <si>
    <t>OCCUPIED_PARTIAL</t>
  </si>
  <si>
    <t>partly occupied during works</t>
  </si>
  <si>
    <t>HIGH_RISKS</t>
  </si>
  <si>
    <t>risks rated High (Threshold = how many)</t>
  </si>
  <si>
    <t>CLIENT_SHARE_LOW</t>
  </si>
  <si>
    <t>few client-confirmed quantities (Threshold = share of works cost below which it applies)</t>
  </si>
  <si>
    <t>SENSE_HIGH</t>
  </si>
  <si>
    <t>high-severity sense-check warning</t>
  </si>
  <si>
    <t>SENSE_MEDIUM</t>
  </si>
  <si>
    <t>sense-check warnings</t>
  </si>
  <si>
    <t>BENCHMARK_MISSING</t>
  </si>
  <si>
    <t>no published cost benchmark to check against</t>
  </si>
  <si>
    <t>EXCLUDED_ITEMS</t>
  </si>
  <si>
    <t>scope items excluded pending quantities</t>
  </si>
  <si>
    <t>RATIO_ESTIMATES</t>
  </si>
  <si>
    <t>quantities estimated from typical ratios</t>
  </si>
  <si>
    <t>SPECIALIST_UNPRICED</t>
  </si>
  <si>
    <t>specialist scope not priced</t>
  </si>
  <si>
    <t>▶ risk_allowance</t>
  </si>
  <si>
    <t>Risk allowance in the four NRM1 categories, % of base cost (construction + fees). The app adds the rows that apply in each category and caps the total; it replaces the E and H rows of ▶ percentage_rules. Nothing already priced in the scope, prelims, fees or programme is charged again (occupation, deadlines and phasing are in prelims and programme; inflation is F). Keys are read by the app — do not rename them.</t>
  </si>
  <si>
    <t>Category</t>
  </si>
  <si>
    <t>Applies when (as printed)</t>
  </si>
  <si>
    <t>%</t>
  </si>
  <si>
    <t>DD_STAGE_0_1</t>
  </si>
  <si>
    <t>Design development</t>
  </si>
  <si>
    <t>Base: by design stage reached (Q4.5)</t>
  </si>
  <si>
    <t>DD_STAGE_2</t>
  </si>
  <si>
    <t>design at Stage 2</t>
  </si>
  <si>
    <t>DD_STAGE_3</t>
  </si>
  <si>
    <t>design at Stage 3</t>
  </si>
  <si>
    <t>DD_STAGE_4</t>
  </si>
  <si>
    <t>design at Stage 4</t>
  </si>
  <si>
    <t>DD_NO_CONDITION_SURVEY</t>
  </si>
  <si>
    <t>DD_AGEING_ME</t>
  </si>
  <si>
    <t>ageing M&amp;E</t>
  </si>
  <si>
    <t>Not at full systems replacement</t>
  </si>
  <si>
    <t>DD_AGEING_ME_REPLACED</t>
  </si>
  <si>
    <t>ageing M&amp;E being replaced</t>
  </si>
  <si>
    <t>At full systems replacement (the replacement is priced)</t>
  </si>
  <si>
    <t>DD_HIGHER_RISK</t>
  </si>
  <si>
    <t>higher-risk building</t>
  </si>
  <si>
    <t>CR_NEW</t>
  </si>
  <si>
    <t>Construction</t>
  </si>
  <si>
    <t>new build</t>
  </si>
  <si>
    <t>Base: new build, external works</t>
  </si>
  <si>
    <t>CR_EXISTING</t>
  </si>
  <si>
    <t>Base: refurbishment, fit-out, extension, demolition, mixed</t>
  </si>
  <si>
    <t>CR_ASBESTOS</t>
  </si>
  <si>
    <t>no asbestos R&amp;D survey, removal not priced</t>
  </si>
  <si>
    <t>Pre-2000 building or asbestos known</t>
  </si>
  <si>
    <t>CR_ASBESTOS_PRICED</t>
  </si>
  <si>
    <t>no asbestos R&amp;D survey, removal priced</t>
  </si>
  <si>
    <t>CR_STRUCTURAL</t>
  </si>
  <si>
    <t>structural concerns</t>
  </si>
  <si>
    <t>Not priced (no repairs or alterations item)</t>
  </si>
  <si>
    <t>CR_STRUCTURAL_PRICED</t>
  </si>
  <si>
    <t>structural concerns (repairs priced)</t>
  </si>
  <si>
    <t>CR_CONTAMINATED</t>
  </si>
  <si>
    <t>contaminated land</t>
  </si>
  <si>
    <t>Not priced</t>
  </si>
  <si>
    <t>CR_CONTAMINATED_PRICED</t>
  </si>
  <si>
    <t>contaminated land (remediation priced)</t>
  </si>
  <si>
    <t>CR_DAMP</t>
  </si>
  <si>
    <t>damp</t>
  </si>
  <si>
    <t>0 when damp treatment is priced</t>
  </si>
  <si>
    <t>CR_FIRE</t>
  </si>
  <si>
    <t>fire safety issues</t>
  </si>
  <si>
    <t>0 when fire stopping is priced</t>
  </si>
  <si>
    <t>CR_DRAINAGE</t>
  </si>
  <si>
    <t>drainage issues</t>
  </si>
  <si>
    <t>0 when drainage is priced</t>
  </si>
  <si>
    <t>CR_PRE_1980</t>
  </si>
  <si>
    <t>pre-1980 building</t>
  </si>
  <si>
    <t>Existing buildings only</t>
  </si>
  <si>
    <t>EC_STAGE_0_1</t>
  </si>
  <si>
    <t>Employer change</t>
  </si>
  <si>
    <t>Base</t>
  </si>
  <si>
    <t>EC_LATER</t>
  </si>
  <si>
    <t>design past Stage 1</t>
  </si>
  <si>
    <t>EO_BASE</t>
  </si>
  <si>
    <t>Employer other</t>
  </si>
  <si>
    <t>base</t>
  </si>
  <si>
    <t>EO_PLANNING_UNSURE</t>
  </si>
  <si>
    <t>planning route unsure</t>
  </si>
  <si>
    <t>EO_GRANT</t>
  </si>
  <si>
    <t>grant funding</t>
  </si>
  <si>
    <t>EO_HERITAGE</t>
  </si>
  <si>
    <t>listed or conservation area</t>
  </si>
  <si>
    <t>CAP</t>
  </si>
  <si>
    <t>All</t>
  </si>
  <si>
    <t>total risk allowance cap</t>
  </si>
  <si>
    <t>▶ inflation</t>
  </si>
  <si>
    <t>Inflation (F) from the rate base date to the mid-point of construction (the programme's own dates): % = (1 + annual rate) ^ years − 1, capped. Replaces the banded F rows of ▶ percentage_rules. Keys are read by the app — do not rename them.</t>
  </si>
  <si>
    <t>RATE_BASE_DATE</t>
  </si>
  <si>
    <t>2026-08-15</t>
  </si>
  <si>
    <t>The date every rate on '2. Rates' is priced at (Q3 2026, taken as mid-quarter). Text, YYYY-MM-DD.</t>
  </si>
  <si>
    <t>RATE_BASE_LABEL</t>
  </si>
  <si>
    <t>Q3 2026</t>
  </si>
  <si>
    <t>How the base date is printed in the report.</t>
  </si>
  <si>
    <t>ANNUAL_PCT</t>
  </si>
  <si>
    <t>Construction price inflation, % a year (estimate from published tender price forecasts, 2026–28).</t>
  </si>
  <si>
    <t>CAP_PCT</t>
  </si>
  <si>
    <t>Maximum inflation allowance, %.</t>
  </si>
  <si>
    <t>▶ route_fees</t>
  </si>
  <si>
    <t>Professional fees by the preferred procurement route (from the Procurement Reference). The client-fee adjustment (points) is added to C; the contractor's design (% of construction) is its own row. Applies only while Stage 4 is not yet complete (Q4.5). Route names must match the Procurement Reference exactly.</t>
  </si>
  <si>
    <t>Route</t>
  </si>
  <si>
    <t>Client fee adjustment (points)</t>
  </si>
  <si>
    <t>Contractor's design %</t>
  </si>
  <si>
    <t>Traditional</t>
  </si>
  <si>
    <t>The client's design team does every stage.</t>
  </si>
  <si>
    <t>The contractor's team does Stage 4. Contractor's design 2% (Claycroft, Morgan Sindall D&amp;B: 2.1%).</t>
  </si>
  <si>
    <t>Stage 4 is shared with the contractor during the pre-construction stage.</t>
  </si>
  <si>
    <t>Unchanged: the CM fee replaces part of the contractor's OH&amp;P (not modelled).</t>
  </si>
  <si>
    <t>Q3.5 includes Access routes shared with occupiers, neighbours or the public</t>
  </si>
  <si>
    <t>Q3.5 includes Restricted deliveries or no vehicle access</t>
  </si>
  <si>
    <t>Q3.5 includes Tight site (little storage space, headroom or weight limits)</t>
  </si>
  <si>
    <t>Q3.5 includes Site fronts a public road or pavement (hoarding, scaffold or crane licence)</t>
  </si>
  <si>
    <t>m2_per_car_space</t>
  </si>
  <si>
    <t>Roads, paths and paving: hard surface taken up by each car space (bay and aisle), deducted from the paving estimate</t>
  </si>
  <si>
    <t>IF(PT=NB EX, ENTER, GIFA)</t>
  </si>
  <si>
    <t>IF(PT=NB EX, DEMOLISHED, GIFA)</t>
  </si>
  <si>
    <t>MAX(0, EXT_AREA * r.pct_hard - Q(S-0074) * r.m2_per_car_space - Q(S-0075))</t>
  </si>
  <si>
    <t>NETZERO</t>
  </si>
  <si>
    <t>v5.20 — 10 Oct 2026</t>
  </si>
  <si>
    <t>Pre-launch fixes from test batch 3. ▶ percentage_rules: Q3.5 reworded (shared access) and three new Prelims ADD rows of 0.5 (restricted deliveries, tight site, public road), same 11% cap. ▶ quantity_ratios: m2_per_car_space 25 (AI estimate); Roads, paths and paving now deducts the car parking and HGV yard the client entered. ▶ inputs DEMOLISHED: ENTER on New Build and Extension (it was the new floor area); Asbestos removal follows it on Extension too. ▶ location_factors Scotland mid 0.90 → 0.965 (it sat below its own low). Heating: gas boiler is the default; the air source heat pump options carry NETZERO, the default when Q2.5 includes Net zero (owner, 10 Oct 2026).</t>
  </si>
  <si>
    <t>BENCHMARK_BREACH</t>
  </si>
  <si>
    <t>estimate more than 30% outside the cost benchmark (Threshold = share outside the band)</t>
  </si>
  <si>
    <t>DEFAULT</t>
  </si>
  <si>
    <t>Used only in the first calculation passes, before the confidence grade is known. Every printed range uses A–D.</t>
  </si>
  <si>
    <t>vat_partly_share</t>
  </si>
  <si>
    <t>Budget check: share of VAT counted</t>
  </si>
  <si>
    <t>Q4.3a = Partly</t>
  </si>
  <si>
    <t>Owner decision (Oct 2026)</t>
  </si>
  <si>
    <t>sens_me_works_pct</t>
  </si>
  <si>
    <t>Cost drivers list: M&amp;E works pushed by this %</t>
  </si>
  <si>
    <t>Every report (what-if only; never changes the estimate)</t>
  </si>
  <si>
    <t>Presentation step</t>
  </si>
  <si>
    <t>sens_works_pct</t>
  </si>
  <si>
    <t>Cost drivers list: all works pushed by this %</t>
  </si>
  <si>
    <t>Every report (what-if only)</t>
  </si>
  <si>
    <t>sens_prelims_pp</t>
  </si>
  <si>
    <t>Cost drivers list: Prelims (A) pushed by these points</t>
  </si>
  <si>
    <t>sens_ohp_pp</t>
  </si>
  <si>
    <t>Cost drivers list: OH&amp;P (B) pushed by these points</t>
  </si>
  <si>
    <t>sens_fees_pp</t>
  </si>
  <si>
    <t>Cost drivers list: Fees (C) pushed by these points</t>
  </si>
  <si>
    <t>sens_risk_pp</t>
  </si>
  <si>
    <t>Cost drivers list: Risk (E) pushed by these points</t>
  </si>
  <si>
    <t>sens_contingency_pp</t>
  </si>
  <si>
    <t>Cost drivers list: Contingency (H) pushed by these points</t>
  </si>
  <si>
    <t>sens_inflation_pp</t>
  </si>
  <si>
    <t>Cost drivers list: Inflation (F) pushed by these points</t>
  </si>
  <si>
    <t>v5.21 — 10 Oct 2026</t>
  </si>
  <si>
    <t>No figure the estimate uses changed. Numbers the app used to hold in its code now live here, so nothing is ever assumed: ▶ factors gains vat_partly_share (0.5 — half the VAT counted when Q4.3a = Partly) and the eight what-if steps of the cost-drivers list (sens_*); ▶ range_widths gains DEFAULT (0.89 / 1.11, used only before the grade is known); ▶ confidence gains BENCHMARK_BREACH (estimate more than 30% outside its ▶ benchmarks band caps the grade at D). The app now refuses a workbook missing any of these rows, a range-width grade, an F row without a cap, or a G row of 0.</t>
  </si>
  <si>
    <t>IF(USE=IND, IF(PT=NB EX, OFFICES, GIFA), GIFA)</t>
  </si>
  <si>
    <t>IF(USE=IND, IF(PT=NB EX, OFFICES + PRODUCTION, GIFA), GIFA)</t>
  </si>
  <si>
    <t>office_share</t>
  </si>
  <si>
    <t>Industrial / warehouse (New build, Extension): share of the floor priced as offices, welfare and staff areas, the suggestion shown at Q1.3a</t>
  </si>
  <si>
    <t>OFFICES</t>
  </si>
  <si>
    <t>Q1.3a share of the floor that is offices, welfare and staff areas (%) × GIFA</t>
  </si>
  <si>
    <t>GIFA * r.office_share</t>
  </si>
  <si>
    <t>Industrial / warehouse, New build and Extension (where Q1.3a is asked). Fit-out items are measured on it</t>
  </si>
  <si>
    <t>PRODUCTION</t>
  </si>
  <si>
    <t>Q1.3b: Factory / production → GIFA − OFFICES; Storage / warehouse → 0</t>
  </si>
  <si>
    <t>Production floor that also gets the building services</t>
  </si>
  <si>
    <t>v5.22 — 10 Oct 2026</t>
  </si>
  <si>
    <t>No rate changed. Industrial / warehouse new build and extensions are split into offices and the main space (owner, 10 Oct 2026): new inputs OFFICES (Q1.3a share × GIFA; default GIFA × r.office_share) and PRODUCTION (Q1.3b Factory / production → the rest of the floor, Storage / warehouse → 0); new ratio office_share 0.10 (suggestion, AI estimate – verify). On those projects internal walls, internal doors, wall / floor / ceiling finishes, signage and data are measured on OFFICES, and heating, water, ventilation, power and builder's work on OFFICES + PRODUCTION. Every other building use and project type is measured on GIFA as before.</t>
  </si>
  <si>
    <t>risk_level_low_max</t>
  </si>
  <si>
    <t>Report risk level: risk + contingency % at or below this reads Low</t>
  </si>
  <si>
    <t>Every report (label only; never changes the estimate)</t>
  </si>
  <si>
    <t>risk_level_medium_max</t>
  </si>
  <si>
    <t>Report risk level: at or below this reads Medium; above it, High</t>
  </si>
  <si>
    <t>v5.23 — 11 Oct 2026</t>
  </si>
  <si>
    <t>No figure the estimate uses changed. The last number the app held in its code now lives here: ▶ factors gains risk_level_low_max (11) and risk_level_medium_max (13) — the risk + contingency % at or below which the report's risk level reads Low or Medium (above: High). The app now also refuses this workbook if a prelims (A) or risk (E) BASE row loses its cap, the OH&amp;P (B) rows leave a works value uncovered, or the fee (C) BASE rows leave a design stage 0–4 uncovered — it no longer has backup percentages to fall back on.</t>
  </si>
  <si>
    <t>Design &amp; Build 1 Stage</t>
  </si>
  <si>
    <t>Design &amp; Build 2 Stage</t>
  </si>
  <si>
    <t>Management Contract / Construction Management</t>
  </si>
  <si>
    <t>v5.24 — 11 Oct 2026</t>
  </si>
  <si>
    <t>No figure changed. The route names in ▶ route_fees follow the RIBA Plan of Work 2020, as the Procurement Reference v2.3 now does: 'Design and build (single stage)' is 'Design &amp; Build 1 Stage', 'Two-stage (PCSA)' is 'Design &amp; Build 2 Stage', 'Construction management' is 'Management Contract / Construction Management'. The fee adjustments are unchanged.</t>
  </si>
  <si>
    <t>1.1d</t>
  </si>
  <si>
    <t>Industrial / warehouse: pad foundations to the portal-frame columns, column casings below slab and a perimeter ground beam under the cladding</t>
  </si>
  <si>
    <t>Shed model: pads, casings, perimeter beam and dock foundations £8.80 per m² GIFA at 29,640 m²; about £13.60 at 4,000 m² (more perimeter per m²) × 1.30 = £18 (p.221)</t>
  </si>
  <si>
    <t>S-0008-04</t>
  </si>
  <si>
    <t>Industrial rate (owner, 12 Oct 2026). Pads £3.02 + casings + perimeter ground beam £3.49 at 29,640 m² (×2.7 for a 4,000 m² unit) + dock foundations £1.13 per m² GIFA × 1.30, rounded up for the smaller spans of a typical unit. Spon's A&amp;B 2024 Retail Distribution Unit cost model (PDF p.221-223: single-storey steel portal-frame warehouse, 12 m to haunch, 29,640 m2, with a 1,680 m2 two-storey office; West Midlands, TPI 144). Converted to this workbook's basis as the Spon's check column does for cost models: x 167/144 TPI x 1.11 inflation / (0.86 x 1.15) location = x 1.30.</t>
  </si>
  <si>
    <t>1.1e</t>
  </si>
  <si>
    <t>Industrial / warehouse: foundation type not yet known — priced as standard pad foundations (1.1d) and raises a piling risk</t>
  </si>
  <si>
    <t>S-0008-05</t>
  </si>
  <si>
    <t>Spon's-based (approved) (= 1.1d × 1)</t>
  </si>
  <si>
    <t>Industrial rate (owner, 12 Oct 2026). Prices as 1.1d, like 1.1c prices as 1.1a. Spon's A&amp;B 2024 Retail Distribution Unit cost model (PDF p.221-223: single-storey steel portal-frame warehouse, 12 m to haunch, 29,640 m2, with a 1,680 m2 two-storey office; West Midlands, TPI 144). Converted to this workbook's basis as the Spon's check column does for cost models: x 167/144 TPI x 1.11 inflation / (0.86 x 1.15) location = x 1.30.</t>
  </si>
  <si>
    <t>1.2b</t>
  </si>
  <si>
    <t>Industrial / warehouse: 200 mm reinforced ground-bearing slab to FM2 flatness with surface hardener and sealed joints, type 1 sub-base, fill to make up levels and a floor survey</t>
  </si>
  <si>
    <t>Shed model: slab £61 + fill £8.75 + type 1 £8.10 + survey £0.60 = £78.50 per m² × 1.30 = £102 (p.221)</t>
  </si>
  <si>
    <t>S-0009-02</t>
  </si>
  <si>
    <t>Industrial rate (owner, 12 Oct 2026). Ground slab £61, imported fill £8.75, type 1 £8.10, survey and inspection £0.60 per m² GIFA × 1.30 = £102. Spon's A&amp;B 2024 Retail Distribution Unit cost model (PDF p.221-223: single-storey steel portal-frame warehouse, 12 m to haunch, 29,640 m2, with a 1,680 m2 two-storey office; West Midlands, TPI 144). Converted to this workbook's basis as the Spon's check column does for cost models: x 167/144 TPI x 1.11 inflation / (0.86 x 1.15) location = x 1.30.</t>
  </si>
  <si>
    <t>2.1b</t>
  </si>
  <si>
    <t>Industrial / warehouse: steel portal frame with cold-rolled roof purlins and wall rails, painted, incl. the frame of an office block inside the shed</t>
  </si>
  <si>
    <t>Shed model: portal frame £70.60 per m² GIFA × 1.30 = £92 (p.221)</t>
  </si>
  <si>
    <t>S-0011-02</t>
  </si>
  <si>
    <t>Industrial rate (owner, 12 Oct 2026). Portal frame 12 m to haunch with cold-rolled sections £69 + decoration £2 = £70.60 per m² GIFA × 1.30 = £92. Spon's A&amp;B 2024 Retail Distribution Unit cost model (PDF p.221-223: single-storey steel portal-frame warehouse, 12 m to haunch, 29,640 m2, with a 1,680 m2 two-storey office; West Midlands, TPI 144). Converted to this workbook's basis as the Spon's check column does for cost models: x 167/144 TPI x 1.11 inflation / (0.86 x 1.15) location = x 1.30.</t>
  </si>
  <si>
    <t>2.5c</t>
  </si>
  <si>
    <t>Industrial / warehouse: insulated trapezoidal composite roof panels with rooflights (about 15%), valley and eaves gutters, syphonic rainwater drainage, roof access and fall-arrest system (measured on plan, = footprint)</t>
  </si>
  <si>
    <t>Shed model: roof £90.24 per m² × 1.30 = £117 (p.222)</t>
  </si>
  <si>
    <t>S-0015-03</t>
  </si>
  <si>
    <t>Industrial rate (owner, 12 Oct 2026). Roof panels £54, rooflights, gutters, flashings, syphonic drainage, access and fall arrest = £90.24 per m² roof × 1.30 = £117. Spon's A&amp;B 2024 Retail Distribution Unit cost model (PDF p.221-223: single-storey steel portal-frame warehouse, 12 m to haunch, 29,640 m2, with a 1,680 m2 two-storey office; West Midlands, TPI 144). Converted to this workbook's basis as the Spon's check column does for cost models: x 167/144 TPI x 1.11 inflation / (0.86 x 1.15) location = x 1.30.</t>
  </si>
  <si>
    <t>2.6b</t>
  </si>
  <si>
    <t>Industrial / warehouse: insulated composite wall cladding (micro-rib and trapezoidal panels), parapet cladding, flashings and access equipment. Priced for a unit of about 2,000–5,000 m² with 8–10 m eaves; smaller units have more wall per m² GIFA</t>
  </si>
  <si>
    <t>Shed model: cladding about £115 per m² of wall × 1.30 = £150; a 4,000 m² unit has about 0.67 m² of wall per m² GIFA = £100 (p.222)</t>
  </si>
  <si>
    <t>S-0016-02</t>
  </si>
  <si>
    <t>Industrial rate (owner, 12 Oct 2026). Cladding, parapet, flashings and access equipment £1.10m over 9,540 m² of wall = £115 per m² of wall × 1.30 = £150; a 4,000 m² 2:1 unit with 10 m of wall (eaves and parapet) has 2,680 m² of wall = 0.67 m² per m² GIFA → £100 per m² GIFA. Spon's A&amp;B 2024 Retail Distribution Unit cost model (PDF p.221-223: single-storey steel portal-frame warehouse, 12 m to haunch, 29,640 m2, with a 1,680 m2 two-storey office; West Midlands, TPI 144). Converted to this workbook's basis as the Spon's check column does for cost models: x 167/144 TPI x 1.11 inflation / (0.86 x 1.15) location = x 1.30.</t>
  </si>
  <si>
    <t>2.7b</t>
  </si>
  <si>
    <t>Industrial / warehouse: office windows, curtain walling and entrance doors, personnel escape doors and plant-room louvres. Loading and dock doors are in 4.13 Warehouse</t>
  </si>
  <si>
    <t>Shed model: office glazing £119 per m² of office (about £14 per m² GIFA at 10% offices) + escape doors and louvres £3.60 = £17.50 × 1.30 = £23 (p.222)</t>
  </si>
  <si>
    <t>S-0017-02</t>
  </si>
  <si>
    <t>Industrial rate (owner, 12 Oct 2026). Office windows and curtain walling 370 m² at £540 + entrance doors and canopy = £119 per m² of office, £14 per m² GIFA at a 10% office share; escape doors and louvres £3.60 per m² GIFA; total £17.50 × 1.30 = £23. Spon's A&amp;B 2024 Retail Distribution Unit cost model (PDF p.221-223: single-storey steel portal-frame warehouse, 12 m to haunch, 29,640 m2, with a 1,680 m2 two-storey office; West Midlands, TPI 144). Converted to this workbook's basis as the Spon's check column does for cost models: x 167/144 TPI x 1.11 inflation / (0.86 x 1.15) location = x 1.30.</t>
  </si>
  <si>
    <t>1.2a</t>
  </si>
  <si>
    <t>2.1a</t>
  </si>
  <si>
    <t>2.6a</t>
  </si>
  <si>
    <t>2.7a</t>
  </si>
  <si>
    <t>v5.25 — 12 Oct 2026</t>
  </si>
  <si>
    <t>Industrial / warehouse rates (owner, 12 Oct 2026: industrial may have its own rates). IND rows beside the ALL rows on '2. Rates' and '4. Scope rules' for foundations (1.1d, 1.1e), ground floor slab (1.2b), frame (2.1b), roof (2.5c), external walls (2.6b) and windows and external doors (2.7b): New build &amp; Extension columns from the Spon's 2024 Retail Distribution Unit cost model × 1.30 (a steel portal-frame shed); Refurb &amp; Fit-out columns are the ALL row's, so industrial refurbishment is unchanged. Codes 1.2, 2.1, 2.6, 2.7 became 1.2a, 2.1a, 2.6a, 2.7a. ▶ benchmarks NB IND low 900 → 650 (a shed's works now come out at about £800 per m²). Every other building use prices as before.</t>
  </si>
  <si>
    <t>MAX(0, MIN(EXT_AREA * r.pct_soft, EXT_AREA - Q(S-0073) - Q(S-0074) * r.m2_per_car_space - Q(S-0075)))</t>
  </si>
  <si>
    <t>v5.26 — 12 Oct 2026</t>
  </si>
  <si>
    <t>Two quantity rules on '4. Scope rules' ▶ items (owner, 12 Oct 2026; no rate changed). Soft landscaping (8.10) = the smaller of external area × pct_soft and what is left after paving (8.7), car parking (8.8, × m2_per_car_space) and HGV yard (8.9) — it was 40% of the site on top of them, so a site came to more than 100%. Foul drainage (8.3) on Industrial / warehouse New build and Extension = OFFICES + PRODUCTION, like heating and water — the storage floor has no drainage points; every other building use stays on GIFA.</t>
  </si>
  <si>
    <t>v4.5 2.3. No source recorded in v4.5 v5.27: New build back to v5.11; v5.12's £380 was above Spon's new-build £181–£258.</t>
  </si>
  <si>
    <t>v4.5 2.5. No source recorded in v4.5 v5.27: New build back to v5.11; v5.12's £367 was above Spon's new-build £75–£338.</t>
  </si>
  <si>
    <t>v5.27 — 12 Oct 2026</t>
  </si>
  <si>
    <t>New build roof and external walls (owner, 12 Oct 2026). v5.12 moved each changed row's New build columns by the refurbishment evidence ratio, with no new-build evidence; roof and external walls ended up above Spon's new-build range and go back to their v5.11 rates: roof 2.5a 380/518 → 220/300 (Spon's £181–£258), external walls 2.6a 367/567 → 220/340 (Spon's £75–£338). Tested on the 30 batch-4 scenarios: residential, office and mixed-use new build come back into their expected ranges. Ceilings, lighting and fire alarm were also above Spon's but were kept: lowering them pushed healthcare, hotel, student and education projects below range. Refurb &amp; Fit-out columns unchanged; industrial has its own roof and wall rows (v5.25).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</si>
</sst>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lt;1000]General;#,##0"/>
    <numFmt numFmtId="165" formatCode="[&lt;1000]General;#,##0"/>
  </numFmts>
  <fonts count="13" x14ac:knownFonts="1">
    <font>
      <sz val="11"/>
      <color theme="1"/>
      <name val="Calibri"/>
      <family val="2"/>
      <charset val="1"/>
    </font>
    <font>
      <b/>
      <sz val="14"/>
      <color rgb="FF1A2E4A"/>
      <name val="Arial"/>
      <charset val="1"/>
    </font>
    <font>
      <b/>
      <sz val="10"/>
      <name val="Arial"/>
      <charset val="1"/>
    </font>
    <font>
      <sz val="10"/>
      <name val="Arial"/>
      <charset val="1"/>
    </font>
    <font>
      <b/>
      <sz val="10"/>
      <color rgb="FFFFFFFF"/>
      <name val="Arial"/>
      <charset val="1"/>
    </font>
    <font>
      <i/>
      <sz val="10"/>
      <color rgb="FF595959"/>
      <name val="Arial"/>
      <charset val="1"/>
    </font>
    <font>
      <sz val="10"/>
      <color theme="1"/>
      <name val="Arial"/>
      <family val="2"/>
    </font>
    <font>
      <b/>
      <sz val="14"/>
      <color theme="1"/>
      <name val="Arial"/>
      <family val="2"/>
    </font>
    <font>
      <i/>
      <sz val="10"/>
      <color theme="1"/>
      <name val="Arial"/>
      <family val="2"/>
    </font>
    <font>
      <b/>
      <sz val="10"/>
      <color theme="1"/>
      <name val="Arial"/>
      <family val="2"/>
    </font>
    <font>
      <b/>
      <sz val="10"/>
      <color rgb="FFFFFFFF"/>
      <name val="Arial"/>
      <family val="2"/>
    </font>
    <font>
      <b/>
      <sz val="10"/>
      <color rgb="FF808080"/>
      <name val="Arial"/>
      <family val="2"/>
    </font>
    <font>
      <sz val="10"/>
      <color rgb="FF808080"/>
      <name val="Arial"/>
      <family val="2"/>
    </font>
  </fonts>
  <fills count="11">
    <fill>
      <patternFill patternType="none"/>
    </fill>
    <fill>
      <patternFill patternType="gray125"/>
    </fill>
    <fill>
      <patternFill patternType="solid">
        <fgColor rgb="FF1A2E4A"/>
        <bgColor rgb="FF003366"/>
      </patternFill>
    </fill>
    <fill>
      <patternFill patternType="solid">
        <fgColor rgb="FFF8CBAD"/>
        <bgColor rgb="FFFCE4D6"/>
      </patternFill>
    </fill>
    <fill>
      <patternFill patternType="solid">
        <fgColor rgb="FFEEF2F7"/>
        <bgColor rgb="FFEDEDED"/>
      </patternFill>
    </fill>
    <fill>
      <patternFill patternType="solid">
        <fgColor rgb="FF1A2E4A"/>
        <bgColor indexed="64"/>
      </patternFill>
    </fill>
    <fill>
      <patternFill patternType="solid">
        <fgColor rgb="FFD9E1EA"/>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1"/>
        <bgColor indexed="64"/>
      </patternFill>
    </fill>
  </fills>
  <borders count="3">
    <border>
      <left/>
      <right/>
      <top/>
      <bottom/>
      <diagonal/>
    </border>
    <border>
      <left/>
      <right/>
      <top/>
      <bottom style="thin">
        <color rgb="FFE0E0E0"/>
      </bottom>
      <diagonal/>
    </border>
    <border>
      <left/>
      <right/>
      <top style="thin">
        <color rgb="FFE0E0E0"/>
      </top>
      <bottom style="thin">
        <color rgb="FFE0E0E0"/>
      </bottom>
      <diagonal/>
    </border>
  </borders>
  <cellStyleXfs count="1">
    <xf numFmtId="0" fontId="0" fillId="0" borderId="0"/>
  </cellStyleXfs>
  <cellXfs count="63">
    <xf numFmtId="0" fontId="0" fillId="0" borderId="0" xfId="0"/>
    <xf numFmtId="0" fontId="1" fillId="0" borderId="0" xfId="0" applyFont="1"/>
    <xf numFmtId="0" fontId="3" fillId="0" borderId="0" xfId="0" applyFont="1" applyAlignment="1">
      <alignment vertical="top" wrapText="1"/>
    </xf>
    <xf numFmtId="0" fontId="4" fillId="2" borderId="0" xfId="0" applyFont="1" applyFill="1"/>
    <xf numFmtId="0" fontId="0" fillId="2" borderId="0" xfId="0" applyFill="1"/>
    <xf numFmtId="0" fontId="5" fillId="0" borderId="0" xfId="0" applyFont="1"/>
    <xf numFmtId="0" fontId="2" fillId="4" borderId="0" xfId="0" applyFont="1" applyFill="1" applyAlignment="1">
      <alignment vertical="top" wrapText="1"/>
    </xf>
    <xf numFmtId="0" fontId="3" fillId="3" borderId="0" xfId="0" applyFont="1" applyFill="1" applyAlignment="1">
      <alignment vertical="top" wrapText="1"/>
    </xf>
    <xf numFmtId="0" fontId="6" fillId="0" borderId="0" xfId="0" applyFont="1"/>
    <xf numFmtId="0" fontId="7" fillId="0" borderId="0" xfId="0" applyFont="1"/>
    <xf numFmtId="0" fontId="8" fillId="0" borderId="0" xfId="0" applyFont="1"/>
    <xf numFmtId="0" fontId="9" fillId="0" borderId="0" xfId="0" applyFont="1"/>
    <xf numFmtId="0" fontId="10" fillId="5" borderId="0" xfId="0" applyFont="1" applyFill="1" applyAlignment="1">
      <alignment vertical="center" wrapText="1"/>
    </xf>
    <xf numFmtId="0" fontId="9" fillId="6" borderId="0" xfId="0" applyFont="1" applyFill="1" applyAlignment="1">
      <alignment vertical="top"/>
    </xf>
    <xf numFmtId="0" fontId="6" fillId="0" borderId="0" xfId="0" quotePrefix="1" applyFont="1" applyAlignment="1">
      <alignment vertical="top"/>
    </xf>
    <xf numFmtId="0" fontId="6" fillId="0" borderId="0" xfId="0" applyFont="1" applyAlignment="1">
      <alignment vertical="top"/>
    </xf>
    <xf numFmtId="0" fontId="9" fillId="6" borderId="0" xfId="0" applyFont="1" applyFill="1" applyAlignment="1">
      <alignment vertical="top" wrapText="1"/>
    </xf>
    <xf numFmtId="0" fontId="6" fillId="0" borderId="0" xfId="0" applyFont="1" applyAlignment="1">
      <alignment vertical="top" wrapText="1"/>
    </xf>
    <xf numFmtId="0" fontId="9" fillId="6" borderId="1" xfId="0" applyFont="1" applyFill="1" applyBorder="1" applyAlignment="1">
      <alignment vertical="top"/>
    </xf>
    <xf numFmtId="0" fontId="9" fillId="6" borderId="1" xfId="0" applyFont="1" applyFill="1" applyBorder="1" applyAlignment="1">
      <alignment vertical="top" wrapText="1"/>
    </xf>
    <xf numFmtId="0" fontId="11" fillId="6" borderId="1" xfId="0" applyFont="1" applyFill="1" applyBorder="1" applyAlignment="1">
      <alignment vertical="top"/>
    </xf>
    <xf numFmtId="0" fontId="6" fillId="0" borderId="2" xfId="0" quotePrefix="1"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vertical="top"/>
    </xf>
    <xf numFmtId="0" fontId="12" fillId="0" borderId="2" xfId="0" applyFont="1" applyBorder="1" applyAlignment="1">
      <alignment vertical="top"/>
    </xf>
    <xf numFmtId="0" fontId="9" fillId="6" borderId="2" xfId="0" applyFont="1" applyFill="1" applyBorder="1" applyAlignment="1">
      <alignment vertical="top"/>
    </xf>
    <xf numFmtId="0" fontId="9" fillId="6" borderId="2" xfId="0" applyFont="1" applyFill="1" applyBorder="1" applyAlignment="1">
      <alignment vertical="top" wrapText="1"/>
    </xf>
    <xf numFmtId="0" fontId="11" fillId="6" borderId="2" xfId="0" applyFont="1" applyFill="1" applyBorder="1" applyAlignment="1">
      <alignment vertical="top"/>
    </xf>
    <xf numFmtId="0" fontId="10" fillId="5" borderId="0" xfId="0" applyFont="1" applyFill="1" applyAlignment="1">
      <alignment vertical="top" wrapText="1"/>
    </xf>
    <xf numFmtId="0" fontId="9" fillId="0" borderId="0" xfId="0" applyFont="1" applyAlignment="1">
      <alignment vertical="top"/>
    </xf>
    <xf numFmtId="0" fontId="3" fillId="0" borderId="0" xfId="0" quotePrefix="1" applyFont="1" applyAlignment="1">
      <alignment vertical="top" wrapText="1"/>
    </xf>
    <xf numFmtId="0" fontId="7" fillId="0" borderId="0" xfId="0" applyFont="1" applyAlignment="1">
      <alignment vertical="top"/>
    </xf>
    <xf numFmtId="0" fontId="6" fillId="0" borderId="0" xfId="0" quotePrefix="1" applyFont="1" applyAlignment="1">
      <alignment vertical="top" wrapText="1"/>
    </xf>
    <xf numFmtId="0" fontId="6" fillId="0" borderId="0" xfId="0" applyFont="1" applyAlignment="1">
      <alignment horizontal="center" vertical="top"/>
    </xf>
    <xf numFmtId="0" fontId="9" fillId="6" borderId="0" xfId="0" applyFont="1" applyFill="1" applyAlignment="1">
      <alignment horizontal="center" vertical="top"/>
    </xf>
    <xf numFmtId="0" fontId="6" fillId="7" borderId="0" xfId="0" applyFont="1" applyFill="1"/>
    <xf numFmtId="0" fontId="10" fillId="7" borderId="0" xfId="0" applyFont="1" applyFill="1" applyAlignment="1">
      <alignment vertical="center" wrapText="1"/>
    </xf>
    <xf numFmtId="165" fontId="9" fillId="7" borderId="1" xfId="0" applyNumberFormat="1" applyFont="1" applyFill="1" applyBorder="1" applyAlignment="1">
      <alignment horizontal="right" vertical="top"/>
    </xf>
    <xf numFmtId="164" fontId="9" fillId="7" borderId="1" xfId="0" applyNumberFormat="1" applyFont="1" applyFill="1" applyBorder="1" applyAlignment="1">
      <alignment horizontal="right" vertical="top"/>
    </xf>
    <xf numFmtId="165" fontId="6" fillId="7" borderId="2" xfId="0" applyNumberFormat="1" applyFont="1" applyFill="1" applyBorder="1" applyAlignment="1">
      <alignment horizontal="right" vertical="top"/>
    </xf>
    <xf numFmtId="164" fontId="6" fillId="7" borderId="2" xfId="0" applyNumberFormat="1" applyFont="1" applyFill="1" applyBorder="1" applyAlignment="1">
      <alignment horizontal="right" vertical="top"/>
    </xf>
    <xf numFmtId="165" fontId="9" fillId="7" borderId="2" xfId="0" applyNumberFormat="1" applyFont="1" applyFill="1" applyBorder="1" applyAlignment="1">
      <alignment horizontal="right" vertical="top"/>
    </xf>
    <xf numFmtId="164" fontId="9" fillId="7" borderId="2" xfId="0" applyNumberFormat="1" applyFont="1" applyFill="1" applyBorder="1" applyAlignment="1">
      <alignment horizontal="right" vertical="top"/>
    </xf>
    <xf numFmtId="0" fontId="6" fillId="8" borderId="2" xfId="0" applyFont="1" applyFill="1" applyBorder="1" applyAlignment="1">
      <alignment vertical="top"/>
    </xf>
    <xf numFmtId="0" fontId="6" fillId="8" borderId="2" xfId="0" applyFont="1" applyFill="1" applyBorder="1" applyAlignment="1">
      <alignment vertical="top" wrapText="1"/>
    </xf>
    <xf numFmtId="165" fontId="6" fillId="8" borderId="2" xfId="0" applyNumberFormat="1" applyFont="1" applyFill="1" applyBorder="1" applyAlignment="1">
      <alignment horizontal="right" vertical="top"/>
    </xf>
    <xf numFmtId="164" fontId="6" fillId="8" borderId="2" xfId="0" applyNumberFormat="1" applyFont="1" applyFill="1" applyBorder="1" applyAlignment="1">
      <alignment horizontal="right" vertical="top"/>
    </xf>
    <xf numFmtId="0" fontId="12" fillId="8" borderId="2" xfId="0" applyFont="1" applyFill="1" applyBorder="1" applyAlignment="1">
      <alignment vertical="top"/>
    </xf>
    <xf numFmtId="0" fontId="6" fillId="9" borderId="2" xfId="0" applyFont="1" applyFill="1" applyBorder="1" applyAlignment="1">
      <alignment vertical="top"/>
    </xf>
    <xf numFmtId="0" fontId="6" fillId="9" borderId="2" xfId="0" applyFont="1" applyFill="1" applyBorder="1" applyAlignment="1">
      <alignment vertical="top" wrapText="1"/>
    </xf>
    <xf numFmtId="165" fontId="6" fillId="9" borderId="2" xfId="0" applyNumberFormat="1" applyFont="1" applyFill="1" applyBorder="1" applyAlignment="1">
      <alignment horizontal="right" vertical="top"/>
    </xf>
    <xf numFmtId="164" fontId="6" fillId="9" borderId="2" xfId="0" applyNumberFormat="1" applyFont="1" applyFill="1" applyBorder="1" applyAlignment="1">
      <alignment horizontal="right" vertical="top"/>
    </xf>
    <xf numFmtId="0" fontId="12" fillId="9" borderId="2" xfId="0" applyFont="1" applyFill="1" applyBorder="1" applyAlignment="1">
      <alignment vertical="top"/>
    </xf>
    <xf numFmtId="0" fontId="6" fillId="9" borderId="2" xfId="0" quotePrefix="1" applyFont="1" applyFill="1" applyBorder="1" applyAlignment="1">
      <alignment vertical="top"/>
    </xf>
    <xf numFmtId="0" fontId="6" fillId="0" borderId="0" xfId="0" applyFont="1" applyAlignment="1">
      <alignment wrapText="1"/>
    </xf>
    <xf numFmtId="0" fontId="6" fillId="10" borderId="2" xfId="0" applyFont="1" applyFill="1" applyBorder="1" applyAlignment="1">
      <alignment vertical="top"/>
    </xf>
    <xf numFmtId="0" fontId="6" fillId="10" borderId="2" xfId="0" applyFont="1" applyFill="1" applyBorder="1" applyAlignment="1">
      <alignment vertical="top" wrapText="1"/>
    </xf>
    <xf numFmtId="165" fontId="6" fillId="10" borderId="2" xfId="0" applyNumberFormat="1" applyFont="1" applyFill="1" applyBorder="1" applyAlignment="1">
      <alignment horizontal="right" vertical="top"/>
    </xf>
    <xf numFmtId="164" fontId="6" fillId="10" borderId="2" xfId="0" applyNumberFormat="1" applyFont="1" applyFill="1" applyBorder="1" applyAlignment="1">
      <alignment horizontal="right" vertical="top"/>
    </xf>
    <xf numFmtId="0" fontId="12" fillId="10" borderId="2" xfId="0" applyFont="1" applyFill="1" applyBorder="1" applyAlignment="1">
      <alignment vertical="top"/>
    </xf>
    <xf numFmtId="0" fontId="6" fillId="0" borderId="0" xfId="0" applyFont="1" applyAlignment="1">
      <alignment horizontal="center" vertical="top" wrapText="1"/>
    </xf>
    <xf numFmtId="49" fontId="3" fillId="0" borderId="0" xfId="0" quotePrefix="1" applyNumberFormat="1" applyFont="1" applyAlignment="1">
      <alignment vertical="top" wrapText="1"/>
    </xf>
    <xf numFmtId="14" fontId="3" fillId="0" borderId="0" xfId="0" quotePrefix="1" applyNumberFormat="1"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7E6E6"/>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CE4D6"/>
      <rgbColor rgb="FFEDE7F6"/>
      <rgbColor rgb="FFEDEDED"/>
      <rgbColor rgb="FFEEF2F7"/>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D5A80"/>
      <rgbColor rgb="FF1A2E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CD35-3C7D-4CAC-A46E-6C3CC3E31849}">
  <dimension ref="A1:C111"/>
  <sheetViews>
    <sheetView showGridLines="0" tabSelected="1" workbookViewId="0"/>
  </sheetViews>
  <sheetFormatPr defaultRowHeight="12.75" x14ac:dyDescent="0.2"/>
  <cols>
    <col min="1" max="1" width="36.7109375" style="8" customWidth="1"/>
    <col min="2" max="2" width="120.7109375" style="8" customWidth="1"/>
    <col min="3" max="3" width="10.7109375" style="8" customWidth="1"/>
    <col min="4" max="16384" width="9.140625" style="8"/>
  </cols>
  <sheetData>
    <row r="1" spans="1:3" ht="18" x14ac:dyDescent="0.2">
      <c r="A1" s="31" t="s">
        <v>1725</v>
      </c>
      <c r="B1" s="17"/>
      <c r="C1" s="33"/>
    </row>
    <row r="2" spans="1:3" x14ac:dyDescent="0.2">
      <c r="A2" s="15" t="s">
        <v>1525</v>
      </c>
      <c r="B2" s="17"/>
      <c r="C2" s="33"/>
    </row>
    <row r="3" spans="1:3" x14ac:dyDescent="0.2">
      <c r="A3" s="15"/>
      <c r="B3" s="17"/>
      <c r="C3" s="33"/>
    </row>
    <row r="4" spans="1:3" x14ac:dyDescent="0.2">
      <c r="A4" s="13" t="s">
        <v>1526</v>
      </c>
      <c r="B4" s="16"/>
      <c r="C4" s="34"/>
    </row>
    <row r="5" spans="1:3" x14ac:dyDescent="0.2">
      <c r="A5" s="15" t="s">
        <v>1527</v>
      </c>
      <c r="B5" s="17" t="s">
        <v>1528</v>
      </c>
      <c r="C5" s="33"/>
    </row>
    <row r="6" spans="1:3" ht="25.5" x14ac:dyDescent="0.2">
      <c r="A6" s="15" t="s">
        <v>0</v>
      </c>
      <c r="B6" s="17" t="s">
        <v>1529</v>
      </c>
      <c r="C6" s="33"/>
    </row>
    <row r="7" spans="1:3" ht="25.5" x14ac:dyDescent="0.2">
      <c r="A7" s="15" t="s">
        <v>1530</v>
      </c>
      <c r="B7" s="17" t="s">
        <v>1531</v>
      </c>
      <c r="C7" s="33"/>
    </row>
    <row r="8" spans="1:3" x14ac:dyDescent="0.2">
      <c r="A8" s="15" t="s">
        <v>1</v>
      </c>
      <c r="B8" s="17" t="s">
        <v>1532</v>
      </c>
      <c r="C8" s="33"/>
    </row>
    <row r="9" spans="1:3" x14ac:dyDescent="0.2">
      <c r="A9" s="15"/>
      <c r="B9" s="17"/>
      <c r="C9" s="33"/>
    </row>
    <row r="10" spans="1:3" x14ac:dyDescent="0.2">
      <c r="A10" s="13" t="s">
        <v>1533</v>
      </c>
      <c r="B10" s="16"/>
      <c r="C10" s="34"/>
    </row>
    <row r="11" spans="1:3" x14ac:dyDescent="0.2">
      <c r="A11" s="15" t="s">
        <v>1534</v>
      </c>
      <c r="B11" s="17" t="s">
        <v>1535</v>
      </c>
      <c r="C11" s="33"/>
    </row>
    <row r="12" spans="1:3" ht="25.5" x14ac:dyDescent="0.2">
      <c r="A12" s="15" t="s">
        <v>1536</v>
      </c>
      <c r="B12" s="17" t="s">
        <v>1537</v>
      </c>
      <c r="C12" s="33"/>
    </row>
    <row r="13" spans="1:3" x14ac:dyDescent="0.2">
      <c r="A13" s="15" t="s">
        <v>1538</v>
      </c>
      <c r="B13" s="17" t="s">
        <v>1539</v>
      </c>
      <c r="C13" s="33"/>
    </row>
    <row r="14" spans="1:3" x14ac:dyDescent="0.2">
      <c r="A14" s="15" t="s">
        <v>1540</v>
      </c>
      <c r="B14" s="17" t="s">
        <v>1541</v>
      </c>
      <c r="C14" s="33"/>
    </row>
    <row r="15" spans="1:3" ht="25.5" x14ac:dyDescent="0.2">
      <c r="A15" s="15" t="s">
        <v>835</v>
      </c>
      <c r="B15" s="17" t="s">
        <v>1542</v>
      </c>
      <c r="C15" s="33"/>
    </row>
    <row r="16" spans="1:3" ht="25.5" x14ac:dyDescent="0.2">
      <c r="A16" s="15" t="s">
        <v>1543</v>
      </c>
      <c r="B16" s="17" t="s">
        <v>1544</v>
      </c>
      <c r="C16" s="33"/>
    </row>
    <row r="17" spans="1:3" ht="38.25" x14ac:dyDescent="0.2">
      <c r="A17" s="15" t="s">
        <v>1545</v>
      </c>
      <c r="B17" s="17" t="s">
        <v>1546</v>
      </c>
      <c r="C17" s="33"/>
    </row>
    <row r="18" spans="1:3" ht="25.5" x14ac:dyDescent="0.2">
      <c r="A18" s="15" t="s">
        <v>1547</v>
      </c>
      <c r="B18" s="17" t="s">
        <v>1548</v>
      </c>
      <c r="C18" s="33"/>
    </row>
    <row r="19" spans="1:3" x14ac:dyDescent="0.2">
      <c r="A19" s="15" t="s">
        <v>1549</v>
      </c>
      <c r="B19" s="17" t="s">
        <v>1550</v>
      </c>
      <c r="C19" s="33"/>
    </row>
    <row r="20" spans="1:3" ht="25.5" x14ac:dyDescent="0.2">
      <c r="A20" s="15" t="s">
        <v>1551</v>
      </c>
      <c r="B20" s="17" t="s">
        <v>1552</v>
      </c>
      <c r="C20" s="33"/>
    </row>
    <row r="21" spans="1:3" ht="114.75" x14ac:dyDescent="0.2">
      <c r="A21" s="15" t="s">
        <v>1673</v>
      </c>
      <c r="B21" s="17" t="s">
        <v>1709</v>
      </c>
      <c r="C21" s="33"/>
    </row>
    <row r="22" spans="1:3" ht="63.75" customHeight="1" x14ac:dyDescent="0.2">
      <c r="A22" s="15" t="s">
        <v>1685</v>
      </c>
      <c r="B22" s="17" t="s">
        <v>1714</v>
      </c>
      <c r="C22" s="33"/>
    </row>
    <row r="23" spans="1:3" ht="91.35" customHeight="1" x14ac:dyDescent="0.2">
      <c r="A23" s="15" t="s">
        <v>1710</v>
      </c>
      <c r="B23" s="17" t="s">
        <v>1711</v>
      </c>
      <c r="C23" s="33"/>
    </row>
    <row r="24" spans="1:3" ht="153" x14ac:dyDescent="0.2">
      <c r="A24" s="15" t="s">
        <v>1726</v>
      </c>
      <c r="B24" s="17" t="s">
        <v>1727</v>
      </c>
    </row>
    <row r="25" spans="1:3" x14ac:dyDescent="0.2">
      <c r="A25" s="13" t="s">
        <v>1553</v>
      </c>
      <c r="B25" s="16"/>
      <c r="C25" s="34"/>
    </row>
    <row r="26" spans="1:3" x14ac:dyDescent="0.2">
      <c r="A26" s="15" t="s">
        <v>1064</v>
      </c>
      <c r="B26" s="17" t="s">
        <v>1554</v>
      </c>
      <c r="C26" s="33"/>
    </row>
    <row r="27" spans="1:3" x14ac:dyDescent="0.2">
      <c r="A27" s="15" t="s">
        <v>1086</v>
      </c>
      <c r="B27" s="17" t="s">
        <v>1555</v>
      </c>
      <c r="C27" s="33"/>
    </row>
    <row r="28" spans="1:3" x14ac:dyDescent="0.2">
      <c r="A28" s="15" t="s">
        <v>1106</v>
      </c>
      <c r="B28" s="17" t="s">
        <v>1556</v>
      </c>
      <c r="C28" s="33"/>
    </row>
    <row r="29" spans="1:3" x14ac:dyDescent="0.2">
      <c r="A29" s="15" t="s">
        <v>1167</v>
      </c>
      <c r="B29" s="17" t="s">
        <v>1557</v>
      </c>
      <c r="C29" s="33"/>
    </row>
    <row r="30" spans="1:3" x14ac:dyDescent="0.2">
      <c r="A30" s="15" t="s">
        <v>1162</v>
      </c>
      <c r="B30" s="17" t="s">
        <v>1558</v>
      </c>
      <c r="C30" s="33"/>
    </row>
    <row r="31" spans="1:3" x14ac:dyDescent="0.2">
      <c r="A31" s="15" t="s">
        <v>1621</v>
      </c>
      <c r="B31" s="17" t="s">
        <v>1674</v>
      </c>
      <c r="C31" s="33"/>
    </row>
    <row r="32" spans="1:3" x14ac:dyDescent="0.2">
      <c r="A32" s="15"/>
      <c r="B32" s="17"/>
      <c r="C32" s="33"/>
    </row>
    <row r="33" spans="1:3" x14ac:dyDescent="0.2">
      <c r="A33" s="13" t="s">
        <v>7</v>
      </c>
      <c r="B33" s="16"/>
      <c r="C33" s="34"/>
    </row>
    <row r="34" spans="1:3" x14ac:dyDescent="0.2">
      <c r="A34" s="15" t="s">
        <v>1559</v>
      </c>
      <c r="B34" s="17" t="s">
        <v>1560</v>
      </c>
      <c r="C34" s="33"/>
    </row>
    <row r="35" spans="1:3" x14ac:dyDescent="0.2">
      <c r="A35" s="15" t="s">
        <v>8</v>
      </c>
      <c r="B35" s="17" t="s">
        <v>1561</v>
      </c>
      <c r="C35" s="33"/>
    </row>
    <row r="36" spans="1:3" x14ac:dyDescent="0.2">
      <c r="A36" s="15" t="s">
        <v>1562</v>
      </c>
      <c r="B36" s="17" t="s">
        <v>1563</v>
      </c>
      <c r="C36" s="33"/>
    </row>
    <row r="37" spans="1:3" x14ac:dyDescent="0.2">
      <c r="A37" s="15" t="s">
        <v>1564</v>
      </c>
      <c r="B37" s="32" t="s">
        <v>1565</v>
      </c>
      <c r="C37" s="33"/>
    </row>
    <row r="38" spans="1:3" x14ac:dyDescent="0.2">
      <c r="A38" s="15" t="s">
        <v>1566</v>
      </c>
      <c r="B38" s="32" t="s">
        <v>1567</v>
      </c>
      <c r="C38" s="33"/>
    </row>
    <row r="39" spans="1:3" x14ac:dyDescent="0.2">
      <c r="A39" s="15" t="s">
        <v>9</v>
      </c>
      <c r="B39" s="17" t="s">
        <v>1568</v>
      </c>
      <c r="C39" s="33"/>
    </row>
    <row r="40" spans="1:3" x14ac:dyDescent="0.2">
      <c r="A40" s="15" t="s">
        <v>2</v>
      </c>
      <c r="B40" s="17" t="s">
        <v>1569</v>
      </c>
      <c r="C40" s="33"/>
    </row>
    <row r="41" spans="1:3" x14ac:dyDescent="0.2">
      <c r="A41" s="15"/>
      <c r="B41" s="17"/>
      <c r="C41" s="33"/>
    </row>
    <row r="42" spans="1:3" x14ac:dyDescent="0.2">
      <c r="A42" s="13" t="s">
        <v>1570</v>
      </c>
      <c r="B42" s="16"/>
      <c r="C42" s="34"/>
    </row>
    <row r="43" spans="1:3" ht="25.5" x14ac:dyDescent="0.2">
      <c r="A43" s="15" t="s">
        <v>1571</v>
      </c>
      <c r="B43" s="17" t="s">
        <v>1572</v>
      </c>
      <c r="C43" s="33"/>
    </row>
    <row r="44" spans="1:3" ht="25.5" x14ac:dyDescent="0.2">
      <c r="A44" s="15" t="s">
        <v>1573</v>
      </c>
      <c r="B44" s="17" t="s">
        <v>3</v>
      </c>
      <c r="C44" s="33"/>
    </row>
    <row r="45" spans="1:3" x14ac:dyDescent="0.2">
      <c r="A45" s="15" t="s">
        <v>1574</v>
      </c>
      <c r="B45" s="17" t="s">
        <v>1575</v>
      </c>
      <c r="C45" s="33"/>
    </row>
    <row r="46" spans="1:3" x14ac:dyDescent="0.2">
      <c r="A46" s="15" t="s">
        <v>1576</v>
      </c>
      <c r="B46" s="17" t="s">
        <v>1577</v>
      </c>
      <c r="C46" s="33"/>
    </row>
    <row r="47" spans="1:3" x14ac:dyDescent="0.2">
      <c r="A47" s="15" t="s">
        <v>5</v>
      </c>
      <c r="B47" s="17" t="s">
        <v>1578</v>
      </c>
      <c r="C47" s="33"/>
    </row>
    <row r="48" spans="1:3" ht="25.5" x14ac:dyDescent="0.2">
      <c r="A48" s="15" t="s">
        <v>40</v>
      </c>
      <c r="B48" s="17" t="s">
        <v>1617</v>
      </c>
      <c r="C48" s="33"/>
    </row>
    <row r="49" spans="1:3" x14ac:dyDescent="0.2">
      <c r="A49" s="15" t="s">
        <v>43</v>
      </c>
      <c r="B49" s="17" t="s">
        <v>1579</v>
      </c>
      <c r="C49" s="33"/>
    </row>
    <row r="50" spans="1:3" ht="25.5" x14ac:dyDescent="0.2">
      <c r="A50" s="15" t="s">
        <v>1580</v>
      </c>
      <c r="B50" s="17" t="s">
        <v>1581</v>
      </c>
      <c r="C50" s="33"/>
    </row>
    <row r="51" spans="1:3" ht="25.5" x14ac:dyDescent="0.2">
      <c r="A51" s="15" t="s">
        <v>1582</v>
      </c>
      <c r="B51" s="17" t="s">
        <v>1583</v>
      </c>
      <c r="C51" s="33"/>
    </row>
    <row r="52" spans="1:3" x14ac:dyDescent="0.2">
      <c r="A52" s="15" t="s">
        <v>1584</v>
      </c>
      <c r="B52" s="17" t="s">
        <v>1585</v>
      </c>
      <c r="C52" s="33"/>
    </row>
    <row r="53" spans="1:3" x14ac:dyDescent="0.2">
      <c r="A53" s="15" t="s">
        <v>1586</v>
      </c>
      <c r="B53" s="17" t="s">
        <v>1587</v>
      </c>
      <c r="C53" s="33"/>
    </row>
    <row r="54" spans="1:3" x14ac:dyDescent="0.2">
      <c r="A54" s="15" t="s">
        <v>4</v>
      </c>
      <c r="B54" s="17" t="s">
        <v>1588</v>
      </c>
      <c r="C54" s="33"/>
    </row>
    <row r="55" spans="1:3" ht="25.5" x14ac:dyDescent="0.2">
      <c r="A55" s="15" t="s">
        <v>6</v>
      </c>
      <c r="B55" s="17" t="s">
        <v>1589</v>
      </c>
      <c r="C55" s="33"/>
    </row>
    <row r="56" spans="1:3" x14ac:dyDescent="0.2">
      <c r="A56" s="15" t="s">
        <v>1590</v>
      </c>
      <c r="B56" s="17" t="s">
        <v>1591</v>
      </c>
      <c r="C56" s="33"/>
    </row>
    <row r="57" spans="1:3" x14ac:dyDescent="0.2">
      <c r="A57" s="15" t="s">
        <v>46</v>
      </c>
      <c r="B57" s="17" t="s">
        <v>1592</v>
      </c>
      <c r="C57" s="33"/>
    </row>
    <row r="58" spans="1:3" x14ac:dyDescent="0.2">
      <c r="A58" s="15" t="s">
        <v>1593</v>
      </c>
      <c r="B58" s="17" t="s">
        <v>1594</v>
      </c>
      <c r="C58" s="33"/>
    </row>
    <row r="59" spans="1:3" x14ac:dyDescent="0.2">
      <c r="A59" s="15" t="s">
        <v>56</v>
      </c>
      <c r="B59" s="17" t="s">
        <v>1595</v>
      </c>
      <c r="C59" s="33"/>
    </row>
    <row r="60" spans="1:3" x14ac:dyDescent="0.2">
      <c r="A60" s="15"/>
      <c r="B60" s="17"/>
      <c r="C60" s="33"/>
    </row>
    <row r="61" spans="1:3" x14ac:dyDescent="0.2">
      <c r="A61" s="13" t="s">
        <v>11</v>
      </c>
      <c r="B61" s="16"/>
      <c r="C61" s="34"/>
    </row>
    <row r="62" spans="1:3" x14ac:dyDescent="0.2">
      <c r="A62" s="15" t="s">
        <v>1596</v>
      </c>
      <c r="B62" s="17"/>
      <c r="C62" s="33">
        <f>SUMPRODUCT(('2. Rates'!O6:O159&lt;&gt;"")*(COUNTIF('2. Rates'!O6:O159,'2. Rates'!O6:O159)&gt;1))</f>
        <v>0</v>
      </c>
    </row>
    <row r="63" spans="1:3" x14ac:dyDescent="0.2">
      <c r="A63" s="15" t="s">
        <v>1597</v>
      </c>
      <c r="B63" s="17"/>
      <c r="C63" s="33">
        <f>SUMPRODUCT(('2. Rates'!O6:O159&lt;&gt;"")*(COUNTIF('4. Scope rules'!A91:A236,'2. Rates'!O6:O159)=0))</f>
        <v>0</v>
      </c>
    </row>
    <row r="64" spans="1:3" x14ac:dyDescent="0.2">
      <c r="A64" s="15" t="s">
        <v>1598</v>
      </c>
      <c r="B64" s="17"/>
      <c r="C64" s="33">
        <f>SUMPRODUCT(('4. Scope rules'!A91:A236&lt;&gt;"")*(COUNTIF('2. Rates'!O6:O159,'4. Scope rules'!A91:A236)=0))</f>
        <v>0</v>
      </c>
    </row>
    <row r="65" spans="1:3" x14ac:dyDescent="0.2">
      <c r="A65" s="15" t="s">
        <v>1599</v>
      </c>
      <c r="B65" s="17"/>
      <c r="C65" s="33">
        <f>SUMPRODUCT(('4. Scope rules'!A91:A236&lt;&gt;"")*(COUNTIF('4. Scope rules'!A6:A87,'4. Scope rules'!B91:B236)=0))</f>
        <v>0</v>
      </c>
    </row>
    <row r="66" spans="1:3" x14ac:dyDescent="0.2">
      <c r="A66" s="15" t="s">
        <v>1600</v>
      </c>
      <c r="B66" s="17"/>
      <c r="C66" s="33">
        <f>SUMPRODUCT(('2. Rates'!O6:O159&lt;&gt;"")*('2. Rates'!M6:M159=""))</f>
        <v>0</v>
      </c>
    </row>
    <row r="67" spans="1:3" x14ac:dyDescent="0.2">
      <c r="A67" s="15" t="s">
        <v>1601</v>
      </c>
      <c r="B67" s="17"/>
      <c r="C67" s="33">
        <f>SUMPRODUCT(('4. Scope rules'!A6:A87&lt;&gt;"")*(ROUND('4. Scope rules'!M6:M87+'4. Scope rules'!O6:O87,4)&lt;&gt;1))</f>
        <v>0</v>
      </c>
    </row>
    <row r="68" spans="1:3" x14ac:dyDescent="0.2">
      <c r="A68" s="15" t="s">
        <v>14</v>
      </c>
      <c r="B68" s="17"/>
      <c r="C68" s="33">
        <f>SUMPRODUCT(('4. Scope rules'!A6:A87&lt;&gt;"")*(COUNTIFS('4. Scope rules'!B91:B236,'4. Scope rules'!A6:A87,'4. Scope rules'!E91:E236,"Yes")=0))</f>
        <v>0</v>
      </c>
    </row>
    <row r="69" spans="1:3" x14ac:dyDescent="0.2">
      <c r="A69" s="15" t="s">
        <v>1602</v>
      </c>
      <c r="B69" s="17"/>
      <c r="C69" s="33">
        <f>SUMPRODUCT(('4. Scope rules'!A6:A87&lt;&gt;"")*('4. Scope rules'!F6:F87="One")*(COUNTIFS('4. Scope rules'!B91:B236,'4. Scope rules'!A6:A87,'4. Scope rules'!E91:E236,"Yes")&gt;1))</f>
        <v>0</v>
      </c>
    </row>
    <row r="70" spans="1:3" x14ac:dyDescent="0.2">
      <c r="A70" s="15" t="s">
        <v>1603</v>
      </c>
      <c r="B70" s="17"/>
      <c r="C70" s="33">
        <f>SUMPRODUCT(('4. Scope rules'!A6:A87&lt;&gt;"")*('4. Scope rules'!G6:G87=""))</f>
        <v>0</v>
      </c>
    </row>
    <row r="71" spans="1:3" x14ac:dyDescent="0.2">
      <c r="A71" s="15" t="s">
        <v>12</v>
      </c>
      <c r="B71" s="17"/>
      <c r="C71" s="33">
        <f>SUMPRODUCT(--(LEN(TRIM(SUBSTITUTE(SUBSTITUTE(SUBSTITUTE(SUBSTITUTE(SUBSTITUTE(SUBSTITUTE(SUBSTITUTE(SUBSTITUTE('4. Scope rules'!H6:H87,"NB",""),"EX",""),"RF",""),"FO",""),"EW",""),"DM",""),"OM",""),"—","")))&gt;0))+SUMPRODUCT(--(LEN(TRIM(SUBSTITUTE(SUBSTITUTE(SUBSTITUTE(SUBSTITUTE(SUBSTITUTE(SUBSTITUTE(SUBSTITUTE(SUBSTITUTE('4. Scope rules'!I6:I87,"NB",""),"EX",""),"RF",""),"FO",""),"EW",""),"DM",""),"OM",""),"—","")))&gt;0))</f>
        <v>0</v>
      </c>
    </row>
    <row r="72" spans="1:3" x14ac:dyDescent="0.2">
      <c r="A72" s="15" t="s">
        <v>13</v>
      </c>
      <c r="B72" s="17"/>
      <c r="C72" s="33">
        <f>SUMPRODUCT(--(LEN(TRIM(SUBSTITUTE(SUBSTITUTE(SUBSTITUTE(SUBSTITUTE(SUBSTITUTE(SUBSTITUTE(SUBSTITUTE(SUBSTITUTE(SUBSTITUTE(SUBSTITUTE(SUBSTITUTE('4. Scope rules'!J6:J87,"RES",""),"STU",""),"OFF",""),"EDU",""),"HEA",""),"RET",""),"IND",""),"HOS",""),"MIX",""),"OTH",""),"ALL","")))&gt;0))+SUMPRODUCT(--(LEN(TRIM(SUBSTITUTE(SUBSTITUTE(SUBSTITUTE(SUBSTITUTE(SUBSTITUTE(SUBSTITUTE(SUBSTITUTE(SUBSTITUTE(SUBSTITUTE(SUBSTITUTE(SUBSTITUTE('2. Rates'!D6:D159,"RES",""),"STU",""),"OFF",""),"EDU",""),"HEA",""),"RET",""),"IND",""),"HOS",""),"MIX",""),"OTH",""),"ALL","")))&gt;0))</f>
        <v>0</v>
      </c>
    </row>
    <row r="73" spans="1:3" x14ac:dyDescent="0.2">
      <c r="A73" s="15" t="s">
        <v>15</v>
      </c>
      <c r="B73" s="17"/>
      <c r="C73" s="33">
        <f>SUMPRODUCT(('3. Settings'!A98:A125&lt;&gt;"")*(COUNTIFS('3. Settings'!A98:A125,'3. Settings'!A98:A125,'3. Settings'!B98:B125,"ALL")=0))</f>
        <v>0</v>
      </c>
    </row>
    <row r="74" spans="1:3" x14ac:dyDescent="0.2">
      <c r="A74" s="15" t="s">
        <v>16</v>
      </c>
      <c r="B74" s="17"/>
      <c r="C74" s="33">
        <f>SUMPRODUCT(('3. Settings'!A98:A125&lt;&gt;"")*('3. Settings'!C98:C125=""))</f>
        <v>0</v>
      </c>
    </row>
    <row r="75" spans="1:3" x14ac:dyDescent="0.2">
      <c r="A75" s="15"/>
      <c r="B75" s="17"/>
      <c r="C75" s="33"/>
    </row>
    <row r="76" spans="1:3" x14ac:dyDescent="0.2">
      <c r="A76" s="13" t="s">
        <v>17</v>
      </c>
      <c r="B76" s="16"/>
      <c r="C76" s="34"/>
    </row>
    <row r="77" spans="1:3" x14ac:dyDescent="0.2">
      <c r="A77" s="15" t="s">
        <v>18</v>
      </c>
      <c r="B77" s="17"/>
      <c r="C77" s="33">
        <f>COUNTA('4. Scope rules'!A6:A87)</f>
        <v>82</v>
      </c>
    </row>
    <row r="78" spans="1:3" x14ac:dyDescent="0.2">
      <c r="A78" s="15" t="s">
        <v>1604</v>
      </c>
      <c r="B78" s="17"/>
      <c r="C78" s="33">
        <f>COUNTA('2. Rates'!O6:O159)</f>
        <v>146</v>
      </c>
    </row>
    <row r="79" spans="1:3" x14ac:dyDescent="0.2">
      <c r="A79" s="15"/>
      <c r="B79" s="17"/>
      <c r="C79" s="33"/>
    </row>
    <row r="80" spans="1:3" x14ac:dyDescent="0.2">
      <c r="A80" s="13" t="s">
        <v>22</v>
      </c>
      <c r="B80" s="16"/>
      <c r="C80" s="34"/>
    </row>
    <row r="81" spans="1:2" s="54" customFormat="1" ht="76.5" x14ac:dyDescent="0.2">
      <c r="A81" s="17" t="s">
        <v>2065</v>
      </c>
      <c r="B81" s="17" t="s">
        <v>2066</v>
      </c>
    </row>
    <row r="82" spans="1:2" s="54" customFormat="1" ht="51" x14ac:dyDescent="0.2">
      <c r="A82" s="17" t="s">
        <v>2061</v>
      </c>
      <c r="B82" s="17" t="s">
        <v>2062</v>
      </c>
    </row>
    <row r="83" spans="1:2" s="54" customFormat="1" ht="63.75" x14ac:dyDescent="0.2">
      <c r="A83" s="17" t="s">
        <v>2058</v>
      </c>
      <c r="B83" s="17" t="s">
        <v>2059</v>
      </c>
    </row>
    <row r="84" spans="1:2" s="54" customFormat="1" ht="38.25" x14ac:dyDescent="0.2">
      <c r="A84" s="17" t="s">
        <v>2017</v>
      </c>
      <c r="B84" s="17" t="s">
        <v>2018</v>
      </c>
    </row>
    <row r="85" spans="1:2" s="54" customFormat="1" ht="51" x14ac:dyDescent="0.2">
      <c r="A85" s="17" t="s">
        <v>2012</v>
      </c>
      <c r="B85" s="17" t="s">
        <v>2013</v>
      </c>
    </row>
    <row r="86" spans="1:2" s="54" customFormat="1" ht="63.75" x14ac:dyDescent="0.2">
      <c r="A86" s="17" t="s">
        <v>2005</v>
      </c>
      <c r="B86" s="17" t="s">
        <v>2006</v>
      </c>
    </row>
    <row r="87" spans="1:2" s="54" customFormat="1" ht="63.75" x14ac:dyDescent="0.2">
      <c r="A87" s="17" t="s">
        <v>1992</v>
      </c>
      <c r="B87" s="17" t="s">
        <v>1993</v>
      </c>
    </row>
    <row r="88" spans="1:2" s="54" customFormat="1" ht="63.75" x14ac:dyDescent="0.2">
      <c r="A88" s="17" t="s">
        <v>1963</v>
      </c>
      <c r="B88" s="17" t="s">
        <v>1964</v>
      </c>
    </row>
    <row r="89" spans="1:2" s="54" customFormat="1" ht="25.5" x14ac:dyDescent="0.2">
      <c r="A89" s="17" t="s">
        <v>1728</v>
      </c>
      <c r="B89" s="17" t="s">
        <v>1729</v>
      </c>
    </row>
    <row r="90" spans="1:2" s="54" customFormat="1" ht="38.25" x14ac:dyDescent="0.2">
      <c r="A90" s="17" t="s">
        <v>1730</v>
      </c>
      <c r="B90" s="17" t="s">
        <v>1731</v>
      </c>
    </row>
    <row r="91" spans="1:2" s="54" customFormat="1" ht="25.5" x14ac:dyDescent="0.2">
      <c r="A91" s="17" t="s">
        <v>1732</v>
      </c>
      <c r="B91" s="17" t="s">
        <v>1733</v>
      </c>
    </row>
    <row r="92" spans="1:2" s="54" customFormat="1" ht="38.25" x14ac:dyDescent="0.2">
      <c r="A92" s="17" t="s">
        <v>1734</v>
      </c>
      <c r="B92" s="17" t="s">
        <v>1735</v>
      </c>
    </row>
    <row r="93" spans="1:2" s="54" customFormat="1" ht="38.25" x14ac:dyDescent="0.2">
      <c r="A93" s="17" t="s">
        <v>1736</v>
      </c>
      <c r="B93" s="17" t="s">
        <v>1737</v>
      </c>
    </row>
    <row r="94" spans="1:2" s="54" customFormat="1" ht="38.25" x14ac:dyDescent="0.2">
      <c r="A94" s="17" t="s">
        <v>1738</v>
      </c>
      <c r="B94" s="17" t="s">
        <v>1739</v>
      </c>
    </row>
    <row r="95" spans="1:2" s="54" customFormat="1" ht="38.25" x14ac:dyDescent="0.2">
      <c r="A95" s="17" t="s">
        <v>1740</v>
      </c>
      <c r="B95" s="17" t="s">
        <v>1741</v>
      </c>
    </row>
    <row r="96" spans="1:2" s="54" customFormat="1" ht="114.75" x14ac:dyDescent="0.2">
      <c r="A96" s="17" t="s">
        <v>1742</v>
      </c>
      <c r="B96" s="17" t="s">
        <v>1743</v>
      </c>
    </row>
    <row r="97" spans="1:3" s="54" customFormat="1" ht="63.75" x14ac:dyDescent="0.2">
      <c r="A97" s="17" t="s">
        <v>1744</v>
      </c>
      <c r="B97" s="17" t="s">
        <v>1745</v>
      </c>
    </row>
    <row r="98" spans="1:3" s="54" customFormat="1" ht="104.1" customHeight="1" x14ac:dyDescent="0.2">
      <c r="A98" s="17" t="s">
        <v>1712</v>
      </c>
      <c r="B98" s="17" t="s">
        <v>1713</v>
      </c>
      <c r="C98" s="60"/>
    </row>
    <row r="99" spans="1:3" s="54" customFormat="1" ht="89.25" customHeight="1" x14ac:dyDescent="0.2">
      <c r="A99" s="17" t="s">
        <v>1686</v>
      </c>
      <c r="B99" s="17" t="s">
        <v>1715</v>
      </c>
      <c r="C99" s="60"/>
    </row>
    <row r="100" spans="1:3" s="54" customFormat="1" ht="76.5" x14ac:dyDescent="0.2">
      <c r="A100" s="17" t="s">
        <v>1677</v>
      </c>
      <c r="B100" s="17" t="s">
        <v>1683</v>
      </c>
      <c r="C100" s="60"/>
    </row>
    <row r="101" spans="1:3" s="54" customFormat="1" ht="89.25" x14ac:dyDescent="0.2">
      <c r="A101" s="17" t="s">
        <v>1675</v>
      </c>
      <c r="B101" s="17" t="s">
        <v>1676</v>
      </c>
      <c r="C101" s="60"/>
    </row>
    <row r="102" spans="1:3" s="54" customFormat="1" ht="76.5" x14ac:dyDescent="0.2">
      <c r="A102" s="17" t="s">
        <v>1616</v>
      </c>
      <c r="B102" s="17" t="s">
        <v>1618</v>
      </c>
      <c r="C102" s="60"/>
    </row>
    <row r="103" spans="1:3" ht="102" x14ac:dyDescent="0.2">
      <c r="A103" s="15" t="s">
        <v>1605</v>
      </c>
      <c r="B103" s="17" t="s">
        <v>1606</v>
      </c>
      <c r="C103" s="33"/>
    </row>
    <row r="104" spans="1:3" ht="51" x14ac:dyDescent="0.2">
      <c r="A104" s="15" t="s">
        <v>1048</v>
      </c>
      <c r="B104" s="17" t="s">
        <v>1049</v>
      </c>
      <c r="C104" s="33"/>
    </row>
    <row r="105" spans="1:3" ht="38.25" x14ac:dyDescent="0.2">
      <c r="A105" s="15" t="s">
        <v>1039</v>
      </c>
      <c r="B105" s="17" t="s">
        <v>1040</v>
      </c>
      <c r="C105" s="33"/>
    </row>
    <row r="106" spans="1:3" x14ac:dyDescent="0.2">
      <c r="A106" s="15" t="s">
        <v>23</v>
      </c>
      <c r="B106" s="17" t="s">
        <v>24</v>
      </c>
      <c r="C106" s="33"/>
    </row>
    <row r="107" spans="1:3" ht="38.25" x14ac:dyDescent="0.2">
      <c r="A107" s="15" t="s">
        <v>25</v>
      </c>
      <c r="B107" s="17" t="s">
        <v>26</v>
      </c>
      <c r="C107" s="33"/>
    </row>
    <row r="108" spans="1:3" ht="25.5" x14ac:dyDescent="0.2">
      <c r="A108" s="15" t="s">
        <v>27</v>
      </c>
      <c r="B108" s="17" t="s">
        <v>28</v>
      </c>
      <c r="C108" s="33"/>
    </row>
    <row r="109" spans="1:3" x14ac:dyDescent="0.2">
      <c r="A109" s="15" t="s">
        <v>29</v>
      </c>
      <c r="B109" s="17" t="s">
        <v>30</v>
      </c>
      <c r="C109" s="33"/>
    </row>
    <row r="110" spans="1:3" x14ac:dyDescent="0.2">
      <c r="A110" s="15" t="s">
        <v>31</v>
      </c>
      <c r="B110" s="17" t="s">
        <v>32</v>
      </c>
      <c r="C110" s="33"/>
    </row>
    <row r="111" spans="1:3" x14ac:dyDescent="0.2">
      <c r="A111" s="15"/>
      <c r="B111" s="17"/>
      <c r="C111" s="3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3224-FE41-4C03-8B46-4109509C3076}">
  <dimension ref="A1:AB159"/>
  <sheetViews>
    <sheetView showGridLines="0" workbookViewId="0">
      <pane xSplit="3" ySplit="5" topLeftCell="D141" activePane="bottomRight" state="frozen"/>
      <selection pane="topRight" activeCell="D1" sqref="D1"/>
      <selection pane="bottomLeft" activeCell="A6" sqref="A6"/>
      <selection pane="bottomRight" activeCell="A117" sqref="A117:XFD121"/>
    </sheetView>
  </sheetViews>
  <sheetFormatPr defaultRowHeight="12.75" x14ac:dyDescent="0.2"/>
  <cols>
    <col min="1" max="1" width="7.7109375" style="8" customWidth="1"/>
    <col min="2" max="2" width="22.7109375" style="8" customWidth="1"/>
    <col min="3" max="3" width="24.7109375" style="8" customWidth="1"/>
    <col min="4" max="4" width="9.7109375" style="8" customWidth="1"/>
    <col min="5" max="5" width="52.7109375" style="8" customWidth="1"/>
    <col min="6" max="6" width="38.7109375" style="8" customWidth="1"/>
    <col min="7" max="7" width="14.7109375" style="8" customWidth="1"/>
    <col min="8" max="10" width="11.7109375" style="35" customWidth="1"/>
    <col min="11" max="12" width="12.7109375" style="35" customWidth="1"/>
    <col min="13" max="13" width="22.7109375" style="8" customWidth="1"/>
    <col min="14" max="14" width="30.7109375" style="8" customWidth="1"/>
    <col min="15" max="15" width="11.7109375" style="8" customWidth="1"/>
    <col min="16" max="16" width="25.85546875" style="8" customWidth="1"/>
    <col min="17" max="17" width="44.7109375" style="8" customWidth="1"/>
    <col min="18" max="25" width="16.7109375" style="8" customWidth="1"/>
    <col min="26" max="27" width="14.7109375" style="8" customWidth="1"/>
    <col min="28" max="28" width="60.7109375" style="8" customWidth="1"/>
    <col min="29" max="16384" width="9.140625" style="8"/>
  </cols>
  <sheetData>
    <row r="1" spans="1:28" ht="18" x14ac:dyDescent="0.25">
      <c r="A1" s="9" t="s">
        <v>1050</v>
      </c>
    </row>
    <row r="2" spans="1:28" x14ac:dyDescent="0.2">
      <c r="A2" s="10" t="s">
        <v>1051</v>
      </c>
    </row>
    <row r="3" spans="1:28" x14ac:dyDescent="0.2">
      <c r="A3" s="10" t="s">
        <v>1052</v>
      </c>
    </row>
    <row r="5" spans="1:28" ht="42" customHeight="1" x14ac:dyDescent="0.2">
      <c r="A5" s="12" t="s">
        <v>747</v>
      </c>
      <c r="B5" s="12" t="s">
        <v>37</v>
      </c>
      <c r="C5" s="12" t="s">
        <v>39</v>
      </c>
      <c r="D5" s="12" t="s">
        <v>835</v>
      </c>
      <c r="E5" s="12" t="s">
        <v>38</v>
      </c>
      <c r="F5" s="12" t="s">
        <v>1053</v>
      </c>
      <c r="G5" s="12" t="s">
        <v>41</v>
      </c>
      <c r="H5" s="36" t="s">
        <v>1054</v>
      </c>
      <c r="I5" s="36" t="s">
        <v>1055</v>
      </c>
      <c r="J5" s="36" t="s">
        <v>1056</v>
      </c>
      <c r="K5" s="36" t="s">
        <v>1057</v>
      </c>
      <c r="L5" s="36" t="s">
        <v>1058</v>
      </c>
      <c r="M5" s="12" t="s">
        <v>873</v>
      </c>
      <c r="N5" s="12" t="s">
        <v>1059</v>
      </c>
      <c r="O5" s="12" t="s">
        <v>33</v>
      </c>
      <c r="P5" s="8" t="s">
        <v>1608</v>
      </c>
      <c r="Q5" s="12" t="s">
        <v>1687</v>
      </c>
      <c r="R5" s="12" t="s">
        <v>1684</v>
      </c>
      <c r="S5" s="12" t="s">
        <v>1688</v>
      </c>
      <c r="T5" s="12" t="s">
        <v>1746</v>
      </c>
      <c r="U5" s="12" t="s">
        <v>1747</v>
      </c>
      <c r="V5" s="12" t="s">
        <v>1748</v>
      </c>
      <c r="W5" s="12" t="s">
        <v>1749</v>
      </c>
      <c r="X5" s="12" t="s">
        <v>1750</v>
      </c>
      <c r="Y5" s="12" t="s">
        <v>1751</v>
      </c>
      <c r="Z5" s="12" t="s">
        <v>1752</v>
      </c>
      <c r="AA5" s="12" t="s">
        <v>1753</v>
      </c>
      <c r="AB5" s="12" t="s">
        <v>1754</v>
      </c>
    </row>
    <row r="6" spans="1:28" x14ac:dyDescent="0.2">
      <c r="A6" s="18" t="s">
        <v>1060</v>
      </c>
      <c r="B6" s="19"/>
      <c r="C6" s="19"/>
      <c r="D6" s="18"/>
      <c r="E6" s="19"/>
      <c r="F6" s="19"/>
      <c r="G6" s="18"/>
      <c r="H6" s="37"/>
      <c r="I6" s="38"/>
      <c r="J6" s="37"/>
      <c r="K6" s="38"/>
      <c r="L6" s="37"/>
      <c r="M6" s="19"/>
      <c r="N6" s="19"/>
      <c r="O6" s="20"/>
    </row>
    <row r="7" spans="1:28" ht="76.5" x14ac:dyDescent="0.2">
      <c r="A7" s="21" t="s">
        <v>71</v>
      </c>
      <c r="B7" s="22" t="s">
        <v>62</v>
      </c>
      <c r="C7" s="22"/>
      <c r="D7" s="23" t="s">
        <v>65</v>
      </c>
      <c r="E7" s="22" t="s">
        <v>1061</v>
      </c>
      <c r="F7" s="22" t="s">
        <v>1062</v>
      </c>
      <c r="G7" s="23" t="s">
        <v>1063</v>
      </c>
      <c r="H7" s="39"/>
      <c r="I7" s="40">
        <v>25</v>
      </c>
      <c r="J7" s="39"/>
      <c r="K7" s="40">
        <v>25</v>
      </c>
      <c r="L7" s="39"/>
      <c r="M7" s="22" t="s">
        <v>1064</v>
      </c>
      <c r="N7" s="22" t="s">
        <v>1065</v>
      </c>
      <c r="O7" s="24" t="s">
        <v>58</v>
      </c>
      <c r="Q7" s="22" t="s">
        <v>1716</v>
      </c>
      <c r="R7" s="22">
        <v>8.1</v>
      </c>
      <c r="Z7" s="40">
        <f>AVERAGE(R7:Y7)</f>
        <v>8.1</v>
      </c>
      <c r="AA7" s="40">
        <v>25</v>
      </c>
      <c r="AB7" s="22" t="s">
        <v>1755</v>
      </c>
    </row>
    <row r="8" spans="1:28" ht="153" x14ac:dyDescent="0.2">
      <c r="A8" s="21" t="s">
        <v>81</v>
      </c>
      <c r="B8" s="22" t="s">
        <v>74</v>
      </c>
      <c r="C8" s="22"/>
      <c r="D8" s="23" t="s">
        <v>65</v>
      </c>
      <c r="E8" s="22" t="s">
        <v>1066</v>
      </c>
      <c r="F8" s="22" t="s">
        <v>1067</v>
      </c>
      <c r="G8" s="23" t="s">
        <v>75</v>
      </c>
      <c r="H8" s="39"/>
      <c r="I8" s="40">
        <v>100</v>
      </c>
      <c r="J8" s="39"/>
      <c r="K8" s="40">
        <v>100</v>
      </c>
      <c r="L8" s="39"/>
      <c r="M8" s="22" t="s">
        <v>1064</v>
      </c>
      <c r="N8" s="22" t="s">
        <v>1068</v>
      </c>
      <c r="O8" s="24" t="s">
        <v>72</v>
      </c>
      <c r="Q8" s="22" t="s">
        <v>1717</v>
      </c>
      <c r="R8" s="22">
        <v>73.3</v>
      </c>
      <c r="Z8" s="40">
        <f>AVERAGE(R8:Y8)</f>
        <v>73.3</v>
      </c>
      <c r="AA8" s="40">
        <v>100</v>
      </c>
      <c r="AB8" s="22" t="s">
        <v>1756</v>
      </c>
    </row>
    <row r="9" spans="1:28" ht="63.75" x14ac:dyDescent="0.2">
      <c r="A9" s="21" t="s">
        <v>94</v>
      </c>
      <c r="B9" s="22" t="s">
        <v>84</v>
      </c>
      <c r="C9" s="22"/>
      <c r="D9" s="23" t="s">
        <v>65</v>
      </c>
      <c r="E9" s="22" t="s">
        <v>1069</v>
      </c>
      <c r="F9" s="22" t="s">
        <v>1070</v>
      </c>
      <c r="G9" s="23" t="s">
        <v>1063</v>
      </c>
      <c r="H9" s="39"/>
      <c r="I9" s="40">
        <v>55</v>
      </c>
      <c r="J9" s="39"/>
      <c r="K9" s="40">
        <v>0</v>
      </c>
      <c r="L9" s="39"/>
      <c r="M9" s="22" t="s">
        <v>1621</v>
      </c>
      <c r="N9" s="22" t="s">
        <v>1071</v>
      </c>
      <c r="O9" s="24" t="s">
        <v>82</v>
      </c>
      <c r="Q9" s="22" t="s">
        <v>1689</v>
      </c>
      <c r="S9" s="22">
        <v>51.4</v>
      </c>
      <c r="T9" s="22">
        <v>54</v>
      </c>
      <c r="V9" s="22">
        <v>217</v>
      </c>
      <c r="W9" s="22">
        <v>48.8</v>
      </c>
      <c r="X9" s="22">
        <v>11.5</v>
      </c>
      <c r="Y9" s="22">
        <v>54.9</v>
      </c>
      <c r="Z9" s="40">
        <f>AVERAGE(R9:Y9)</f>
        <v>72.933333333333323</v>
      </c>
      <c r="AA9" s="40">
        <v>55</v>
      </c>
      <c r="AB9" s="22" t="s">
        <v>1757</v>
      </c>
    </row>
    <row r="10" spans="1:28" ht="38.25" x14ac:dyDescent="0.2">
      <c r="A10" s="21" t="s">
        <v>100</v>
      </c>
      <c r="B10" s="22" t="s">
        <v>91</v>
      </c>
      <c r="C10" s="22"/>
      <c r="D10" s="23" t="s">
        <v>65</v>
      </c>
      <c r="E10" s="22" t="s">
        <v>1072</v>
      </c>
      <c r="F10" s="22" t="s">
        <v>1073</v>
      </c>
      <c r="G10" s="23" t="s">
        <v>1063</v>
      </c>
      <c r="H10" s="39"/>
      <c r="I10" s="40">
        <v>0</v>
      </c>
      <c r="J10" s="39"/>
      <c r="K10" s="40">
        <v>60</v>
      </c>
      <c r="L10" s="39"/>
      <c r="M10" s="22" t="s">
        <v>1064</v>
      </c>
      <c r="N10" s="22" t="s">
        <v>1074</v>
      </c>
      <c r="O10" s="24" t="s">
        <v>89</v>
      </c>
    </row>
    <row r="11" spans="1:28" ht="25.5" x14ac:dyDescent="0.2">
      <c r="A11" s="21" t="s">
        <v>88</v>
      </c>
      <c r="B11" s="22" t="s">
        <v>97</v>
      </c>
      <c r="C11" s="22"/>
      <c r="D11" s="23" t="s">
        <v>65</v>
      </c>
      <c r="E11" s="22" t="s">
        <v>1075</v>
      </c>
      <c r="F11" s="22" t="s">
        <v>1076</v>
      </c>
      <c r="G11" s="23" t="s">
        <v>630</v>
      </c>
      <c r="H11" s="39"/>
      <c r="I11" s="40">
        <v>0</v>
      </c>
      <c r="J11" s="39"/>
      <c r="K11" s="40">
        <v>35</v>
      </c>
      <c r="L11" s="39"/>
      <c r="M11" s="22" t="s">
        <v>1064</v>
      </c>
      <c r="N11" s="22"/>
      <c r="O11" s="24" t="s">
        <v>95</v>
      </c>
    </row>
    <row r="12" spans="1:28" ht="25.5" x14ac:dyDescent="0.2">
      <c r="A12" s="21" t="s">
        <v>110</v>
      </c>
      <c r="B12" s="22" t="s">
        <v>103</v>
      </c>
      <c r="C12" s="22"/>
      <c r="D12" s="23" t="s">
        <v>65</v>
      </c>
      <c r="E12" s="22" t="s">
        <v>1077</v>
      </c>
      <c r="F12" s="22" t="s">
        <v>1078</v>
      </c>
      <c r="G12" s="23" t="s">
        <v>104</v>
      </c>
      <c r="H12" s="39"/>
      <c r="I12" s="40">
        <v>750</v>
      </c>
      <c r="J12" s="39"/>
      <c r="K12" s="40">
        <v>750</v>
      </c>
      <c r="L12" s="39"/>
      <c r="M12" s="22" t="s">
        <v>1064</v>
      </c>
      <c r="N12" s="22" t="s">
        <v>1079</v>
      </c>
      <c r="O12" s="24" t="s">
        <v>101</v>
      </c>
    </row>
    <row r="13" spans="1:28" ht="102" x14ac:dyDescent="0.2">
      <c r="A13" s="21" t="s">
        <v>117</v>
      </c>
      <c r="B13" s="22" t="s">
        <v>113</v>
      </c>
      <c r="C13" s="22"/>
      <c r="D13" s="23" t="s">
        <v>65</v>
      </c>
      <c r="E13" s="22" t="s">
        <v>1080</v>
      </c>
      <c r="F13" s="22" t="s">
        <v>1081</v>
      </c>
      <c r="G13" s="23" t="s">
        <v>630</v>
      </c>
      <c r="H13" s="39"/>
      <c r="I13" s="40">
        <v>100</v>
      </c>
      <c r="J13" s="39"/>
      <c r="K13" s="40">
        <v>100</v>
      </c>
      <c r="L13" s="39"/>
      <c r="M13" s="22" t="s">
        <v>1064</v>
      </c>
      <c r="N13" s="22"/>
      <c r="O13" s="24" t="s">
        <v>111</v>
      </c>
      <c r="Q13" s="22" t="s">
        <v>1718</v>
      </c>
      <c r="R13" s="22">
        <v>36.299999999999997</v>
      </c>
      <c r="Z13" s="40">
        <f>AVERAGE(R13:Y13)</f>
        <v>36.299999999999997</v>
      </c>
      <c r="AA13" s="40">
        <v>100</v>
      </c>
      <c r="AB13" s="22" t="s">
        <v>1758</v>
      </c>
    </row>
    <row r="14" spans="1:28" x14ac:dyDescent="0.2">
      <c r="A14" s="25" t="s">
        <v>1082</v>
      </c>
      <c r="B14" s="26"/>
      <c r="C14" s="26"/>
      <c r="D14" s="25"/>
      <c r="E14" s="26"/>
      <c r="F14" s="26"/>
      <c r="G14" s="25"/>
      <c r="H14" s="41"/>
      <c r="I14" s="42"/>
      <c r="J14" s="41"/>
      <c r="K14" s="42"/>
      <c r="L14" s="41"/>
      <c r="M14" s="26"/>
      <c r="N14" s="26"/>
      <c r="O14" s="27"/>
    </row>
    <row r="15" spans="1:28" ht="25.5" x14ac:dyDescent="0.2">
      <c r="A15" s="23" t="s">
        <v>1083</v>
      </c>
      <c r="B15" s="22" t="s">
        <v>123</v>
      </c>
      <c r="C15" s="22" t="s">
        <v>64</v>
      </c>
      <c r="D15" s="23" t="s">
        <v>65</v>
      </c>
      <c r="E15" s="22" t="s">
        <v>1084</v>
      </c>
      <c r="F15" s="22" t="s">
        <v>1085</v>
      </c>
      <c r="G15" s="23" t="s">
        <v>630</v>
      </c>
      <c r="H15" s="39"/>
      <c r="I15" s="40">
        <v>0</v>
      </c>
      <c r="J15" s="39"/>
      <c r="K15" s="40">
        <v>115</v>
      </c>
      <c r="L15" s="39">
        <v>140</v>
      </c>
      <c r="M15" s="22" t="s">
        <v>1086</v>
      </c>
      <c r="N15" s="22" t="s">
        <v>1087</v>
      </c>
      <c r="O15" s="24" t="s">
        <v>120</v>
      </c>
    </row>
    <row r="16" spans="1:28" ht="76.5" x14ac:dyDescent="0.2">
      <c r="A16" s="23" t="s">
        <v>2019</v>
      </c>
      <c r="B16" s="22" t="s">
        <v>123</v>
      </c>
      <c r="C16" s="22" t="s">
        <v>64</v>
      </c>
      <c r="D16" s="23" t="s">
        <v>345</v>
      </c>
      <c r="E16" s="22" t="s">
        <v>2020</v>
      </c>
      <c r="F16" s="22" t="s">
        <v>1085</v>
      </c>
      <c r="G16" s="23" t="s">
        <v>630</v>
      </c>
      <c r="H16" s="39"/>
      <c r="I16" s="40">
        <v>0</v>
      </c>
      <c r="J16" s="39"/>
      <c r="K16" s="40">
        <v>22</v>
      </c>
      <c r="L16" s="39">
        <v>30</v>
      </c>
      <c r="M16" s="22" t="s">
        <v>1086</v>
      </c>
      <c r="N16" s="22" t="s">
        <v>2021</v>
      </c>
      <c r="O16" s="24" t="s">
        <v>2022</v>
      </c>
    </row>
    <row r="17" spans="1:28" ht="25.5" x14ac:dyDescent="0.2">
      <c r="A17" s="23" t="s">
        <v>1088</v>
      </c>
      <c r="B17" s="22" t="s">
        <v>123</v>
      </c>
      <c r="C17" s="22" t="s">
        <v>1089</v>
      </c>
      <c r="D17" s="23" t="s">
        <v>65</v>
      </c>
      <c r="E17" s="22" t="s">
        <v>1090</v>
      </c>
      <c r="F17" s="22" t="s">
        <v>1085</v>
      </c>
      <c r="G17" s="23" t="s">
        <v>630</v>
      </c>
      <c r="H17" s="39"/>
      <c r="I17" s="40">
        <v>0</v>
      </c>
      <c r="J17" s="39"/>
      <c r="K17" s="40">
        <v>260</v>
      </c>
      <c r="L17" s="39">
        <v>320</v>
      </c>
      <c r="M17" s="22" t="s">
        <v>1086</v>
      </c>
      <c r="N17" s="22" t="s">
        <v>1091</v>
      </c>
      <c r="O17" s="24" t="s">
        <v>131</v>
      </c>
    </row>
    <row r="18" spans="1:28" ht="25.5" x14ac:dyDescent="0.2">
      <c r="A18" s="23" t="s">
        <v>1092</v>
      </c>
      <c r="B18" s="22" t="s">
        <v>123</v>
      </c>
      <c r="C18" s="22" t="s">
        <v>1093</v>
      </c>
      <c r="D18" s="23" t="s">
        <v>65</v>
      </c>
      <c r="E18" s="22" t="s">
        <v>1094</v>
      </c>
      <c r="F18" s="22" t="s">
        <v>1085</v>
      </c>
      <c r="G18" s="23" t="s">
        <v>630</v>
      </c>
      <c r="H18" s="39"/>
      <c r="I18" s="40">
        <f>I15*1</f>
        <v>0</v>
      </c>
      <c r="J18" s="39"/>
      <c r="K18" s="40">
        <f>K15*1</f>
        <v>115</v>
      </c>
      <c r="L18" s="39">
        <f>L15*1</f>
        <v>140</v>
      </c>
      <c r="M18" s="22" t="s">
        <v>1095</v>
      </c>
      <c r="N18" s="22"/>
      <c r="O18" s="24" t="s">
        <v>134</v>
      </c>
    </row>
    <row r="19" spans="1:28" ht="38.25" x14ac:dyDescent="0.2">
      <c r="A19" s="23" t="s">
        <v>2024</v>
      </c>
      <c r="B19" s="22" t="s">
        <v>123</v>
      </c>
      <c r="C19" s="22" t="s">
        <v>1093</v>
      </c>
      <c r="D19" s="23" t="s">
        <v>345</v>
      </c>
      <c r="E19" s="22" t="s">
        <v>2025</v>
      </c>
      <c r="F19" s="22" t="s">
        <v>1085</v>
      </c>
      <c r="G19" s="23" t="s">
        <v>630</v>
      </c>
      <c r="H19" s="39"/>
      <c r="I19" s="40">
        <f>I16*1</f>
        <v>0</v>
      </c>
      <c r="J19" s="39"/>
      <c r="K19" s="40">
        <f>K16*1</f>
        <v>22</v>
      </c>
      <c r="L19" s="39">
        <f>L16*1</f>
        <v>30</v>
      </c>
      <c r="M19" s="22" t="s">
        <v>2027</v>
      </c>
      <c r="N19" s="22"/>
      <c r="O19" s="24" t="s">
        <v>2026</v>
      </c>
    </row>
    <row r="20" spans="1:28" ht="25.5" x14ac:dyDescent="0.2">
      <c r="A20" s="21" t="s">
        <v>2054</v>
      </c>
      <c r="B20" s="22" t="s">
        <v>140</v>
      </c>
      <c r="C20" s="22"/>
      <c r="D20" s="23" t="s">
        <v>65</v>
      </c>
      <c r="E20" s="22" t="s">
        <v>1097</v>
      </c>
      <c r="F20" s="22" t="s">
        <v>1098</v>
      </c>
      <c r="G20" s="23" t="s">
        <v>630</v>
      </c>
      <c r="H20" s="39"/>
      <c r="I20" s="40">
        <v>0</v>
      </c>
      <c r="J20" s="39"/>
      <c r="K20" s="40">
        <v>160</v>
      </c>
      <c r="L20" s="39">
        <v>195</v>
      </c>
      <c r="M20" s="22" t="s">
        <v>1086</v>
      </c>
      <c r="N20" s="22" t="s">
        <v>1099</v>
      </c>
      <c r="O20" s="24" t="s">
        <v>138</v>
      </c>
    </row>
    <row r="21" spans="1:28" ht="51" x14ac:dyDescent="0.2">
      <c r="A21" s="21" t="s">
        <v>2029</v>
      </c>
      <c r="B21" s="22" t="s">
        <v>140</v>
      </c>
      <c r="C21" s="22"/>
      <c r="D21" s="23" t="s">
        <v>345</v>
      </c>
      <c r="E21" s="22" t="s">
        <v>2030</v>
      </c>
      <c r="F21" s="22" t="s">
        <v>1098</v>
      </c>
      <c r="G21" s="23" t="s">
        <v>630</v>
      </c>
      <c r="H21" s="39"/>
      <c r="I21" s="40">
        <v>0</v>
      </c>
      <c r="J21" s="39"/>
      <c r="K21" s="40">
        <v>100</v>
      </c>
      <c r="L21" s="39">
        <v>125</v>
      </c>
      <c r="M21" s="22" t="s">
        <v>1086</v>
      </c>
      <c r="N21" s="22" t="s">
        <v>2031</v>
      </c>
      <c r="O21" s="24" t="s">
        <v>2032</v>
      </c>
    </row>
    <row r="22" spans="1:28" ht="38.25" x14ac:dyDescent="0.2">
      <c r="A22" s="21" t="s">
        <v>142</v>
      </c>
      <c r="B22" s="22" t="s">
        <v>145</v>
      </c>
      <c r="C22" s="22"/>
      <c r="D22" s="23" t="s">
        <v>65</v>
      </c>
      <c r="E22" s="22" t="s">
        <v>1100</v>
      </c>
      <c r="F22" s="22" t="s">
        <v>1101</v>
      </c>
      <c r="G22" s="23" t="s">
        <v>146</v>
      </c>
      <c r="H22" s="39"/>
      <c r="I22" s="40">
        <v>0</v>
      </c>
      <c r="J22" s="39"/>
      <c r="K22" s="40">
        <v>600</v>
      </c>
      <c r="L22" s="39">
        <v>1000</v>
      </c>
      <c r="M22" s="22" t="s">
        <v>1064</v>
      </c>
      <c r="N22" s="22" t="s">
        <v>1102</v>
      </c>
      <c r="O22" s="24" t="s">
        <v>143</v>
      </c>
    </row>
    <row r="23" spans="1:28" x14ac:dyDescent="0.2">
      <c r="A23" s="25" t="s">
        <v>1103</v>
      </c>
      <c r="B23" s="26"/>
      <c r="C23" s="26"/>
      <c r="D23" s="25"/>
      <c r="E23" s="26"/>
      <c r="F23" s="26"/>
      <c r="G23" s="25"/>
      <c r="H23" s="41"/>
      <c r="I23" s="42"/>
      <c r="J23" s="41"/>
      <c r="K23" s="42"/>
      <c r="L23" s="41"/>
      <c r="M23" s="26"/>
      <c r="N23" s="26"/>
      <c r="O23" s="27"/>
    </row>
    <row r="24" spans="1:28" ht="38.25" x14ac:dyDescent="0.2">
      <c r="A24" s="21" t="s">
        <v>2055</v>
      </c>
      <c r="B24" s="22" t="s">
        <v>154</v>
      </c>
      <c r="C24" s="22"/>
      <c r="D24" s="23" t="s">
        <v>65</v>
      </c>
      <c r="E24" s="22" t="s">
        <v>1104</v>
      </c>
      <c r="F24" s="22" t="s">
        <v>1105</v>
      </c>
      <c r="G24" s="23" t="s">
        <v>1063</v>
      </c>
      <c r="H24" s="39" t="s">
        <v>1607</v>
      </c>
      <c r="I24" s="40" t="s">
        <v>1607</v>
      </c>
      <c r="J24" s="40" t="s">
        <v>1607</v>
      </c>
      <c r="K24" s="40">
        <v>350</v>
      </c>
      <c r="L24" s="39">
        <v>550</v>
      </c>
      <c r="M24" s="22" t="s">
        <v>1106</v>
      </c>
      <c r="N24" s="22" t="s">
        <v>1107</v>
      </c>
      <c r="O24" s="24" t="s">
        <v>150</v>
      </c>
    </row>
    <row r="25" spans="1:28" ht="38.25" x14ac:dyDescent="0.2">
      <c r="A25" s="21" t="s">
        <v>2034</v>
      </c>
      <c r="B25" s="22" t="s">
        <v>154</v>
      </c>
      <c r="C25" s="22"/>
      <c r="D25" s="23" t="s">
        <v>345</v>
      </c>
      <c r="E25" s="22" t="s">
        <v>2035</v>
      </c>
      <c r="F25" s="22" t="s">
        <v>1105</v>
      </c>
      <c r="G25" s="23" t="s">
        <v>1063</v>
      </c>
      <c r="H25" s="39" t="s">
        <v>1607</v>
      </c>
      <c r="I25" s="40" t="s">
        <v>1607</v>
      </c>
      <c r="J25" s="40" t="s">
        <v>1607</v>
      </c>
      <c r="K25" s="40">
        <v>90</v>
      </c>
      <c r="L25" s="39">
        <v>120</v>
      </c>
      <c r="M25" s="22" t="s">
        <v>1086</v>
      </c>
      <c r="N25" s="22" t="s">
        <v>2036</v>
      </c>
      <c r="O25" s="24" t="s">
        <v>2037</v>
      </c>
    </row>
    <row r="26" spans="1:28" ht="38.25" x14ac:dyDescent="0.2">
      <c r="A26" s="21" t="s">
        <v>164</v>
      </c>
      <c r="B26" s="22" t="s">
        <v>159</v>
      </c>
      <c r="C26" s="22"/>
      <c r="D26" s="23" t="s">
        <v>65</v>
      </c>
      <c r="E26" s="22" t="s">
        <v>1108</v>
      </c>
      <c r="F26" s="22" t="s">
        <v>1109</v>
      </c>
      <c r="G26" s="23" t="s">
        <v>1110</v>
      </c>
      <c r="H26" s="39" t="s">
        <v>1607</v>
      </c>
      <c r="I26" s="40" t="s">
        <v>1607</v>
      </c>
      <c r="J26" s="40" t="s">
        <v>1607</v>
      </c>
      <c r="K26" s="40">
        <v>110</v>
      </c>
      <c r="L26" s="39">
        <v>135</v>
      </c>
      <c r="M26" s="22" t="s">
        <v>1086</v>
      </c>
      <c r="N26" s="22" t="s">
        <v>1111</v>
      </c>
      <c r="O26" s="24" t="s">
        <v>157</v>
      </c>
    </row>
    <row r="27" spans="1:28" ht="25.5" x14ac:dyDescent="0.2">
      <c r="A27" s="21" t="s">
        <v>184</v>
      </c>
      <c r="B27" s="22" t="s">
        <v>167</v>
      </c>
      <c r="C27" s="22"/>
      <c r="D27" s="23" t="s">
        <v>65</v>
      </c>
      <c r="E27" s="22" t="s">
        <v>1112</v>
      </c>
      <c r="F27" s="22" t="s">
        <v>1113</v>
      </c>
      <c r="G27" s="23" t="s">
        <v>1063</v>
      </c>
      <c r="H27" s="39" t="s">
        <v>1607</v>
      </c>
      <c r="I27" s="40" t="s">
        <v>1607</v>
      </c>
      <c r="J27" s="40" t="s">
        <v>1607</v>
      </c>
      <c r="K27" s="40">
        <v>20</v>
      </c>
      <c r="L27" s="39">
        <v>35</v>
      </c>
      <c r="M27" s="22" t="s">
        <v>1086</v>
      </c>
      <c r="N27" s="22" t="s">
        <v>1114</v>
      </c>
      <c r="O27" s="24" t="s">
        <v>165</v>
      </c>
    </row>
    <row r="28" spans="1:28" ht="25.5" x14ac:dyDescent="0.2">
      <c r="A28" s="21" t="s">
        <v>170</v>
      </c>
      <c r="B28" s="22" t="s">
        <v>173</v>
      </c>
      <c r="C28" s="22"/>
      <c r="D28" s="23" t="s">
        <v>65</v>
      </c>
      <c r="E28" s="22" t="s">
        <v>1115</v>
      </c>
      <c r="F28" s="22" t="s">
        <v>1116</v>
      </c>
      <c r="G28" s="23" t="s">
        <v>174</v>
      </c>
      <c r="H28" s="39">
        <v>180</v>
      </c>
      <c r="I28" s="40">
        <v>250</v>
      </c>
      <c r="J28" s="40">
        <v>350</v>
      </c>
      <c r="K28" s="40">
        <v>250</v>
      </c>
      <c r="L28" s="39">
        <v>350</v>
      </c>
      <c r="M28" s="22" t="s">
        <v>1106</v>
      </c>
      <c r="N28" s="22" t="s">
        <v>1117</v>
      </c>
      <c r="O28" s="24" t="s">
        <v>171</v>
      </c>
    </row>
    <row r="29" spans="1:28" ht="191.25" x14ac:dyDescent="0.2">
      <c r="A29" s="21" t="s">
        <v>1645</v>
      </c>
      <c r="B29" s="22" t="s">
        <v>183</v>
      </c>
      <c r="C29" s="22" t="s">
        <v>1646</v>
      </c>
      <c r="D29" s="23" t="s">
        <v>65</v>
      </c>
      <c r="E29" s="22" t="s">
        <v>1118</v>
      </c>
      <c r="F29" s="22" t="s">
        <v>1119</v>
      </c>
      <c r="G29" s="23" t="s">
        <v>696</v>
      </c>
      <c r="H29" s="39">
        <v>155</v>
      </c>
      <c r="I29" s="40">
        <v>190</v>
      </c>
      <c r="J29" s="39">
        <v>345</v>
      </c>
      <c r="K29" s="40">
        <v>220</v>
      </c>
      <c r="L29" s="39">
        <v>300</v>
      </c>
      <c r="M29" s="22" t="s">
        <v>1064</v>
      </c>
      <c r="N29" s="22" t="s">
        <v>1120</v>
      </c>
      <c r="O29" s="24" t="s">
        <v>180</v>
      </c>
      <c r="Q29" s="22" t="s">
        <v>1690</v>
      </c>
      <c r="S29" s="22">
        <v>516.9</v>
      </c>
      <c r="U29" s="22">
        <v>182</v>
      </c>
      <c r="Z29" s="40">
        <f t="shared" ref="Z29:Z38" si="0">AVERAGE(R29:Y29)</f>
        <v>349.45</v>
      </c>
      <c r="AA29" s="40">
        <v>190</v>
      </c>
      <c r="AB29" s="22" t="s">
        <v>1759</v>
      </c>
    </row>
    <row r="30" spans="1:28" ht="51" x14ac:dyDescent="0.2">
      <c r="A30" s="21" t="s">
        <v>2039</v>
      </c>
      <c r="B30" s="22" t="s">
        <v>183</v>
      </c>
      <c r="C30" s="22" t="s">
        <v>1646</v>
      </c>
      <c r="D30" s="23" t="s">
        <v>345</v>
      </c>
      <c r="E30" s="22" t="s">
        <v>2040</v>
      </c>
      <c r="F30" s="22" t="s">
        <v>1119</v>
      </c>
      <c r="G30" s="23" t="s">
        <v>696</v>
      </c>
      <c r="H30" s="39">
        <v>155</v>
      </c>
      <c r="I30" s="40">
        <v>190</v>
      </c>
      <c r="J30" s="39">
        <v>345</v>
      </c>
      <c r="K30" s="40">
        <v>115</v>
      </c>
      <c r="L30" s="39">
        <v>150</v>
      </c>
      <c r="M30" s="22" t="s">
        <v>1086</v>
      </c>
      <c r="N30" s="22" t="s">
        <v>2041</v>
      </c>
      <c r="O30" s="24" t="s">
        <v>2042</v>
      </c>
      <c r="Q30" s="22"/>
      <c r="S30" s="22"/>
      <c r="U30" s="22"/>
      <c r="Z30" s="40"/>
      <c r="AA30" s="40"/>
      <c r="AB30" s="22"/>
    </row>
    <row r="31" spans="1:28" ht="38.25" x14ac:dyDescent="0.25">
      <c r="A31" s="21" t="s">
        <v>1638</v>
      </c>
      <c r="B31" s="22" t="s">
        <v>183</v>
      </c>
      <c r="C31" s="22" t="s">
        <v>1639</v>
      </c>
      <c r="D31" s="23" t="s">
        <v>65</v>
      </c>
      <c r="E31" s="22" t="s">
        <v>1640</v>
      </c>
      <c r="F31" s="22" t="s">
        <v>1641</v>
      </c>
      <c r="G31" s="23" t="s">
        <v>696</v>
      </c>
      <c r="H31" s="39"/>
      <c r="I31" s="40">
        <v>32</v>
      </c>
      <c r="J31" s="39"/>
      <c r="K31" s="40">
        <v>0</v>
      </c>
      <c r="L31" s="39"/>
      <c r="M31" s="22" t="s">
        <v>1621</v>
      </c>
      <c r="N31" s="22"/>
      <c r="O31" s="24" t="s">
        <v>1642</v>
      </c>
      <c r="P31"/>
      <c r="Q31" s="22" t="s">
        <v>1643</v>
      </c>
      <c r="T31" s="22">
        <v>32</v>
      </c>
      <c r="Z31" s="40">
        <f t="shared" si="0"/>
        <v>32</v>
      </c>
      <c r="AA31" s="40">
        <v>32</v>
      </c>
      <c r="AB31" s="22" t="s">
        <v>1760</v>
      </c>
    </row>
    <row r="32" spans="1:28" ht="51" x14ac:dyDescent="0.2">
      <c r="A32" s="21" t="s">
        <v>2056</v>
      </c>
      <c r="B32" s="22" t="s">
        <v>187</v>
      </c>
      <c r="C32" s="22"/>
      <c r="D32" s="23" t="s">
        <v>65</v>
      </c>
      <c r="E32" s="22" t="s">
        <v>1121</v>
      </c>
      <c r="F32" s="22" t="s">
        <v>1122</v>
      </c>
      <c r="G32" s="23" t="s">
        <v>1063</v>
      </c>
      <c r="H32" s="39">
        <v>50</v>
      </c>
      <c r="I32" s="40">
        <v>100</v>
      </c>
      <c r="J32" s="39">
        <v>183</v>
      </c>
      <c r="K32" s="40">
        <v>220</v>
      </c>
      <c r="L32" s="39">
        <v>340</v>
      </c>
      <c r="M32" s="22" t="s">
        <v>1064</v>
      </c>
      <c r="N32" s="22" t="s">
        <v>1123</v>
      </c>
      <c r="O32" s="24" t="s">
        <v>185</v>
      </c>
      <c r="Q32" s="22" t="s">
        <v>1678</v>
      </c>
      <c r="U32" s="22">
        <v>48</v>
      </c>
      <c r="Y32" s="22">
        <v>170.5</v>
      </c>
      <c r="Z32" s="40">
        <f t="shared" si="0"/>
        <v>109.25</v>
      </c>
      <c r="AA32" s="40">
        <v>100</v>
      </c>
      <c r="AB32" s="22" t="s">
        <v>1761</v>
      </c>
    </row>
    <row r="33" spans="1:28" ht="63.75" x14ac:dyDescent="0.2">
      <c r="A33" s="21" t="s">
        <v>2044</v>
      </c>
      <c r="B33" s="22" t="s">
        <v>187</v>
      </c>
      <c r="C33" s="22"/>
      <c r="D33" s="23" t="s">
        <v>345</v>
      </c>
      <c r="E33" s="22" t="s">
        <v>2045</v>
      </c>
      <c r="F33" s="22" t="s">
        <v>1122</v>
      </c>
      <c r="G33" s="23" t="s">
        <v>1063</v>
      </c>
      <c r="H33" s="39">
        <v>50</v>
      </c>
      <c r="I33" s="40">
        <v>100</v>
      </c>
      <c r="J33" s="39">
        <v>183</v>
      </c>
      <c r="K33" s="40">
        <v>100</v>
      </c>
      <c r="L33" s="39">
        <v>140</v>
      </c>
      <c r="M33" s="22" t="s">
        <v>1086</v>
      </c>
      <c r="N33" s="22" t="s">
        <v>2046</v>
      </c>
      <c r="O33" s="24" t="s">
        <v>2047</v>
      </c>
      <c r="Q33" s="22"/>
      <c r="U33" s="22"/>
      <c r="Y33" s="22"/>
      <c r="Z33" s="40"/>
      <c r="AA33" s="40"/>
      <c r="AB33" s="22"/>
    </row>
    <row r="34" spans="1:28" ht="140.25" x14ac:dyDescent="0.2">
      <c r="A34" s="21" t="s">
        <v>2057</v>
      </c>
      <c r="B34" s="22" t="s">
        <v>191</v>
      </c>
      <c r="C34" s="22"/>
      <c r="D34" s="23" t="s">
        <v>65</v>
      </c>
      <c r="E34" s="22" t="s">
        <v>1124</v>
      </c>
      <c r="F34" s="22" t="s">
        <v>1125</v>
      </c>
      <c r="G34" s="23" t="s">
        <v>1063</v>
      </c>
      <c r="H34" s="39">
        <v>105</v>
      </c>
      <c r="I34" s="40">
        <v>140</v>
      </c>
      <c r="J34" s="39">
        <v>210</v>
      </c>
      <c r="K34" s="40">
        <v>210</v>
      </c>
      <c r="L34" s="39">
        <v>303</v>
      </c>
      <c r="M34" s="22" t="s">
        <v>1064</v>
      </c>
      <c r="N34" s="22" t="s">
        <v>1126</v>
      </c>
      <c r="O34" s="24" t="s">
        <v>189</v>
      </c>
      <c r="Q34" s="22" t="s">
        <v>1679</v>
      </c>
      <c r="U34" s="22">
        <v>210</v>
      </c>
      <c r="W34" s="22">
        <v>24.4</v>
      </c>
      <c r="Y34" s="22">
        <v>146.69999999999999</v>
      </c>
      <c r="Z34" s="40">
        <f t="shared" si="0"/>
        <v>127.03333333333335</v>
      </c>
      <c r="AA34" s="40">
        <v>140</v>
      </c>
      <c r="AB34" s="22" t="s">
        <v>1762</v>
      </c>
    </row>
    <row r="35" spans="1:28" ht="63.75" x14ac:dyDescent="0.2">
      <c r="A35" s="21" t="s">
        <v>2049</v>
      </c>
      <c r="B35" s="22" t="s">
        <v>191</v>
      </c>
      <c r="C35" s="22"/>
      <c r="D35" s="23" t="s">
        <v>345</v>
      </c>
      <c r="E35" s="22" t="s">
        <v>2050</v>
      </c>
      <c r="F35" s="22" t="s">
        <v>1125</v>
      </c>
      <c r="G35" s="23" t="s">
        <v>1063</v>
      </c>
      <c r="H35" s="39">
        <v>105</v>
      </c>
      <c r="I35" s="40">
        <v>140</v>
      </c>
      <c r="J35" s="39">
        <v>210</v>
      </c>
      <c r="K35" s="40">
        <v>25</v>
      </c>
      <c r="L35" s="39">
        <v>40</v>
      </c>
      <c r="M35" s="22" t="s">
        <v>1086</v>
      </c>
      <c r="N35" s="22" t="s">
        <v>2051</v>
      </c>
      <c r="O35" s="24" t="s">
        <v>2052</v>
      </c>
      <c r="Q35" s="22"/>
      <c r="U35" s="22"/>
      <c r="W35" s="22"/>
      <c r="Y35" s="22"/>
      <c r="Z35" s="40"/>
      <c r="AA35" s="40"/>
      <c r="AB35" s="22"/>
    </row>
    <row r="36" spans="1:28" ht="25.5" x14ac:dyDescent="0.2">
      <c r="A36" s="21" t="s">
        <v>204</v>
      </c>
      <c r="B36" s="22" t="s">
        <v>197</v>
      </c>
      <c r="C36" s="22"/>
      <c r="D36" s="23" t="s">
        <v>65</v>
      </c>
      <c r="E36" s="22" t="s">
        <v>1127</v>
      </c>
      <c r="F36" s="22" t="s">
        <v>1128</v>
      </c>
      <c r="G36" s="23" t="s">
        <v>1063</v>
      </c>
      <c r="H36" s="39">
        <v>68</v>
      </c>
      <c r="I36" s="40">
        <v>150</v>
      </c>
      <c r="J36" s="39">
        <v>218</v>
      </c>
      <c r="K36" s="40">
        <v>150</v>
      </c>
      <c r="L36" s="39">
        <v>218</v>
      </c>
      <c r="M36" s="22" t="s">
        <v>1064</v>
      </c>
      <c r="N36" s="22" t="s">
        <v>1129</v>
      </c>
      <c r="O36" s="24" t="s">
        <v>194</v>
      </c>
      <c r="W36" s="22">
        <v>26.4</v>
      </c>
      <c r="Y36" s="22">
        <v>246.9</v>
      </c>
      <c r="Z36" s="40">
        <f t="shared" si="0"/>
        <v>136.65</v>
      </c>
      <c r="AA36" s="40">
        <v>150</v>
      </c>
      <c r="AB36" s="22" t="s">
        <v>1763</v>
      </c>
    </row>
    <row r="37" spans="1:28" ht="25.5" x14ac:dyDescent="0.2">
      <c r="A37" s="21" t="s">
        <v>1130</v>
      </c>
      <c r="B37" s="22" t="s">
        <v>202</v>
      </c>
      <c r="C37" s="22"/>
      <c r="D37" s="23" t="s">
        <v>65</v>
      </c>
      <c r="E37" s="22" t="s">
        <v>1131</v>
      </c>
      <c r="F37" s="22" t="s">
        <v>1132</v>
      </c>
      <c r="G37" s="23" t="s">
        <v>1063</v>
      </c>
      <c r="H37" s="39">
        <v>50</v>
      </c>
      <c r="I37" s="40">
        <v>100</v>
      </c>
      <c r="J37" s="39">
        <v>200</v>
      </c>
      <c r="K37" s="40">
        <v>100</v>
      </c>
      <c r="L37" s="39">
        <v>200</v>
      </c>
      <c r="M37" s="22" t="s">
        <v>1064</v>
      </c>
      <c r="N37" s="22" t="s">
        <v>1133</v>
      </c>
      <c r="O37" s="24" t="s">
        <v>200</v>
      </c>
      <c r="V37" s="22">
        <v>99</v>
      </c>
      <c r="W37" s="22">
        <v>9.1</v>
      </c>
      <c r="Y37" s="22">
        <v>163.69999999999999</v>
      </c>
      <c r="Z37" s="40">
        <f t="shared" si="0"/>
        <v>90.59999999999998</v>
      </c>
      <c r="AA37" s="40">
        <v>100</v>
      </c>
      <c r="AB37" s="22" t="s">
        <v>1764</v>
      </c>
    </row>
    <row r="38" spans="1:28" ht="140.25" x14ac:dyDescent="0.2">
      <c r="A38" s="21" t="s">
        <v>1134</v>
      </c>
      <c r="B38" s="22" t="s">
        <v>207</v>
      </c>
      <c r="C38" s="22"/>
      <c r="D38" s="23" t="s">
        <v>65</v>
      </c>
      <c r="E38" s="22" t="s">
        <v>1135</v>
      </c>
      <c r="F38" s="22" t="s">
        <v>1136</v>
      </c>
      <c r="G38" s="23" t="s">
        <v>1063</v>
      </c>
      <c r="H38" s="39">
        <v>15</v>
      </c>
      <c r="I38" s="40">
        <v>30</v>
      </c>
      <c r="J38" s="39">
        <v>60</v>
      </c>
      <c r="K38" s="40">
        <v>15</v>
      </c>
      <c r="L38" s="39">
        <v>30</v>
      </c>
      <c r="M38" s="22" t="s">
        <v>1106</v>
      </c>
      <c r="N38" s="22"/>
      <c r="O38" s="24" t="s">
        <v>205</v>
      </c>
      <c r="Q38" s="22" t="s">
        <v>1691</v>
      </c>
      <c r="S38" s="22">
        <v>95.8</v>
      </c>
      <c r="T38" s="22">
        <v>13.5</v>
      </c>
      <c r="V38" s="22">
        <v>24</v>
      </c>
      <c r="W38" s="22">
        <v>3.4</v>
      </c>
      <c r="Y38" s="22">
        <v>15.6</v>
      </c>
      <c r="Z38" s="40">
        <f t="shared" si="0"/>
        <v>30.46</v>
      </c>
      <c r="AA38" s="40">
        <v>30</v>
      </c>
      <c r="AB38" s="22" t="s">
        <v>1765</v>
      </c>
    </row>
    <row r="39" spans="1:28" x14ac:dyDescent="0.2">
      <c r="A39" s="25" t="s">
        <v>1137</v>
      </c>
      <c r="B39" s="26"/>
      <c r="C39" s="26"/>
      <c r="D39" s="25"/>
      <c r="E39" s="26"/>
      <c r="F39" s="26"/>
      <c r="G39" s="25"/>
      <c r="H39" s="41"/>
      <c r="I39" s="42"/>
      <c r="J39" s="41"/>
      <c r="K39" s="42"/>
      <c r="L39" s="41"/>
      <c r="M39" s="26"/>
      <c r="N39" s="26"/>
      <c r="O39" s="27"/>
    </row>
    <row r="40" spans="1:28" ht="76.5" x14ac:dyDescent="0.2">
      <c r="A40" s="21" t="s">
        <v>217</v>
      </c>
      <c r="B40" s="22" t="s">
        <v>215</v>
      </c>
      <c r="C40" s="22"/>
      <c r="D40" s="23" t="s">
        <v>65</v>
      </c>
      <c r="E40" s="22" t="s">
        <v>1138</v>
      </c>
      <c r="F40" s="22" t="s">
        <v>1139</v>
      </c>
      <c r="G40" s="23" t="s">
        <v>1063</v>
      </c>
      <c r="H40" s="39">
        <v>30</v>
      </c>
      <c r="I40" s="40">
        <v>75</v>
      </c>
      <c r="J40" s="39">
        <v>140</v>
      </c>
      <c r="K40" s="40">
        <v>55</v>
      </c>
      <c r="L40" s="39">
        <v>140</v>
      </c>
      <c r="M40" s="22" t="s">
        <v>1064</v>
      </c>
      <c r="N40" s="22" t="s">
        <v>1140</v>
      </c>
      <c r="O40" s="24" t="s">
        <v>212</v>
      </c>
      <c r="Q40" s="22" t="s">
        <v>1692</v>
      </c>
      <c r="S40" s="22">
        <v>99.3</v>
      </c>
      <c r="T40" s="22">
        <v>72</v>
      </c>
      <c r="V40" s="22">
        <v>304</v>
      </c>
      <c r="W40" s="22">
        <v>26.6</v>
      </c>
      <c r="X40" s="22">
        <v>49</v>
      </c>
      <c r="Y40" s="22">
        <v>39.4</v>
      </c>
      <c r="Z40" s="40">
        <f>AVERAGE(R40:Y40)</f>
        <v>98.38333333333334</v>
      </c>
      <c r="AA40" s="40">
        <v>75</v>
      </c>
      <c r="AB40" s="22" t="s">
        <v>1766</v>
      </c>
    </row>
    <row r="41" spans="1:28" ht="25.5" x14ac:dyDescent="0.2">
      <c r="A41" s="23" t="s">
        <v>1141</v>
      </c>
      <c r="B41" s="22" t="s">
        <v>221</v>
      </c>
      <c r="C41" s="22" t="s">
        <v>222</v>
      </c>
      <c r="D41" s="23" t="s">
        <v>65</v>
      </c>
      <c r="E41" s="22" t="s">
        <v>1142</v>
      </c>
      <c r="F41" s="22" t="s">
        <v>1143</v>
      </c>
      <c r="G41" s="23" t="s">
        <v>1063</v>
      </c>
      <c r="H41" s="39">
        <v>51</v>
      </c>
      <c r="I41" s="40">
        <v>85</v>
      </c>
      <c r="J41" s="39">
        <v>227</v>
      </c>
      <c r="K41" s="40">
        <v>85</v>
      </c>
      <c r="L41" s="39">
        <v>227</v>
      </c>
      <c r="M41" s="22" t="s">
        <v>1064</v>
      </c>
      <c r="N41" s="22" t="s">
        <v>1144</v>
      </c>
      <c r="O41" s="24" t="s">
        <v>219</v>
      </c>
      <c r="Q41" s="22" t="s">
        <v>1652</v>
      </c>
      <c r="V41" s="22">
        <v>177</v>
      </c>
      <c r="W41" s="22">
        <v>21.5</v>
      </c>
      <c r="Y41" s="22">
        <v>95.3</v>
      </c>
      <c r="Z41" s="40">
        <f>AVERAGE(R41:Y41)</f>
        <v>97.933333333333337</v>
      </c>
      <c r="AA41" s="40">
        <v>85</v>
      </c>
      <c r="AB41" s="22" t="s">
        <v>1767</v>
      </c>
    </row>
    <row r="42" spans="1:28" ht="25.5" x14ac:dyDescent="0.2">
      <c r="A42" s="23" t="s">
        <v>1145</v>
      </c>
      <c r="B42" s="22" t="s">
        <v>221</v>
      </c>
      <c r="C42" s="22" t="s">
        <v>227</v>
      </c>
      <c r="D42" s="23" t="s">
        <v>65</v>
      </c>
      <c r="E42" s="22" t="s">
        <v>1146</v>
      </c>
      <c r="F42" s="22" t="s">
        <v>1143</v>
      </c>
      <c r="G42" s="23" t="s">
        <v>1063</v>
      </c>
      <c r="H42" s="39">
        <v>90</v>
      </c>
      <c r="I42" s="40">
        <v>120</v>
      </c>
      <c r="J42" s="39">
        <v>245</v>
      </c>
      <c r="K42" s="40">
        <v>120</v>
      </c>
      <c r="L42" s="39">
        <v>245</v>
      </c>
      <c r="M42" s="22" t="s">
        <v>1106</v>
      </c>
      <c r="N42" s="22" t="s">
        <v>1147</v>
      </c>
      <c r="O42" s="24" t="s">
        <v>226</v>
      </c>
    </row>
    <row r="43" spans="1:28" ht="63.75" x14ac:dyDescent="0.25">
      <c r="A43" s="23" t="s">
        <v>1635</v>
      </c>
      <c r="B43" s="22" t="s">
        <v>221</v>
      </c>
      <c r="C43" s="22" t="s">
        <v>222</v>
      </c>
      <c r="D43" s="23" t="s">
        <v>450</v>
      </c>
      <c r="E43" s="22" t="s">
        <v>1636</v>
      </c>
      <c r="F43" s="22" t="s">
        <v>1143</v>
      </c>
      <c r="G43" s="23" t="s">
        <v>1063</v>
      </c>
      <c r="H43" s="39">
        <v>30</v>
      </c>
      <c r="I43" s="40">
        <v>50</v>
      </c>
      <c r="J43" s="39">
        <v>135</v>
      </c>
      <c r="K43" s="40">
        <v>75</v>
      </c>
      <c r="L43" s="39">
        <v>200</v>
      </c>
      <c r="M43" s="22" t="s">
        <v>1621</v>
      </c>
      <c r="N43" s="22"/>
      <c r="O43" s="24" t="s">
        <v>1637</v>
      </c>
      <c r="P43"/>
      <c r="Q43" s="22" t="s">
        <v>1693</v>
      </c>
      <c r="S43" s="22">
        <v>38.4</v>
      </c>
      <c r="T43" s="22">
        <v>51</v>
      </c>
      <c r="Z43" s="40">
        <f>AVERAGE(R43:Y43)</f>
        <v>44.7</v>
      </c>
      <c r="AA43" s="40">
        <v>50</v>
      </c>
      <c r="AB43" s="22" t="s">
        <v>1768</v>
      </c>
    </row>
    <row r="44" spans="1:28" ht="25.5" x14ac:dyDescent="0.2">
      <c r="A44" s="21" t="s">
        <v>1647</v>
      </c>
      <c r="B44" s="22" t="s">
        <v>231</v>
      </c>
      <c r="C44" s="22"/>
      <c r="D44" s="23" t="s">
        <v>65</v>
      </c>
      <c r="E44" s="22" t="s">
        <v>1148</v>
      </c>
      <c r="F44" s="22" t="s">
        <v>1149</v>
      </c>
      <c r="G44" s="23" t="s">
        <v>1063</v>
      </c>
      <c r="H44" s="39">
        <v>48</v>
      </c>
      <c r="I44" s="40">
        <v>80</v>
      </c>
      <c r="J44" s="39">
        <v>224</v>
      </c>
      <c r="K44" s="40">
        <v>112</v>
      </c>
      <c r="L44" s="39">
        <v>224</v>
      </c>
      <c r="M44" s="22" t="s">
        <v>1064</v>
      </c>
      <c r="N44" s="22" t="s">
        <v>1150</v>
      </c>
      <c r="O44" s="24" t="s">
        <v>229</v>
      </c>
      <c r="Q44" s="22" t="s">
        <v>1653</v>
      </c>
      <c r="V44" s="22">
        <v>129</v>
      </c>
      <c r="W44" s="22">
        <v>21</v>
      </c>
      <c r="Y44" s="22">
        <v>109.6</v>
      </c>
      <c r="Z44" s="40">
        <f>AVERAGE(R44:Y44)</f>
        <v>86.533333333333346</v>
      </c>
      <c r="AA44" s="40">
        <v>80</v>
      </c>
      <c r="AB44" s="22" t="s">
        <v>1769</v>
      </c>
    </row>
    <row r="45" spans="1:28" ht="89.25" x14ac:dyDescent="0.25">
      <c r="A45" s="21" t="s">
        <v>1631</v>
      </c>
      <c r="B45" s="22" t="s">
        <v>231</v>
      </c>
      <c r="C45" s="22"/>
      <c r="D45" s="23" t="s">
        <v>450</v>
      </c>
      <c r="E45" s="22" t="s">
        <v>1632</v>
      </c>
      <c r="F45" s="22" t="s">
        <v>1633</v>
      </c>
      <c r="G45" s="23" t="s">
        <v>1063</v>
      </c>
      <c r="H45" s="39">
        <v>18</v>
      </c>
      <c r="I45" s="40">
        <v>30</v>
      </c>
      <c r="J45" s="39">
        <v>85</v>
      </c>
      <c r="K45" s="40">
        <v>70</v>
      </c>
      <c r="L45" s="39">
        <v>140</v>
      </c>
      <c r="M45" s="22" t="s">
        <v>1621</v>
      </c>
      <c r="N45" s="22"/>
      <c r="O45" s="24" t="s">
        <v>1634</v>
      </c>
      <c r="P45"/>
      <c r="Q45" s="22" t="s">
        <v>1694</v>
      </c>
      <c r="S45" s="22">
        <v>70.400000000000006</v>
      </c>
      <c r="T45" s="22">
        <v>30</v>
      </c>
      <c r="Z45" s="40">
        <f>AVERAGE(R45:Y45)</f>
        <v>50.2</v>
      </c>
      <c r="AA45" s="40">
        <v>30</v>
      </c>
      <c r="AB45" s="22" t="s">
        <v>1770</v>
      </c>
    </row>
    <row r="46" spans="1:28" x14ac:dyDescent="0.2">
      <c r="A46" s="25" t="s">
        <v>1151</v>
      </c>
      <c r="B46" s="26"/>
      <c r="C46" s="26"/>
      <c r="D46" s="25"/>
      <c r="E46" s="26"/>
      <c r="F46" s="26"/>
      <c r="G46" s="25"/>
      <c r="H46" s="41"/>
      <c r="I46" s="42"/>
      <c r="J46" s="41"/>
      <c r="K46" s="42"/>
      <c r="L46" s="41"/>
      <c r="M46" s="26"/>
      <c r="N46" s="26"/>
      <c r="O46" s="27"/>
    </row>
    <row r="47" spans="1:28" ht="38.25" x14ac:dyDescent="0.2">
      <c r="A47" s="48" t="s">
        <v>1152</v>
      </c>
      <c r="B47" s="49" t="s">
        <v>238</v>
      </c>
      <c r="C47" s="49" t="s">
        <v>64</v>
      </c>
      <c r="D47" s="48" t="s">
        <v>65</v>
      </c>
      <c r="E47" s="49" t="s">
        <v>1153</v>
      </c>
      <c r="F47" s="49" t="s">
        <v>1154</v>
      </c>
      <c r="G47" s="48" t="s">
        <v>1155</v>
      </c>
      <c r="H47" s="50">
        <v>1800</v>
      </c>
      <c r="I47" s="51">
        <v>3950</v>
      </c>
      <c r="J47" s="50">
        <v>6400</v>
      </c>
      <c r="K47" s="51">
        <v>3950</v>
      </c>
      <c r="L47" s="50">
        <v>6400</v>
      </c>
      <c r="M47" s="49" t="s">
        <v>1106</v>
      </c>
      <c r="N47" s="49" t="s">
        <v>1156</v>
      </c>
      <c r="O47" s="52" t="s">
        <v>234</v>
      </c>
      <c r="P47" s="54"/>
      <c r="V47" s="22">
        <v>7653</v>
      </c>
      <c r="Y47" s="22">
        <v>14573</v>
      </c>
      <c r="Z47" s="40">
        <f>AVERAGE(R47:Y47)</f>
        <v>11113</v>
      </c>
      <c r="AA47" s="40">
        <v>7000</v>
      </c>
      <c r="AB47" s="22" t="s">
        <v>1771</v>
      </c>
    </row>
    <row r="48" spans="1:28" ht="38.25" x14ac:dyDescent="0.2">
      <c r="A48" s="48" t="s">
        <v>1157</v>
      </c>
      <c r="B48" s="49" t="s">
        <v>238</v>
      </c>
      <c r="C48" s="49" t="s">
        <v>248</v>
      </c>
      <c r="D48" s="48" t="s">
        <v>65</v>
      </c>
      <c r="E48" s="49" t="s">
        <v>1159</v>
      </c>
      <c r="F48" s="49" t="s">
        <v>1154</v>
      </c>
      <c r="G48" s="48" t="s">
        <v>1155</v>
      </c>
      <c r="H48" s="50">
        <v>3500</v>
      </c>
      <c r="I48" s="51">
        <v>5500</v>
      </c>
      <c r="J48" s="50">
        <v>9000</v>
      </c>
      <c r="K48" s="51">
        <v>5500</v>
      </c>
      <c r="L48" s="50">
        <v>9000</v>
      </c>
      <c r="M48" s="49" t="s">
        <v>1106</v>
      </c>
      <c r="N48" s="49"/>
      <c r="O48" s="52" t="s">
        <v>247</v>
      </c>
      <c r="Y48" s="22">
        <v>16025</v>
      </c>
      <c r="Z48" s="40">
        <f>AVERAGE(R48:Y48)</f>
        <v>16025</v>
      </c>
      <c r="AA48" s="40">
        <v>9000</v>
      </c>
      <c r="AB48" s="22" t="s">
        <v>1771</v>
      </c>
    </row>
    <row r="49" spans="1:28" ht="51" x14ac:dyDescent="0.2">
      <c r="A49" s="43" t="s">
        <v>1158</v>
      </c>
      <c r="B49" s="44" t="s">
        <v>238</v>
      </c>
      <c r="C49" s="44" t="s">
        <v>1160</v>
      </c>
      <c r="D49" s="43" t="s">
        <v>65</v>
      </c>
      <c r="E49" s="44" t="s">
        <v>1161</v>
      </c>
      <c r="F49" s="44" t="s">
        <v>1154</v>
      </c>
      <c r="G49" s="43" t="s">
        <v>240</v>
      </c>
      <c r="H49" s="45"/>
      <c r="I49" s="46">
        <v>45000</v>
      </c>
      <c r="J49" s="45">
        <v>80000</v>
      </c>
      <c r="K49" s="46">
        <v>45000</v>
      </c>
      <c r="L49" s="45">
        <v>80000</v>
      </c>
      <c r="M49" s="44" t="s">
        <v>1064</v>
      </c>
      <c r="N49" s="44"/>
      <c r="O49" s="47" t="s">
        <v>251</v>
      </c>
    </row>
    <row r="50" spans="1:28" ht="102" x14ac:dyDescent="0.2">
      <c r="A50" s="48" t="s">
        <v>1163</v>
      </c>
      <c r="B50" s="49" t="s">
        <v>255</v>
      </c>
      <c r="C50" s="49" t="s">
        <v>64</v>
      </c>
      <c r="D50" s="48" t="s">
        <v>65</v>
      </c>
      <c r="E50" s="49" t="s">
        <v>1164</v>
      </c>
      <c r="F50" s="49" t="s">
        <v>1165</v>
      </c>
      <c r="G50" s="48" t="s">
        <v>1166</v>
      </c>
      <c r="H50" s="50">
        <v>1150</v>
      </c>
      <c r="I50" s="51">
        <v>2500</v>
      </c>
      <c r="J50" s="50">
        <v>4400</v>
      </c>
      <c r="K50" s="51">
        <v>2000</v>
      </c>
      <c r="L50" s="50">
        <v>3500</v>
      </c>
      <c r="M50" s="49" t="s">
        <v>1621</v>
      </c>
      <c r="N50" s="49" t="s">
        <v>1168</v>
      </c>
      <c r="O50" s="52" t="s">
        <v>253</v>
      </c>
      <c r="Q50" s="22" t="s">
        <v>1695</v>
      </c>
      <c r="S50" s="22">
        <v>3869</v>
      </c>
      <c r="T50" s="22">
        <v>2563</v>
      </c>
      <c r="Z50" s="40">
        <f>AVERAGE(R50:Y50)</f>
        <v>3216</v>
      </c>
      <c r="AA50" s="40">
        <v>2500</v>
      </c>
      <c r="AB50" s="22" t="s">
        <v>1772</v>
      </c>
    </row>
    <row r="51" spans="1:28" ht="25.5" x14ac:dyDescent="0.2">
      <c r="A51" s="48" t="s">
        <v>1169</v>
      </c>
      <c r="B51" s="49" t="s">
        <v>255</v>
      </c>
      <c r="C51" s="49" t="s">
        <v>64</v>
      </c>
      <c r="D51" s="48" t="s">
        <v>245</v>
      </c>
      <c r="E51" s="49" t="s">
        <v>1170</v>
      </c>
      <c r="F51" s="49" t="s">
        <v>1165</v>
      </c>
      <c r="G51" s="48" t="s">
        <v>1166</v>
      </c>
      <c r="H51" s="50">
        <v>3500</v>
      </c>
      <c r="I51" s="51">
        <v>5500</v>
      </c>
      <c r="J51" s="50">
        <v>8500</v>
      </c>
      <c r="K51" s="51">
        <v>5500</v>
      </c>
      <c r="L51" s="50">
        <v>8500</v>
      </c>
      <c r="M51" s="49" t="s">
        <v>1167</v>
      </c>
      <c r="N51" s="49" t="s">
        <v>1171</v>
      </c>
      <c r="O51" s="52" t="s">
        <v>259</v>
      </c>
    </row>
    <row r="52" spans="1:28" ht="25.5" x14ac:dyDescent="0.2">
      <c r="A52" s="53" t="s">
        <v>323</v>
      </c>
      <c r="B52" s="49" t="s">
        <v>263</v>
      </c>
      <c r="C52" s="49"/>
      <c r="D52" s="48" t="s">
        <v>65</v>
      </c>
      <c r="E52" s="49" t="s">
        <v>1172</v>
      </c>
      <c r="F52" s="49" t="s">
        <v>1173</v>
      </c>
      <c r="G52" s="48" t="s">
        <v>1174</v>
      </c>
      <c r="H52" s="50">
        <v>900</v>
      </c>
      <c r="I52" s="51">
        <v>1400</v>
      </c>
      <c r="J52" s="50">
        <v>2500</v>
      </c>
      <c r="K52" s="51">
        <v>1400</v>
      </c>
      <c r="L52" s="50">
        <v>2500</v>
      </c>
      <c r="M52" s="49" t="s">
        <v>1086</v>
      </c>
      <c r="N52" s="49" t="s">
        <v>1175</v>
      </c>
      <c r="O52" s="52" t="s">
        <v>261</v>
      </c>
    </row>
    <row r="53" spans="1:28" ht="38.25" x14ac:dyDescent="0.2">
      <c r="A53" s="48" t="s">
        <v>1176</v>
      </c>
      <c r="B53" s="49" t="s">
        <v>268</v>
      </c>
      <c r="C53" s="49" t="s">
        <v>1177</v>
      </c>
      <c r="D53" s="48" t="s">
        <v>65</v>
      </c>
      <c r="E53" s="49" t="s">
        <v>1178</v>
      </c>
      <c r="F53" s="49" t="s">
        <v>1179</v>
      </c>
      <c r="G53" s="48" t="s">
        <v>1180</v>
      </c>
      <c r="H53" s="50">
        <v>3100</v>
      </c>
      <c r="I53" s="51">
        <v>5300</v>
      </c>
      <c r="J53" s="50">
        <v>8850</v>
      </c>
      <c r="K53" s="51">
        <v>6000</v>
      </c>
      <c r="L53" s="50">
        <v>10000</v>
      </c>
      <c r="M53" s="49" t="s">
        <v>1621</v>
      </c>
      <c r="N53" s="49" t="s">
        <v>1181</v>
      </c>
      <c r="O53" s="52" t="s">
        <v>266</v>
      </c>
      <c r="Q53" s="49" t="s">
        <v>1644</v>
      </c>
      <c r="T53" s="22">
        <v>5296</v>
      </c>
      <c r="Z53" s="40">
        <f>AVERAGE(R53:Y53)</f>
        <v>5296</v>
      </c>
      <c r="AA53" s="40">
        <v>5300</v>
      </c>
      <c r="AB53" s="22" t="s">
        <v>1773</v>
      </c>
    </row>
    <row r="54" spans="1:28" ht="38.25" x14ac:dyDescent="0.2">
      <c r="A54" s="48" t="s">
        <v>1182</v>
      </c>
      <c r="B54" s="49" t="s">
        <v>268</v>
      </c>
      <c r="C54" s="49" t="s">
        <v>1609</v>
      </c>
      <c r="D54" s="48" t="s">
        <v>65</v>
      </c>
      <c r="E54" s="49" t="s">
        <v>1610</v>
      </c>
      <c r="F54" s="49" t="s">
        <v>1179</v>
      </c>
      <c r="G54" s="48" t="s">
        <v>1611</v>
      </c>
      <c r="H54" s="50">
        <v>3750</v>
      </c>
      <c r="I54" s="51">
        <v>6000</v>
      </c>
      <c r="J54" s="50">
        <v>10500</v>
      </c>
      <c r="K54" s="51">
        <v>6000</v>
      </c>
      <c r="L54" s="50">
        <v>10500</v>
      </c>
      <c r="M54" s="49" t="s">
        <v>1064</v>
      </c>
      <c r="N54" s="49" t="s">
        <v>1183</v>
      </c>
      <c r="O54" s="52" t="s">
        <v>273</v>
      </c>
      <c r="Y54" s="22">
        <v>10276</v>
      </c>
      <c r="Z54" s="40">
        <f>AVERAGE(R54:Y54)</f>
        <v>10276</v>
      </c>
      <c r="AA54" s="40">
        <v>6000</v>
      </c>
      <c r="AB54" s="22" t="s">
        <v>1774</v>
      </c>
    </row>
    <row r="55" spans="1:28" ht="63.75" x14ac:dyDescent="0.2">
      <c r="A55" s="21" t="s">
        <v>286</v>
      </c>
      <c r="B55" s="22" t="s">
        <v>278</v>
      </c>
      <c r="C55" s="22"/>
      <c r="D55" s="23" t="s">
        <v>65</v>
      </c>
      <c r="E55" s="22" t="s">
        <v>1184</v>
      </c>
      <c r="F55" s="22" t="s">
        <v>1185</v>
      </c>
      <c r="G55" s="23" t="s">
        <v>1063</v>
      </c>
      <c r="H55" s="39">
        <v>15</v>
      </c>
      <c r="I55" s="40">
        <v>45</v>
      </c>
      <c r="J55" s="39">
        <v>100</v>
      </c>
      <c r="K55" s="40">
        <v>45</v>
      </c>
      <c r="L55" s="39">
        <v>100</v>
      </c>
      <c r="M55" s="22" t="s">
        <v>1167</v>
      </c>
      <c r="N55" s="22" t="s">
        <v>1186</v>
      </c>
      <c r="O55" s="24" t="s">
        <v>275</v>
      </c>
      <c r="Q55" s="22" t="s">
        <v>1696</v>
      </c>
      <c r="S55" s="22">
        <v>63.7</v>
      </c>
      <c r="W55" s="22">
        <v>7</v>
      </c>
      <c r="Y55" s="22">
        <v>41.8</v>
      </c>
      <c r="Z55" s="40">
        <f>AVERAGE(R55:Y55)</f>
        <v>37.5</v>
      </c>
      <c r="AA55" s="40">
        <v>45</v>
      </c>
      <c r="AB55" s="22" t="s">
        <v>1775</v>
      </c>
    </row>
    <row r="56" spans="1:28" ht="25.5" x14ac:dyDescent="0.2">
      <c r="A56" s="21" t="s">
        <v>1187</v>
      </c>
      <c r="B56" s="22" t="s">
        <v>283</v>
      </c>
      <c r="C56" s="22"/>
      <c r="D56" s="23" t="s">
        <v>65</v>
      </c>
      <c r="E56" s="22" t="s">
        <v>1188</v>
      </c>
      <c r="F56" s="22" t="s">
        <v>1189</v>
      </c>
      <c r="G56" s="23" t="s">
        <v>1063</v>
      </c>
      <c r="H56" s="39">
        <v>6</v>
      </c>
      <c r="I56" s="40">
        <v>12</v>
      </c>
      <c r="J56" s="39">
        <v>18</v>
      </c>
      <c r="K56" s="40">
        <v>12</v>
      </c>
      <c r="L56" s="39">
        <v>18</v>
      </c>
      <c r="M56" s="22" t="s">
        <v>1064</v>
      </c>
      <c r="N56" s="22" t="s">
        <v>1190</v>
      </c>
      <c r="O56" s="24" t="s">
        <v>281</v>
      </c>
      <c r="W56" s="22">
        <v>16.399999999999999</v>
      </c>
      <c r="Y56" s="22">
        <v>12.2</v>
      </c>
      <c r="Z56" s="40">
        <f>AVERAGE(R56:Y56)</f>
        <v>14.299999999999999</v>
      </c>
      <c r="AA56" s="40">
        <v>12</v>
      </c>
      <c r="AB56" s="22" t="s">
        <v>1776</v>
      </c>
    </row>
    <row r="57" spans="1:28" ht="25.5" x14ac:dyDescent="0.2">
      <c r="A57" s="21" t="s">
        <v>1191</v>
      </c>
      <c r="B57" s="22" t="s">
        <v>289</v>
      </c>
      <c r="C57" s="22"/>
      <c r="D57" s="23" t="s">
        <v>65</v>
      </c>
      <c r="E57" s="22" t="s">
        <v>1192</v>
      </c>
      <c r="F57" s="22" t="s">
        <v>1193</v>
      </c>
      <c r="G57" s="23" t="s">
        <v>1063</v>
      </c>
      <c r="H57" s="39" t="s">
        <v>1607</v>
      </c>
      <c r="I57" s="40">
        <v>25</v>
      </c>
      <c r="J57" s="39">
        <v>60</v>
      </c>
      <c r="K57" s="40">
        <v>25</v>
      </c>
      <c r="L57" s="39">
        <v>60</v>
      </c>
      <c r="M57" s="22" t="s">
        <v>1167</v>
      </c>
      <c r="N57" s="22"/>
      <c r="O57" s="24" t="s">
        <v>287</v>
      </c>
    </row>
    <row r="58" spans="1:28" ht="25.5" x14ac:dyDescent="0.2">
      <c r="A58" s="23" t="s">
        <v>1194</v>
      </c>
      <c r="B58" s="22" t="s">
        <v>296</v>
      </c>
      <c r="C58" s="22" t="s">
        <v>64</v>
      </c>
      <c r="D58" s="23" t="s">
        <v>65</v>
      </c>
      <c r="E58" s="22" t="s">
        <v>1195</v>
      </c>
      <c r="F58" s="22" t="s">
        <v>1196</v>
      </c>
      <c r="G58" s="23" t="s">
        <v>1063</v>
      </c>
      <c r="H58" s="39">
        <v>55</v>
      </c>
      <c r="I58" s="40">
        <v>110</v>
      </c>
      <c r="J58" s="39">
        <v>240</v>
      </c>
      <c r="K58" s="40">
        <v>110</v>
      </c>
      <c r="L58" s="39">
        <v>240</v>
      </c>
      <c r="M58" s="22" t="s">
        <v>1167</v>
      </c>
      <c r="N58" s="22" t="s">
        <v>1197</v>
      </c>
      <c r="O58" s="24" t="s">
        <v>294</v>
      </c>
    </row>
    <row r="59" spans="1:28" ht="25.5" x14ac:dyDescent="0.2">
      <c r="A59" s="23" t="s">
        <v>1198</v>
      </c>
      <c r="B59" s="22" t="s">
        <v>296</v>
      </c>
      <c r="C59" s="22" t="s">
        <v>64</v>
      </c>
      <c r="D59" s="23" t="s">
        <v>299</v>
      </c>
      <c r="E59" s="22" t="s">
        <v>1199</v>
      </c>
      <c r="F59" s="22" t="s">
        <v>1196</v>
      </c>
      <c r="G59" s="23" t="s">
        <v>1063</v>
      </c>
      <c r="H59" s="39">
        <v>28</v>
      </c>
      <c r="I59" s="40">
        <v>50</v>
      </c>
      <c r="J59" s="39">
        <v>120</v>
      </c>
      <c r="K59" s="40">
        <v>50</v>
      </c>
      <c r="L59" s="39">
        <v>120</v>
      </c>
      <c r="M59" s="22" t="s">
        <v>1167</v>
      </c>
      <c r="N59" s="22"/>
      <c r="O59" s="24" t="s">
        <v>298</v>
      </c>
    </row>
    <row r="60" spans="1:28" ht="25.5" x14ac:dyDescent="0.2">
      <c r="A60" s="23" t="s">
        <v>1200</v>
      </c>
      <c r="B60" s="22" t="s">
        <v>296</v>
      </c>
      <c r="C60" s="22" t="s">
        <v>64</v>
      </c>
      <c r="D60" s="23" t="s">
        <v>302</v>
      </c>
      <c r="E60" s="22" t="s">
        <v>1201</v>
      </c>
      <c r="F60" s="22" t="s">
        <v>1196</v>
      </c>
      <c r="G60" s="23" t="s">
        <v>1063</v>
      </c>
      <c r="H60" s="39">
        <v>48</v>
      </c>
      <c r="I60" s="40">
        <v>88</v>
      </c>
      <c r="J60" s="39">
        <v>180</v>
      </c>
      <c r="K60" s="40">
        <v>88</v>
      </c>
      <c r="L60" s="39">
        <v>180</v>
      </c>
      <c r="M60" s="22" t="s">
        <v>1167</v>
      </c>
      <c r="N60" s="22"/>
      <c r="O60" s="24" t="s">
        <v>301</v>
      </c>
    </row>
    <row r="61" spans="1:28" ht="25.5" x14ac:dyDescent="0.2">
      <c r="A61" s="23" t="s">
        <v>1202</v>
      </c>
      <c r="B61" s="22" t="s">
        <v>296</v>
      </c>
      <c r="C61" s="22" t="s">
        <v>64</v>
      </c>
      <c r="D61" s="23" t="s">
        <v>245</v>
      </c>
      <c r="E61" s="22" t="s">
        <v>1203</v>
      </c>
      <c r="F61" s="22" t="s">
        <v>1196</v>
      </c>
      <c r="G61" s="23" t="s">
        <v>1063</v>
      </c>
      <c r="H61" s="39">
        <v>62</v>
      </c>
      <c r="I61" s="40">
        <v>138</v>
      </c>
      <c r="J61" s="39">
        <v>350</v>
      </c>
      <c r="K61" s="40">
        <v>138</v>
      </c>
      <c r="L61" s="39">
        <v>350</v>
      </c>
      <c r="M61" s="22" t="s">
        <v>1167</v>
      </c>
      <c r="N61" s="22"/>
      <c r="O61" s="24" t="s">
        <v>304</v>
      </c>
    </row>
    <row r="62" spans="1:28" ht="38.25" x14ac:dyDescent="0.2">
      <c r="A62" s="21" t="s">
        <v>1204</v>
      </c>
      <c r="B62" s="22" t="s">
        <v>309</v>
      </c>
      <c r="C62" s="22"/>
      <c r="D62" s="23" t="s">
        <v>65</v>
      </c>
      <c r="E62" s="22" t="s">
        <v>1205</v>
      </c>
      <c r="F62" s="22" t="s">
        <v>1206</v>
      </c>
      <c r="G62" s="23" t="s">
        <v>1207</v>
      </c>
      <c r="H62" s="39">
        <v>541</v>
      </c>
      <c r="I62" s="40">
        <v>1000</v>
      </c>
      <c r="J62" s="39">
        <v>2100</v>
      </c>
      <c r="K62" s="40">
        <v>1000</v>
      </c>
      <c r="L62" s="39">
        <v>2100</v>
      </c>
      <c r="M62" s="22" t="s">
        <v>1064</v>
      </c>
      <c r="N62" s="22"/>
      <c r="O62" s="24" t="s">
        <v>306</v>
      </c>
      <c r="X62" s="22">
        <v>1438</v>
      </c>
      <c r="Z62" s="40">
        <f>AVERAGE(R62:Y62)</f>
        <v>1438</v>
      </c>
      <c r="AA62" s="40">
        <v>1000</v>
      </c>
      <c r="AB62" s="22" t="s">
        <v>1777</v>
      </c>
    </row>
    <row r="63" spans="1:28" ht="25.5" x14ac:dyDescent="0.2">
      <c r="A63" s="21" t="s">
        <v>1208</v>
      </c>
      <c r="B63" s="22" t="s">
        <v>318</v>
      </c>
      <c r="C63" s="22"/>
      <c r="D63" s="23" t="s">
        <v>65</v>
      </c>
      <c r="E63" s="22" t="s">
        <v>1209</v>
      </c>
      <c r="F63" s="22" t="s">
        <v>1210</v>
      </c>
      <c r="G63" s="23" t="s">
        <v>319</v>
      </c>
      <c r="H63" s="39"/>
      <c r="I63" s="40">
        <v>310</v>
      </c>
      <c r="J63" s="39">
        <v>600</v>
      </c>
      <c r="K63" s="40">
        <v>310</v>
      </c>
      <c r="L63" s="39">
        <v>600</v>
      </c>
      <c r="M63" s="22" t="s">
        <v>1167</v>
      </c>
      <c r="N63" s="22"/>
      <c r="O63" s="24" t="s">
        <v>316</v>
      </c>
    </row>
    <row r="64" spans="1:28" ht="25.5" x14ac:dyDescent="0.2">
      <c r="A64" s="21" t="s">
        <v>1211</v>
      </c>
      <c r="B64" s="22" t="s">
        <v>327</v>
      </c>
      <c r="C64" s="22"/>
      <c r="D64" s="23" t="s">
        <v>65</v>
      </c>
      <c r="E64" s="22" t="s">
        <v>1212</v>
      </c>
      <c r="F64" s="22" t="s">
        <v>1213</v>
      </c>
      <c r="G64" s="23" t="s">
        <v>328</v>
      </c>
      <c r="H64" s="39"/>
      <c r="I64" s="40">
        <v>65</v>
      </c>
      <c r="J64" s="39">
        <v>130</v>
      </c>
      <c r="K64" s="40">
        <v>65</v>
      </c>
      <c r="L64" s="39">
        <v>130</v>
      </c>
      <c r="M64" s="22" t="s">
        <v>1167</v>
      </c>
      <c r="N64" s="22"/>
      <c r="O64" s="24" t="s">
        <v>325</v>
      </c>
    </row>
    <row r="65" spans="1:28" ht="25.5" x14ac:dyDescent="0.2">
      <c r="A65" s="21" t="s">
        <v>1214</v>
      </c>
      <c r="B65" s="22" t="s">
        <v>334</v>
      </c>
      <c r="C65" s="22"/>
      <c r="D65" s="23" t="s">
        <v>65</v>
      </c>
      <c r="E65" s="22" t="s">
        <v>1215</v>
      </c>
      <c r="F65" s="22" t="s">
        <v>1216</v>
      </c>
      <c r="G65" s="23" t="s">
        <v>335</v>
      </c>
      <c r="H65" s="39"/>
      <c r="I65" s="40">
        <v>163</v>
      </c>
      <c r="J65" s="39">
        <v>305</v>
      </c>
      <c r="K65" s="40">
        <v>163</v>
      </c>
      <c r="L65" s="39">
        <v>305</v>
      </c>
      <c r="M65" s="22" t="s">
        <v>1167</v>
      </c>
      <c r="N65" s="22"/>
      <c r="O65" s="24" t="s">
        <v>332</v>
      </c>
    </row>
    <row r="66" spans="1:28" ht="25.5" x14ac:dyDescent="0.2">
      <c r="A66" s="21" t="s">
        <v>1217</v>
      </c>
      <c r="B66" s="22" t="s">
        <v>342</v>
      </c>
      <c r="C66" s="22"/>
      <c r="D66" s="23" t="s">
        <v>65</v>
      </c>
      <c r="E66" s="22" t="s">
        <v>1218</v>
      </c>
      <c r="F66" s="22" t="s">
        <v>1219</v>
      </c>
      <c r="G66" s="23" t="s">
        <v>1220</v>
      </c>
      <c r="H66" s="39">
        <v>22</v>
      </c>
      <c r="I66" s="40">
        <v>24</v>
      </c>
      <c r="J66" s="39">
        <v>51</v>
      </c>
      <c r="K66" s="40">
        <v>24</v>
      </c>
      <c r="L66" s="39">
        <v>51</v>
      </c>
      <c r="M66" s="22" t="s">
        <v>1167</v>
      </c>
      <c r="N66" s="22"/>
      <c r="O66" s="24" t="s">
        <v>340</v>
      </c>
    </row>
    <row r="67" spans="1:28" ht="25.5" x14ac:dyDescent="0.2">
      <c r="A67" s="21" t="s">
        <v>1221</v>
      </c>
      <c r="B67" s="22" t="s">
        <v>349</v>
      </c>
      <c r="C67" s="22"/>
      <c r="D67" s="23" t="s">
        <v>65</v>
      </c>
      <c r="E67" s="22" t="s">
        <v>1222</v>
      </c>
      <c r="F67" s="22" t="s">
        <v>1223</v>
      </c>
      <c r="G67" s="23" t="s">
        <v>350</v>
      </c>
      <c r="H67" s="39"/>
      <c r="I67" s="40">
        <v>152</v>
      </c>
      <c r="J67" s="39">
        <v>352</v>
      </c>
      <c r="K67" s="40">
        <v>152</v>
      </c>
      <c r="L67" s="39">
        <v>352</v>
      </c>
      <c r="M67" s="22" t="s">
        <v>1167</v>
      </c>
      <c r="N67" s="22"/>
      <c r="O67" s="24" t="s">
        <v>347</v>
      </c>
    </row>
    <row r="68" spans="1:28" ht="25.5" x14ac:dyDescent="0.2">
      <c r="A68" s="21" t="s">
        <v>1224</v>
      </c>
      <c r="B68" s="22" t="s">
        <v>356</v>
      </c>
      <c r="C68" s="22"/>
      <c r="D68" s="23" t="s">
        <v>65</v>
      </c>
      <c r="E68" s="22" t="s">
        <v>1225</v>
      </c>
      <c r="F68" s="22" t="s">
        <v>1226</v>
      </c>
      <c r="G68" s="23" t="s">
        <v>357</v>
      </c>
      <c r="H68" s="39"/>
      <c r="I68" s="40">
        <v>380</v>
      </c>
      <c r="J68" s="39">
        <v>860</v>
      </c>
      <c r="K68" s="40">
        <v>380</v>
      </c>
      <c r="L68" s="39">
        <v>860</v>
      </c>
      <c r="M68" s="22" t="s">
        <v>1167</v>
      </c>
      <c r="N68" s="22"/>
      <c r="O68" s="24" t="s">
        <v>354</v>
      </c>
    </row>
    <row r="69" spans="1:28" x14ac:dyDescent="0.2">
      <c r="A69" s="25" t="s">
        <v>1227</v>
      </c>
      <c r="B69" s="26"/>
      <c r="C69" s="26"/>
      <c r="D69" s="25"/>
      <c r="E69" s="26"/>
      <c r="F69" s="26"/>
      <c r="G69" s="25"/>
      <c r="H69" s="41"/>
      <c r="I69" s="42"/>
      <c r="J69" s="41"/>
      <c r="K69" s="42"/>
      <c r="L69" s="41"/>
      <c r="M69" s="26"/>
      <c r="N69" s="26"/>
      <c r="O69" s="27"/>
    </row>
    <row r="70" spans="1:28" ht="25.5" x14ac:dyDescent="0.2">
      <c r="A70" s="55" t="s">
        <v>1228</v>
      </c>
      <c r="B70" s="56" t="s">
        <v>365</v>
      </c>
      <c r="C70" s="56" t="s">
        <v>1229</v>
      </c>
      <c r="D70" s="55" t="s">
        <v>65</v>
      </c>
      <c r="E70" s="56" t="s">
        <v>1230</v>
      </c>
      <c r="F70" s="56" t="s">
        <v>1231</v>
      </c>
      <c r="G70" s="55" t="s">
        <v>1063</v>
      </c>
      <c r="H70" s="57">
        <v>30</v>
      </c>
      <c r="I70" s="58">
        <v>60</v>
      </c>
      <c r="J70" s="57">
        <v>135</v>
      </c>
      <c r="K70" s="58">
        <v>60</v>
      </c>
      <c r="L70" s="57">
        <v>105</v>
      </c>
      <c r="M70" s="56" t="s">
        <v>1167</v>
      </c>
      <c r="N70" s="56" t="s">
        <v>1232</v>
      </c>
      <c r="O70" s="59" t="s">
        <v>361</v>
      </c>
    </row>
    <row r="71" spans="1:28" ht="127.5" x14ac:dyDescent="0.2">
      <c r="A71" s="55" t="s">
        <v>1015</v>
      </c>
      <c r="B71" s="56" t="s">
        <v>365</v>
      </c>
      <c r="C71" s="56" t="s">
        <v>1233</v>
      </c>
      <c r="D71" s="55" t="s">
        <v>65</v>
      </c>
      <c r="E71" s="56" t="s">
        <v>1234</v>
      </c>
      <c r="F71" s="56" t="s">
        <v>1231</v>
      </c>
      <c r="G71" s="55" t="s">
        <v>1063</v>
      </c>
      <c r="H71" s="57">
        <v>95</v>
      </c>
      <c r="I71" s="58">
        <v>190</v>
      </c>
      <c r="J71" s="57">
        <v>427</v>
      </c>
      <c r="K71" s="58">
        <v>190</v>
      </c>
      <c r="L71" s="57">
        <v>332</v>
      </c>
      <c r="M71" s="56" t="s">
        <v>1064</v>
      </c>
      <c r="N71" s="56"/>
      <c r="O71" s="59" t="s">
        <v>370</v>
      </c>
      <c r="Q71" s="22" t="s">
        <v>1680</v>
      </c>
      <c r="U71" s="22">
        <v>224</v>
      </c>
      <c r="Z71" s="40">
        <f>AVERAGE(R71:Y71)</f>
        <v>224</v>
      </c>
      <c r="AA71" s="40">
        <v>190</v>
      </c>
      <c r="AB71" s="22" t="s">
        <v>1778</v>
      </c>
    </row>
    <row r="72" spans="1:28" ht="25.5" x14ac:dyDescent="0.2">
      <c r="A72" s="55" t="s">
        <v>1235</v>
      </c>
      <c r="B72" s="56" t="s">
        <v>365</v>
      </c>
      <c r="C72" s="56" t="s">
        <v>1236</v>
      </c>
      <c r="D72" s="55" t="s">
        <v>65</v>
      </c>
      <c r="E72" s="56" t="s">
        <v>1237</v>
      </c>
      <c r="F72" s="56" t="s">
        <v>1231</v>
      </c>
      <c r="G72" s="55" t="s">
        <v>1063</v>
      </c>
      <c r="H72" s="57">
        <f>H70*1.8</f>
        <v>54</v>
      </c>
      <c r="I72" s="58">
        <f>I70*1.8</f>
        <v>108</v>
      </c>
      <c r="J72" s="57">
        <f>J70*1.8</f>
        <v>243</v>
      </c>
      <c r="K72" s="58">
        <f>K70*1.8</f>
        <v>108</v>
      </c>
      <c r="L72" s="57">
        <f>L70*1.8</f>
        <v>189</v>
      </c>
      <c r="M72" s="56" t="s">
        <v>1238</v>
      </c>
      <c r="N72" s="56"/>
      <c r="O72" s="59" t="s">
        <v>374</v>
      </c>
    </row>
    <row r="73" spans="1:28" ht="25.5" x14ac:dyDescent="0.2">
      <c r="A73" s="55" t="s">
        <v>1239</v>
      </c>
      <c r="B73" s="56" t="s">
        <v>365</v>
      </c>
      <c r="C73" s="56" t="s">
        <v>1240</v>
      </c>
      <c r="D73" s="55" t="s">
        <v>65</v>
      </c>
      <c r="E73" s="56" t="s">
        <v>1241</v>
      </c>
      <c r="F73" s="56" t="s">
        <v>1231</v>
      </c>
      <c r="G73" s="55" t="s">
        <v>1063</v>
      </c>
      <c r="H73" s="57">
        <v>60</v>
      </c>
      <c r="I73" s="58">
        <v>120</v>
      </c>
      <c r="J73" s="57">
        <v>270</v>
      </c>
      <c r="K73" s="58">
        <v>120</v>
      </c>
      <c r="L73" s="57">
        <v>210</v>
      </c>
      <c r="M73" s="56" t="s">
        <v>1064</v>
      </c>
      <c r="N73" s="56"/>
      <c r="O73" s="59" t="s">
        <v>377</v>
      </c>
      <c r="Y73" s="22">
        <v>134.69999999999999</v>
      </c>
      <c r="Z73" s="40">
        <f>AVERAGE(R73:Y73)</f>
        <v>134.69999999999999</v>
      </c>
      <c r="AA73" s="40">
        <v>120</v>
      </c>
      <c r="AB73" s="22" t="s">
        <v>1779</v>
      </c>
    </row>
    <row r="74" spans="1:28" ht="25.5" x14ac:dyDescent="0.2">
      <c r="A74" s="55" t="s">
        <v>1242</v>
      </c>
      <c r="B74" s="56" t="s">
        <v>365</v>
      </c>
      <c r="C74" s="56" t="s">
        <v>1243</v>
      </c>
      <c r="D74" s="55" t="s">
        <v>65</v>
      </c>
      <c r="E74" s="56" t="s">
        <v>1244</v>
      </c>
      <c r="F74" s="56" t="s">
        <v>1231</v>
      </c>
      <c r="G74" s="55" t="s">
        <v>1063</v>
      </c>
      <c r="H74" s="57">
        <f>H70*0.6</f>
        <v>18</v>
      </c>
      <c r="I74" s="58">
        <f>I70*0.6</f>
        <v>36</v>
      </c>
      <c r="J74" s="57">
        <f>J70*0.6</f>
        <v>81</v>
      </c>
      <c r="K74" s="58">
        <f>K70*0.6</f>
        <v>36</v>
      </c>
      <c r="L74" s="57">
        <f>L70*0.6</f>
        <v>63</v>
      </c>
      <c r="M74" s="56" t="s">
        <v>1245</v>
      </c>
      <c r="N74" s="56"/>
      <c r="O74" s="59" t="s">
        <v>380</v>
      </c>
    </row>
    <row r="75" spans="1:28" ht="25.5" x14ac:dyDescent="0.2">
      <c r="A75" s="55" t="s">
        <v>1246</v>
      </c>
      <c r="B75" s="56" t="s">
        <v>365</v>
      </c>
      <c r="C75" s="56" t="s">
        <v>1247</v>
      </c>
      <c r="D75" s="55" t="s">
        <v>65</v>
      </c>
      <c r="E75" s="56" t="s">
        <v>1248</v>
      </c>
      <c r="F75" s="56" t="s">
        <v>1231</v>
      </c>
      <c r="G75" s="55" t="s">
        <v>1063</v>
      </c>
      <c r="H75" s="57">
        <f>H70*0.35</f>
        <v>10.5</v>
      </c>
      <c r="I75" s="58">
        <f>I70*0.35</f>
        <v>21</v>
      </c>
      <c r="J75" s="57">
        <f>J70*0.35</f>
        <v>47.25</v>
      </c>
      <c r="K75" s="58">
        <f>K70*0.35</f>
        <v>21</v>
      </c>
      <c r="L75" s="57">
        <f>L70*0.35</f>
        <v>36.75</v>
      </c>
      <c r="M75" s="56" t="s">
        <v>1249</v>
      </c>
      <c r="N75" s="56"/>
      <c r="O75" s="59" t="s">
        <v>383</v>
      </c>
    </row>
    <row r="76" spans="1:28" ht="25.5" x14ac:dyDescent="0.2">
      <c r="A76" s="55" t="s">
        <v>1250</v>
      </c>
      <c r="B76" s="56" t="s">
        <v>365</v>
      </c>
      <c r="C76" s="56" t="s">
        <v>1251</v>
      </c>
      <c r="D76" s="55" t="s">
        <v>65</v>
      </c>
      <c r="E76" s="56" t="s">
        <v>1252</v>
      </c>
      <c r="F76" s="56" t="s">
        <v>1231</v>
      </c>
      <c r="G76" s="55" t="s">
        <v>1063</v>
      </c>
      <c r="H76" s="57">
        <f>H70*0.3</f>
        <v>9</v>
      </c>
      <c r="I76" s="58">
        <f>I70*0.3</f>
        <v>18</v>
      </c>
      <c r="J76" s="57">
        <f>J70*0.3</f>
        <v>40.5</v>
      </c>
      <c r="K76" s="58">
        <f>K70*0.3</f>
        <v>18</v>
      </c>
      <c r="L76" s="57">
        <f>L70*0.3</f>
        <v>31.5</v>
      </c>
      <c r="M76" s="56" t="s">
        <v>1253</v>
      </c>
      <c r="N76" s="56"/>
      <c r="O76" s="59" t="s">
        <v>386</v>
      </c>
    </row>
    <row r="77" spans="1:28" ht="25.5" x14ac:dyDescent="0.2">
      <c r="A77" s="55" t="s">
        <v>1254</v>
      </c>
      <c r="B77" s="56" t="s">
        <v>365</v>
      </c>
      <c r="C77" s="56" t="s">
        <v>1255</v>
      </c>
      <c r="D77" s="55" t="s">
        <v>65</v>
      </c>
      <c r="E77" s="56" t="s">
        <v>1256</v>
      </c>
      <c r="F77" s="56" t="s">
        <v>1231</v>
      </c>
      <c r="G77" s="55" t="s">
        <v>1063</v>
      </c>
      <c r="H77" s="57">
        <f>H71*0.45</f>
        <v>42.75</v>
      </c>
      <c r="I77" s="58">
        <f>I71*0.45</f>
        <v>85.5</v>
      </c>
      <c r="J77" s="57">
        <f>J71*0.45</f>
        <v>192.15</v>
      </c>
      <c r="K77" s="58">
        <f>K71*0.45</f>
        <v>85.5</v>
      </c>
      <c r="L77" s="57">
        <f>L71*0.45</f>
        <v>149.4</v>
      </c>
      <c r="M77" s="56" t="s">
        <v>1257</v>
      </c>
      <c r="N77" s="56"/>
      <c r="O77" s="59" t="s">
        <v>389</v>
      </c>
    </row>
    <row r="78" spans="1:28" ht="25.5" x14ac:dyDescent="0.2">
      <c r="A78" s="55" t="s">
        <v>1258</v>
      </c>
      <c r="B78" s="56" t="s">
        <v>365</v>
      </c>
      <c r="C78" s="56" t="s">
        <v>1259</v>
      </c>
      <c r="D78" s="55" t="s">
        <v>65</v>
      </c>
      <c r="E78" s="56" t="s">
        <v>1260</v>
      </c>
      <c r="F78" s="56" t="s">
        <v>1231</v>
      </c>
      <c r="G78" s="55" t="s">
        <v>1063</v>
      </c>
      <c r="H78" s="57">
        <f>H71*0.3</f>
        <v>28.5</v>
      </c>
      <c r="I78" s="58">
        <f>I71*0.3</f>
        <v>57</v>
      </c>
      <c r="J78" s="57">
        <f>J71*0.3</f>
        <v>128.1</v>
      </c>
      <c r="K78" s="58">
        <f>K71*0.3</f>
        <v>57</v>
      </c>
      <c r="L78" s="57">
        <f>L71*0.3</f>
        <v>99.6</v>
      </c>
      <c r="M78" s="56" t="s">
        <v>1261</v>
      </c>
      <c r="N78" s="56"/>
      <c r="O78" s="59" t="s">
        <v>393</v>
      </c>
    </row>
    <row r="79" spans="1:28" ht="25.5" x14ac:dyDescent="0.2">
      <c r="A79" s="55" t="s">
        <v>1262</v>
      </c>
      <c r="B79" s="56" t="s">
        <v>365</v>
      </c>
      <c r="C79" s="56" t="s">
        <v>1263</v>
      </c>
      <c r="D79" s="55" t="s">
        <v>65</v>
      </c>
      <c r="E79" s="56" t="s">
        <v>1264</v>
      </c>
      <c r="F79" s="56" t="s">
        <v>1231</v>
      </c>
      <c r="G79" s="55" t="s">
        <v>1063</v>
      </c>
      <c r="H79" s="57">
        <f>H72*0.45</f>
        <v>24.3</v>
      </c>
      <c r="I79" s="58">
        <f>I72*0.45</f>
        <v>48.6</v>
      </c>
      <c r="J79" s="57">
        <f>J72*0.45</f>
        <v>109.35000000000001</v>
      </c>
      <c r="K79" s="58">
        <f>K72*0.45</f>
        <v>48.6</v>
      </c>
      <c r="L79" s="57">
        <f>L72*0.45</f>
        <v>85.05</v>
      </c>
      <c r="M79" s="56" t="s">
        <v>1265</v>
      </c>
      <c r="N79" s="56"/>
      <c r="O79" s="59" t="s">
        <v>395</v>
      </c>
    </row>
    <row r="80" spans="1:28" ht="25.5" x14ac:dyDescent="0.2">
      <c r="A80" s="55" t="s">
        <v>1266</v>
      </c>
      <c r="B80" s="56" t="s">
        <v>365</v>
      </c>
      <c r="C80" s="56" t="s">
        <v>1267</v>
      </c>
      <c r="D80" s="55" t="s">
        <v>65</v>
      </c>
      <c r="E80" s="56" t="s">
        <v>1268</v>
      </c>
      <c r="F80" s="56" t="s">
        <v>1231</v>
      </c>
      <c r="G80" s="55" t="s">
        <v>1063</v>
      </c>
      <c r="H80" s="57">
        <f t="shared" ref="H80:L81" si="1">H72*0.3</f>
        <v>16.2</v>
      </c>
      <c r="I80" s="58">
        <f t="shared" si="1"/>
        <v>32.4</v>
      </c>
      <c r="J80" s="57">
        <f t="shared" si="1"/>
        <v>72.899999999999991</v>
      </c>
      <c r="K80" s="58">
        <f t="shared" si="1"/>
        <v>32.4</v>
      </c>
      <c r="L80" s="57">
        <f t="shared" si="1"/>
        <v>56.699999999999996</v>
      </c>
      <c r="M80" s="56" t="s">
        <v>1269</v>
      </c>
      <c r="N80" s="56"/>
      <c r="O80" s="59" t="s">
        <v>397</v>
      </c>
    </row>
    <row r="81" spans="1:28" ht="25.5" x14ac:dyDescent="0.2">
      <c r="A81" s="55" t="s">
        <v>1270</v>
      </c>
      <c r="B81" s="56" t="s">
        <v>365</v>
      </c>
      <c r="C81" s="56" t="s">
        <v>1271</v>
      </c>
      <c r="D81" s="55" t="s">
        <v>65</v>
      </c>
      <c r="E81" s="56" t="s">
        <v>1272</v>
      </c>
      <c r="F81" s="56" t="s">
        <v>1231</v>
      </c>
      <c r="G81" s="55" t="s">
        <v>1063</v>
      </c>
      <c r="H81" s="57">
        <f t="shared" si="1"/>
        <v>18</v>
      </c>
      <c r="I81" s="58">
        <f t="shared" si="1"/>
        <v>36</v>
      </c>
      <c r="J81" s="57">
        <f t="shared" si="1"/>
        <v>81</v>
      </c>
      <c r="K81" s="58">
        <f t="shared" si="1"/>
        <v>36</v>
      </c>
      <c r="L81" s="57">
        <f t="shared" si="1"/>
        <v>63</v>
      </c>
      <c r="M81" s="56" t="s">
        <v>1273</v>
      </c>
      <c r="N81" s="56"/>
      <c r="O81" s="59" t="s">
        <v>399</v>
      </c>
    </row>
    <row r="82" spans="1:28" ht="25.5" x14ac:dyDescent="0.2">
      <c r="A82" s="55" t="s">
        <v>1274</v>
      </c>
      <c r="B82" s="56" t="s">
        <v>365</v>
      </c>
      <c r="C82" s="56" t="s">
        <v>1275</v>
      </c>
      <c r="D82" s="55" t="s">
        <v>65</v>
      </c>
      <c r="E82" s="56" t="s">
        <v>1276</v>
      </c>
      <c r="F82" s="56" t="s">
        <v>1231</v>
      </c>
      <c r="G82" s="55" t="s">
        <v>1063</v>
      </c>
      <c r="H82" s="57">
        <f>H73*0.3</f>
        <v>18</v>
      </c>
      <c r="I82" s="58">
        <f>I73*0.3</f>
        <v>36</v>
      </c>
      <c r="J82" s="57">
        <f>J73*0.3</f>
        <v>81</v>
      </c>
      <c r="K82" s="58">
        <f>K73*0.3</f>
        <v>36</v>
      </c>
      <c r="L82" s="57">
        <f>L73*0.3</f>
        <v>63</v>
      </c>
      <c r="M82" s="56" t="s">
        <v>1273</v>
      </c>
      <c r="N82" s="56"/>
      <c r="O82" s="59" t="s">
        <v>402</v>
      </c>
    </row>
    <row r="83" spans="1:28" ht="25.5" x14ac:dyDescent="0.2">
      <c r="A83" s="55" t="s">
        <v>1277</v>
      </c>
      <c r="B83" s="56" t="s">
        <v>365</v>
      </c>
      <c r="C83" s="56" t="s">
        <v>1278</v>
      </c>
      <c r="D83" s="55" t="s">
        <v>65</v>
      </c>
      <c r="E83" s="56" t="s">
        <v>1279</v>
      </c>
      <c r="F83" s="56" t="s">
        <v>1231</v>
      </c>
      <c r="G83" s="55" t="s">
        <v>1063</v>
      </c>
      <c r="H83" s="57">
        <f>H74*0.5</f>
        <v>9</v>
      </c>
      <c r="I83" s="58">
        <f>I74*0.5</f>
        <v>18</v>
      </c>
      <c r="J83" s="57">
        <f>J74*0.5</f>
        <v>40.5</v>
      </c>
      <c r="K83" s="58">
        <f>K74*0.5</f>
        <v>18</v>
      </c>
      <c r="L83" s="57">
        <f>L74*0.5</f>
        <v>31.5</v>
      </c>
      <c r="M83" s="56" t="s">
        <v>1280</v>
      </c>
      <c r="N83" s="56"/>
      <c r="O83" s="59" t="s">
        <v>404</v>
      </c>
    </row>
    <row r="84" spans="1:28" ht="25.5" x14ac:dyDescent="0.2">
      <c r="A84" s="55" t="s">
        <v>1281</v>
      </c>
      <c r="B84" s="56" t="s">
        <v>365</v>
      </c>
      <c r="C84" s="56" t="s">
        <v>1282</v>
      </c>
      <c r="D84" s="55" t="s">
        <v>65</v>
      </c>
      <c r="E84" s="56" t="s">
        <v>1283</v>
      </c>
      <c r="F84" s="56" t="s">
        <v>1231</v>
      </c>
      <c r="G84" s="55" t="s">
        <v>1063</v>
      </c>
      <c r="H84" s="57">
        <f>H74*0.3</f>
        <v>5.3999999999999995</v>
      </c>
      <c r="I84" s="58">
        <f>I74*0.3</f>
        <v>10.799999999999999</v>
      </c>
      <c r="J84" s="57">
        <f>J74*0.3</f>
        <v>24.3</v>
      </c>
      <c r="K84" s="58">
        <f>K74*0.3</f>
        <v>10.799999999999999</v>
      </c>
      <c r="L84" s="57">
        <f>L74*0.3</f>
        <v>18.899999999999999</v>
      </c>
      <c r="M84" s="56" t="s">
        <v>1284</v>
      </c>
      <c r="N84" s="56"/>
      <c r="O84" s="59" t="s">
        <v>407</v>
      </c>
    </row>
    <row r="85" spans="1:28" ht="76.5" x14ac:dyDescent="0.2">
      <c r="A85" s="23" t="s">
        <v>1285</v>
      </c>
      <c r="B85" s="22" t="s">
        <v>411</v>
      </c>
      <c r="C85" s="22" t="s">
        <v>1286</v>
      </c>
      <c r="D85" s="23" t="s">
        <v>65</v>
      </c>
      <c r="E85" s="22" t="s">
        <v>1287</v>
      </c>
      <c r="F85" s="22" t="s">
        <v>1288</v>
      </c>
      <c r="G85" s="23" t="s">
        <v>1063</v>
      </c>
      <c r="H85" s="39">
        <v>37</v>
      </c>
      <c r="I85" s="40">
        <v>80</v>
      </c>
      <c r="J85" s="39">
        <v>222</v>
      </c>
      <c r="K85" s="40">
        <v>37</v>
      </c>
      <c r="L85" s="39">
        <v>111</v>
      </c>
      <c r="M85" s="22" t="s">
        <v>1064</v>
      </c>
      <c r="N85" s="22" t="s">
        <v>1289</v>
      </c>
      <c r="O85" s="24" t="s">
        <v>409</v>
      </c>
      <c r="Q85" s="22" t="s">
        <v>1697</v>
      </c>
      <c r="S85" s="22">
        <v>38.9</v>
      </c>
      <c r="V85" s="22">
        <v>209</v>
      </c>
      <c r="W85" s="22">
        <v>18.2</v>
      </c>
      <c r="X85" s="22">
        <v>124</v>
      </c>
      <c r="Y85" s="22">
        <v>104.5</v>
      </c>
      <c r="Z85" s="40">
        <f t="shared" ref="Z85:Z90" si="2">AVERAGE(R85:Y85)</f>
        <v>98.92</v>
      </c>
      <c r="AA85" s="40">
        <v>80</v>
      </c>
      <c r="AB85" s="22" t="s">
        <v>1780</v>
      </c>
    </row>
    <row r="86" spans="1:28" ht="25.5" x14ac:dyDescent="0.2">
      <c r="A86" s="23" t="s">
        <v>1290</v>
      </c>
      <c r="B86" s="22" t="s">
        <v>411</v>
      </c>
      <c r="C86" s="22" t="s">
        <v>1291</v>
      </c>
      <c r="D86" s="23" t="s">
        <v>65</v>
      </c>
      <c r="E86" s="22" t="s">
        <v>1292</v>
      </c>
      <c r="F86" s="22" t="s">
        <v>1288</v>
      </c>
      <c r="G86" s="23" t="s">
        <v>1063</v>
      </c>
      <c r="H86" s="39">
        <v>9</v>
      </c>
      <c r="I86" s="40">
        <v>19.5</v>
      </c>
      <c r="J86" s="39">
        <v>54</v>
      </c>
      <c r="K86" s="40">
        <v>9</v>
      </c>
      <c r="L86" s="39">
        <v>27</v>
      </c>
      <c r="M86" s="22" t="s">
        <v>1621</v>
      </c>
      <c r="N86" s="22"/>
      <c r="O86" s="24" t="s">
        <v>415</v>
      </c>
      <c r="Q86" s="22" t="s">
        <v>1654</v>
      </c>
      <c r="T86" s="22">
        <v>20</v>
      </c>
      <c r="Z86" s="40">
        <f t="shared" si="2"/>
        <v>20</v>
      </c>
      <c r="AA86" s="40">
        <v>19.5</v>
      </c>
      <c r="AB86" s="22" t="s">
        <v>1781</v>
      </c>
    </row>
    <row r="87" spans="1:28" ht="76.5" x14ac:dyDescent="0.2">
      <c r="A87" s="21" t="s">
        <v>1648</v>
      </c>
      <c r="B87" s="22" t="s">
        <v>420</v>
      </c>
      <c r="C87" s="22" t="s">
        <v>1649</v>
      </c>
      <c r="D87" s="23" t="s">
        <v>65</v>
      </c>
      <c r="E87" s="22" t="s">
        <v>1293</v>
      </c>
      <c r="F87" s="22" t="s">
        <v>1294</v>
      </c>
      <c r="G87" s="23" t="s">
        <v>1063</v>
      </c>
      <c r="H87" s="39">
        <v>33</v>
      </c>
      <c r="I87" s="40">
        <v>75</v>
      </c>
      <c r="J87" s="39">
        <v>150</v>
      </c>
      <c r="K87" s="40">
        <v>67</v>
      </c>
      <c r="L87" s="39">
        <v>117</v>
      </c>
      <c r="M87" s="22" t="s">
        <v>1064</v>
      </c>
      <c r="N87" s="22" t="s">
        <v>1295</v>
      </c>
      <c r="O87" s="24" t="s">
        <v>418</v>
      </c>
      <c r="Q87" s="22" t="s">
        <v>1698</v>
      </c>
      <c r="W87" s="22">
        <v>73.099999999999994</v>
      </c>
      <c r="Y87" s="22">
        <v>172.4</v>
      </c>
      <c r="Z87" s="40">
        <f t="shared" si="2"/>
        <v>122.75</v>
      </c>
      <c r="AA87" s="40">
        <v>75</v>
      </c>
      <c r="AB87" s="22" t="s">
        <v>1782</v>
      </c>
    </row>
    <row r="88" spans="1:28" ht="89.25" x14ac:dyDescent="0.25">
      <c r="A88" s="21" t="s">
        <v>1626</v>
      </c>
      <c r="B88" s="22" t="s">
        <v>420</v>
      </c>
      <c r="C88" s="22" t="s">
        <v>1627</v>
      </c>
      <c r="D88" s="23" t="s">
        <v>65</v>
      </c>
      <c r="E88" s="22" t="s">
        <v>1628</v>
      </c>
      <c r="F88" s="22" t="s">
        <v>1629</v>
      </c>
      <c r="G88" s="23" t="s">
        <v>1063</v>
      </c>
      <c r="H88" s="39">
        <v>9</v>
      </c>
      <c r="I88" s="40">
        <v>22</v>
      </c>
      <c r="J88" s="39">
        <v>44</v>
      </c>
      <c r="K88" s="40">
        <v>0</v>
      </c>
      <c r="L88" s="39"/>
      <c r="M88" s="22" t="s">
        <v>1064</v>
      </c>
      <c r="N88" s="22"/>
      <c r="O88" s="24" t="s">
        <v>1630</v>
      </c>
      <c r="P88"/>
      <c r="Q88" s="22" t="s">
        <v>1699</v>
      </c>
      <c r="S88" s="22">
        <v>28.2</v>
      </c>
      <c r="T88" s="22">
        <v>18.5</v>
      </c>
      <c r="V88" s="22">
        <v>62</v>
      </c>
      <c r="Z88" s="40">
        <f t="shared" si="2"/>
        <v>36.233333333333334</v>
      </c>
      <c r="AA88" s="40">
        <v>22</v>
      </c>
      <c r="AB88" s="22" t="s">
        <v>1783</v>
      </c>
    </row>
    <row r="89" spans="1:28" ht="25.5" x14ac:dyDescent="0.2">
      <c r="A89" s="21" t="s">
        <v>414</v>
      </c>
      <c r="B89" s="22" t="s">
        <v>425</v>
      </c>
      <c r="C89" s="22"/>
      <c r="D89" s="23" t="s">
        <v>65</v>
      </c>
      <c r="E89" s="22" t="s">
        <v>1296</v>
      </c>
      <c r="F89" s="22" t="s">
        <v>1297</v>
      </c>
      <c r="G89" s="23" t="s">
        <v>1063</v>
      </c>
      <c r="H89" s="39">
        <v>30</v>
      </c>
      <c r="I89" s="40">
        <v>75</v>
      </c>
      <c r="J89" s="39">
        <v>150</v>
      </c>
      <c r="K89" s="40">
        <v>75</v>
      </c>
      <c r="L89" s="39">
        <v>150</v>
      </c>
      <c r="M89" s="22" t="s">
        <v>1167</v>
      </c>
      <c r="N89" s="22" t="s">
        <v>1298</v>
      </c>
      <c r="O89" s="24" t="s">
        <v>423</v>
      </c>
      <c r="W89" s="22">
        <v>39.5</v>
      </c>
      <c r="Y89" s="22">
        <v>34.1</v>
      </c>
      <c r="Z89" s="40">
        <f t="shared" si="2"/>
        <v>36.799999999999997</v>
      </c>
      <c r="AA89" s="40">
        <v>75</v>
      </c>
      <c r="AB89" s="22" t="s">
        <v>1784</v>
      </c>
    </row>
    <row r="90" spans="1:28" ht="38.25" x14ac:dyDescent="0.2">
      <c r="A90" s="21" t="s">
        <v>367</v>
      </c>
      <c r="B90" s="22" t="s">
        <v>429</v>
      </c>
      <c r="C90" s="22"/>
      <c r="D90" s="23" t="s">
        <v>65</v>
      </c>
      <c r="E90" s="22" t="s">
        <v>1299</v>
      </c>
      <c r="F90" s="22" t="s">
        <v>1300</v>
      </c>
      <c r="G90" s="23" t="s">
        <v>1063</v>
      </c>
      <c r="H90" s="39">
        <v>13</v>
      </c>
      <c r="I90" s="40">
        <v>25</v>
      </c>
      <c r="J90" s="39">
        <v>37</v>
      </c>
      <c r="K90" s="40">
        <v>25</v>
      </c>
      <c r="L90" s="39">
        <v>37</v>
      </c>
      <c r="M90" s="22" t="s">
        <v>1064</v>
      </c>
      <c r="N90" s="22" t="s">
        <v>1301</v>
      </c>
      <c r="O90" s="24" t="s">
        <v>427</v>
      </c>
      <c r="Q90" s="22" t="s">
        <v>1700</v>
      </c>
      <c r="S90" s="22">
        <v>4.3</v>
      </c>
      <c r="W90" s="22">
        <v>11.5</v>
      </c>
      <c r="Y90" s="22">
        <v>59.1</v>
      </c>
      <c r="Z90" s="40">
        <f t="shared" si="2"/>
        <v>24.966666666666669</v>
      </c>
      <c r="AA90" s="40">
        <v>25</v>
      </c>
      <c r="AB90" s="22" t="s">
        <v>1785</v>
      </c>
    </row>
    <row r="91" spans="1:28" ht="51" x14ac:dyDescent="0.2">
      <c r="A91" s="55" t="s">
        <v>1302</v>
      </c>
      <c r="B91" s="56" t="s">
        <v>435</v>
      </c>
      <c r="C91" s="56" t="s">
        <v>1303</v>
      </c>
      <c r="D91" s="55" t="s">
        <v>65</v>
      </c>
      <c r="E91" s="56" t="s">
        <v>1304</v>
      </c>
      <c r="F91" s="56" t="s">
        <v>1305</v>
      </c>
      <c r="G91" s="55" t="s">
        <v>115</v>
      </c>
      <c r="H91" s="57"/>
      <c r="I91" s="58">
        <v>10000</v>
      </c>
      <c r="J91" s="57"/>
      <c r="K91" s="58">
        <v>10000</v>
      </c>
      <c r="L91" s="57"/>
      <c r="M91" s="56" t="s">
        <v>1167</v>
      </c>
      <c r="N91" s="56"/>
      <c r="O91" s="59" t="s">
        <v>432</v>
      </c>
    </row>
    <row r="92" spans="1:28" ht="25.5" x14ac:dyDescent="0.2">
      <c r="A92" s="55" t="s">
        <v>1306</v>
      </c>
      <c r="B92" s="56" t="s">
        <v>435</v>
      </c>
      <c r="C92" s="56" t="s">
        <v>1307</v>
      </c>
      <c r="D92" s="55" t="s">
        <v>65</v>
      </c>
      <c r="E92" s="56" t="s">
        <v>1308</v>
      </c>
      <c r="F92" s="56" t="s">
        <v>1305</v>
      </c>
      <c r="G92" s="55" t="s">
        <v>115</v>
      </c>
      <c r="H92" s="57"/>
      <c r="I92" s="58">
        <v>40000</v>
      </c>
      <c r="J92" s="57"/>
      <c r="K92" s="58">
        <v>40000</v>
      </c>
      <c r="L92" s="57"/>
      <c r="M92" s="56" t="s">
        <v>1167</v>
      </c>
      <c r="N92" s="56" t="s">
        <v>1309</v>
      </c>
      <c r="O92" s="59" t="s">
        <v>439</v>
      </c>
    </row>
    <row r="93" spans="1:28" ht="25.5" x14ac:dyDescent="0.2">
      <c r="A93" s="55" t="s">
        <v>1310</v>
      </c>
      <c r="B93" s="56" t="s">
        <v>435</v>
      </c>
      <c r="C93" s="56" t="s">
        <v>1311</v>
      </c>
      <c r="D93" s="55" t="s">
        <v>65</v>
      </c>
      <c r="E93" s="56" t="s">
        <v>1312</v>
      </c>
      <c r="F93" s="56" t="s">
        <v>1305</v>
      </c>
      <c r="G93" s="55" t="s">
        <v>115</v>
      </c>
      <c r="H93" s="57"/>
      <c r="I93" s="58">
        <v>250000</v>
      </c>
      <c r="J93" s="57"/>
      <c r="K93" s="58">
        <v>250000</v>
      </c>
      <c r="L93" s="57"/>
      <c r="M93" s="56" t="s">
        <v>1167</v>
      </c>
      <c r="N93" s="56" t="s">
        <v>1309</v>
      </c>
      <c r="O93" s="59" t="s">
        <v>441</v>
      </c>
    </row>
    <row r="94" spans="1:28" ht="38.25" x14ac:dyDescent="0.2">
      <c r="A94" s="23" t="s">
        <v>1313</v>
      </c>
      <c r="B94" s="22" t="s">
        <v>445</v>
      </c>
      <c r="C94" s="22" t="s">
        <v>1286</v>
      </c>
      <c r="D94" s="23" t="s">
        <v>65</v>
      </c>
      <c r="E94" s="22" t="s">
        <v>1314</v>
      </c>
      <c r="F94" s="22" t="s">
        <v>1315</v>
      </c>
      <c r="G94" s="23" t="s">
        <v>1063</v>
      </c>
      <c r="H94" s="39">
        <v>80</v>
      </c>
      <c r="I94" s="40">
        <v>126</v>
      </c>
      <c r="J94" s="39">
        <v>215</v>
      </c>
      <c r="K94" s="40">
        <v>109</v>
      </c>
      <c r="L94" s="39">
        <v>174</v>
      </c>
      <c r="M94" s="22" t="s">
        <v>1167</v>
      </c>
      <c r="N94" s="22" t="s">
        <v>1316</v>
      </c>
      <c r="O94" s="24" t="s">
        <v>443</v>
      </c>
      <c r="V94" s="22">
        <v>97</v>
      </c>
      <c r="W94" s="22">
        <v>88.5</v>
      </c>
      <c r="X94" s="22">
        <v>218</v>
      </c>
      <c r="Y94" s="22">
        <v>130.6</v>
      </c>
      <c r="Z94" s="40">
        <f>AVERAGE(R94:Y94)</f>
        <v>133.52500000000001</v>
      </c>
      <c r="AA94" s="40">
        <v>126</v>
      </c>
      <c r="AB94" s="22" t="s">
        <v>1786</v>
      </c>
    </row>
    <row r="95" spans="1:28" ht="114.75" x14ac:dyDescent="0.2">
      <c r="A95" s="23" t="s">
        <v>1317</v>
      </c>
      <c r="B95" s="22" t="s">
        <v>445</v>
      </c>
      <c r="C95" s="22" t="s">
        <v>1286</v>
      </c>
      <c r="D95" s="23" t="s">
        <v>450</v>
      </c>
      <c r="E95" s="22" t="s">
        <v>1318</v>
      </c>
      <c r="F95" s="22" t="s">
        <v>1315</v>
      </c>
      <c r="G95" s="23" t="s">
        <v>1063</v>
      </c>
      <c r="H95" s="39">
        <v>95</v>
      </c>
      <c r="I95" s="40">
        <v>150</v>
      </c>
      <c r="J95" s="39">
        <v>255</v>
      </c>
      <c r="K95" s="40">
        <v>93</v>
      </c>
      <c r="L95" s="39">
        <v>148</v>
      </c>
      <c r="M95" s="22" t="s">
        <v>1621</v>
      </c>
      <c r="N95" s="22" t="s">
        <v>1319</v>
      </c>
      <c r="O95" s="24" t="s">
        <v>449</v>
      </c>
      <c r="Q95" s="22" t="s">
        <v>1701</v>
      </c>
      <c r="S95" s="22">
        <v>157.69999999999999</v>
      </c>
      <c r="T95" s="22">
        <v>153</v>
      </c>
      <c r="Z95" s="40">
        <f>AVERAGE(R95:Y95)</f>
        <v>155.35</v>
      </c>
      <c r="AA95" s="40">
        <v>150</v>
      </c>
      <c r="AB95" s="22" t="s">
        <v>1787</v>
      </c>
    </row>
    <row r="96" spans="1:28" ht="25.5" x14ac:dyDescent="0.2">
      <c r="A96" s="23" t="s">
        <v>1320</v>
      </c>
      <c r="B96" s="22" t="s">
        <v>445</v>
      </c>
      <c r="C96" s="22" t="s">
        <v>1321</v>
      </c>
      <c r="D96" s="23" t="s">
        <v>65</v>
      </c>
      <c r="E96" s="22" t="s">
        <v>1322</v>
      </c>
      <c r="F96" s="22" t="s">
        <v>1315</v>
      </c>
      <c r="G96" s="23" t="s">
        <v>1063</v>
      </c>
      <c r="H96" s="39">
        <v>13</v>
      </c>
      <c r="I96" s="40">
        <v>15</v>
      </c>
      <c r="J96" s="39">
        <v>30</v>
      </c>
      <c r="K96" s="40">
        <v>0</v>
      </c>
      <c r="L96" s="39"/>
      <c r="M96" s="22" t="s">
        <v>1167</v>
      </c>
      <c r="N96" s="22"/>
      <c r="O96" s="24" t="s">
        <v>451</v>
      </c>
    </row>
    <row r="97" spans="1:28" ht="51" x14ac:dyDescent="0.2">
      <c r="A97" s="23" t="s">
        <v>1323</v>
      </c>
      <c r="B97" s="22" t="s">
        <v>456</v>
      </c>
      <c r="C97" s="22" t="s">
        <v>1286</v>
      </c>
      <c r="D97" s="23" t="s">
        <v>65</v>
      </c>
      <c r="E97" s="22" t="s">
        <v>1324</v>
      </c>
      <c r="F97" s="22" t="s">
        <v>1325</v>
      </c>
      <c r="G97" s="23" t="s">
        <v>1063</v>
      </c>
      <c r="H97" s="39">
        <v>48</v>
      </c>
      <c r="I97" s="40">
        <v>80</v>
      </c>
      <c r="J97" s="39">
        <v>126</v>
      </c>
      <c r="K97" s="40">
        <v>80</v>
      </c>
      <c r="L97" s="39">
        <v>126</v>
      </c>
      <c r="M97" s="22" t="s">
        <v>1064</v>
      </c>
      <c r="N97" s="22" t="s">
        <v>1326</v>
      </c>
      <c r="O97" s="24" t="s">
        <v>454</v>
      </c>
      <c r="Q97" s="22" t="s">
        <v>1702</v>
      </c>
      <c r="S97" s="22">
        <v>113.2</v>
      </c>
      <c r="V97" s="22">
        <v>84</v>
      </c>
      <c r="W97" s="22">
        <v>80.599999999999994</v>
      </c>
      <c r="X97" s="22">
        <v>51</v>
      </c>
      <c r="Y97" s="22">
        <v>198</v>
      </c>
      <c r="Z97" s="40">
        <f>AVERAGE(R97:Y97)</f>
        <v>105.35999999999999</v>
      </c>
      <c r="AA97" s="40">
        <v>80</v>
      </c>
      <c r="AB97" s="22" t="s">
        <v>1788</v>
      </c>
    </row>
    <row r="98" spans="1:28" ht="25.5" x14ac:dyDescent="0.2">
      <c r="A98" s="23" t="s">
        <v>1327</v>
      </c>
      <c r="B98" s="22" t="s">
        <v>456</v>
      </c>
      <c r="C98" s="22" t="s">
        <v>1328</v>
      </c>
      <c r="D98" s="23" t="s">
        <v>65</v>
      </c>
      <c r="E98" s="22" t="s">
        <v>1329</v>
      </c>
      <c r="F98" s="22" t="s">
        <v>1325</v>
      </c>
      <c r="G98" s="23" t="s">
        <v>1063</v>
      </c>
      <c r="H98" s="39">
        <f>H97*0.75</f>
        <v>36</v>
      </c>
      <c r="I98" s="40">
        <f>I97*0.75</f>
        <v>60</v>
      </c>
      <c r="J98" s="39">
        <f>J97*0.75</f>
        <v>94.5</v>
      </c>
      <c r="K98" s="40">
        <f>K97*0.75</f>
        <v>60</v>
      </c>
      <c r="L98" s="39">
        <f>L97*0.75</f>
        <v>94.5</v>
      </c>
      <c r="M98" s="22" t="s">
        <v>1330</v>
      </c>
      <c r="N98" s="22"/>
      <c r="O98" s="24" t="s">
        <v>459</v>
      </c>
    </row>
    <row r="99" spans="1:28" ht="25.5" x14ac:dyDescent="0.2">
      <c r="A99" s="21" t="s">
        <v>1331</v>
      </c>
      <c r="B99" s="22" t="s">
        <v>464</v>
      </c>
      <c r="C99" s="22"/>
      <c r="D99" s="23" t="s">
        <v>65</v>
      </c>
      <c r="E99" s="22" t="s">
        <v>1332</v>
      </c>
      <c r="F99" s="22" t="s">
        <v>1333</v>
      </c>
      <c r="G99" s="23" t="s">
        <v>1063</v>
      </c>
      <c r="H99" s="39">
        <v>5</v>
      </c>
      <c r="I99" s="40">
        <v>10</v>
      </c>
      <c r="J99" s="39">
        <v>18</v>
      </c>
      <c r="K99" s="40">
        <v>8</v>
      </c>
      <c r="L99" s="39">
        <v>12</v>
      </c>
      <c r="M99" s="22" t="s">
        <v>1167</v>
      </c>
      <c r="N99" s="22"/>
      <c r="O99" s="24" t="s">
        <v>462</v>
      </c>
      <c r="Q99" s="22" t="s">
        <v>1655</v>
      </c>
    </row>
    <row r="100" spans="1:28" ht="38.25" x14ac:dyDescent="0.2">
      <c r="A100" s="23" t="s">
        <v>1334</v>
      </c>
      <c r="B100" s="22" t="s">
        <v>469</v>
      </c>
      <c r="C100" s="22" t="s">
        <v>1335</v>
      </c>
      <c r="D100" s="23" t="s">
        <v>65</v>
      </c>
      <c r="E100" s="22" t="s">
        <v>1336</v>
      </c>
      <c r="F100" s="22" t="s">
        <v>1337</v>
      </c>
      <c r="G100" s="23" t="s">
        <v>115</v>
      </c>
      <c r="H100" s="39"/>
      <c r="I100" s="40">
        <v>25000</v>
      </c>
      <c r="J100" s="39"/>
      <c r="K100" s="40">
        <v>25000</v>
      </c>
      <c r="L100" s="39"/>
      <c r="M100" s="22" t="s">
        <v>1162</v>
      </c>
      <c r="N100" s="22"/>
      <c r="O100" s="24" t="s">
        <v>467</v>
      </c>
    </row>
    <row r="101" spans="1:28" x14ac:dyDescent="0.2">
      <c r="A101" s="23" t="s">
        <v>1338</v>
      </c>
      <c r="B101" s="22" t="s">
        <v>469</v>
      </c>
      <c r="C101" s="22" t="s">
        <v>1339</v>
      </c>
      <c r="D101" s="23" t="s">
        <v>65</v>
      </c>
      <c r="E101" s="22" t="s">
        <v>1340</v>
      </c>
      <c r="F101" s="22" t="s">
        <v>1337</v>
      </c>
      <c r="G101" s="23" t="s">
        <v>115</v>
      </c>
      <c r="H101" s="39"/>
      <c r="I101" s="40">
        <v>17000</v>
      </c>
      <c r="J101" s="39"/>
      <c r="K101" s="40">
        <v>17000</v>
      </c>
      <c r="L101" s="39"/>
      <c r="M101" s="22" t="s">
        <v>1167</v>
      </c>
      <c r="N101" s="22"/>
      <c r="O101" s="24" t="s">
        <v>474</v>
      </c>
    </row>
    <row r="102" spans="1:28" ht="25.5" x14ac:dyDescent="0.2">
      <c r="A102" s="23" t="s">
        <v>1341</v>
      </c>
      <c r="B102" s="22" t="s">
        <v>469</v>
      </c>
      <c r="C102" s="22" t="s">
        <v>1342</v>
      </c>
      <c r="D102" s="23" t="s">
        <v>65</v>
      </c>
      <c r="E102" s="22" t="s">
        <v>1343</v>
      </c>
      <c r="F102" s="22" t="s">
        <v>1337</v>
      </c>
      <c r="G102" s="23" t="s">
        <v>115</v>
      </c>
      <c r="H102" s="39"/>
      <c r="I102" s="40">
        <v>42000</v>
      </c>
      <c r="J102" s="39"/>
      <c r="K102" s="40">
        <v>42000</v>
      </c>
      <c r="L102" s="39"/>
      <c r="M102" s="22" t="s">
        <v>1167</v>
      </c>
      <c r="N102" s="22"/>
      <c r="O102" s="24" t="s">
        <v>477</v>
      </c>
    </row>
    <row r="103" spans="1:28" x14ac:dyDescent="0.2">
      <c r="A103" s="23" t="s">
        <v>1344</v>
      </c>
      <c r="B103" s="22" t="s">
        <v>469</v>
      </c>
      <c r="C103" s="22" t="s">
        <v>1345</v>
      </c>
      <c r="D103" s="23" t="s">
        <v>65</v>
      </c>
      <c r="E103" s="22" t="s">
        <v>1346</v>
      </c>
      <c r="F103" s="22" t="s">
        <v>1337</v>
      </c>
      <c r="G103" s="23" t="s">
        <v>115</v>
      </c>
      <c r="H103" s="39"/>
      <c r="I103" s="40">
        <v>30000</v>
      </c>
      <c r="J103" s="39"/>
      <c r="K103" s="40">
        <v>30000</v>
      </c>
      <c r="L103" s="39"/>
      <c r="M103" s="22" t="s">
        <v>1162</v>
      </c>
      <c r="N103" s="22"/>
      <c r="O103" s="24" t="s">
        <v>480</v>
      </c>
    </row>
    <row r="104" spans="1:28" ht="25.5" x14ac:dyDescent="0.2">
      <c r="A104" s="23" t="s">
        <v>1347</v>
      </c>
      <c r="B104" s="22" t="s">
        <v>469</v>
      </c>
      <c r="C104" s="22" t="s">
        <v>1348</v>
      </c>
      <c r="D104" s="23" t="s">
        <v>65</v>
      </c>
      <c r="E104" s="22" t="s">
        <v>1349</v>
      </c>
      <c r="F104" s="22" t="s">
        <v>1337</v>
      </c>
      <c r="G104" s="23" t="s">
        <v>115</v>
      </c>
      <c r="H104" s="39"/>
      <c r="I104" s="40">
        <v>115000</v>
      </c>
      <c r="J104" s="39"/>
      <c r="K104" s="40">
        <v>115000</v>
      </c>
      <c r="L104" s="39"/>
      <c r="M104" s="22" t="s">
        <v>1167</v>
      </c>
      <c r="N104" s="22" t="s">
        <v>1350</v>
      </c>
      <c r="O104" s="24" t="s">
        <v>483</v>
      </c>
    </row>
    <row r="105" spans="1:28" x14ac:dyDescent="0.2">
      <c r="A105" s="23" t="s">
        <v>1351</v>
      </c>
      <c r="B105" s="22" t="s">
        <v>469</v>
      </c>
      <c r="C105" s="22" t="s">
        <v>1352</v>
      </c>
      <c r="D105" s="23" t="s">
        <v>65</v>
      </c>
      <c r="E105" s="22" t="s">
        <v>1353</v>
      </c>
      <c r="F105" s="22" t="s">
        <v>1337</v>
      </c>
      <c r="G105" s="23" t="s">
        <v>115</v>
      </c>
      <c r="H105" s="39"/>
      <c r="I105" s="40">
        <v>52000</v>
      </c>
      <c r="J105" s="39"/>
      <c r="K105" s="40">
        <v>52000</v>
      </c>
      <c r="L105" s="39"/>
      <c r="M105" s="22" t="s">
        <v>1167</v>
      </c>
      <c r="N105" s="22"/>
      <c r="O105" s="24" t="s">
        <v>486</v>
      </c>
    </row>
    <row r="106" spans="1:28" ht="63.75" x14ac:dyDescent="0.2">
      <c r="A106" s="21" t="s">
        <v>500</v>
      </c>
      <c r="B106" s="22" t="s">
        <v>492</v>
      </c>
      <c r="C106" s="22"/>
      <c r="D106" s="23" t="s">
        <v>65</v>
      </c>
      <c r="E106" s="22" t="s">
        <v>1354</v>
      </c>
      <c r="F106" s="22" t="s">
        <v>1355</v>
      </c>
      <c r="G106" s="23" t="s">
        <v>1063</v>
      </c>
      <c r="H106" s="39">
        <v>19</v>
      </c>
      <c r="I106" s="40">
        <v>35</v>
      </c>
      <c r="J106" s="39">
        <v>58</v>
      </c>
      <c r="K106" s="40">
        <v>27</v>
      </c>
      <c r="L106" s="39">
        <v>49</v>
      </c>
      <c r="M106" s="22" t="s">
        <v>1064</v>
      </c>
      <c r="N106" s="22" t="s">
        <v>1356</v>
      </c>
      <c r="O106" s="24" t="s">
        <v>489</v>
      </c>
      <c r="Q106" s="22" t="s">
        <v>1703</v>
      </c>
      <c r="S106" s="22">
        <v>64.7</v>
      </c>
      <c r="T106" s="22">
        <v>18.600000000000001</v>
      </c>
      <c r="V106" s="22">
        <v>77</v>
      </c>
      <c r="W106" s="22">
        <v>28.4</v>
      </c>
      <c r="Y106" s="22">
        <v>43.5</v>
      </c>
      <c r="Z106" s="40">
        <f>AVERAGE(R106:Y106)</f>
        <v>46.440000000000005</v>
      </c>
      <c r="AA106" s="40">
        <v>35</v>
      </c>
      <c r="AB106" s="22" t="s">
        <v>1789</v>
      </c>
    </row>
    <row r="107" spans="1:28" ht="25.5" x14ac:dyDescent="0.2">
      <c r="A107" s="21" t="s">
        <v>292</v>
      </c>
      <c r="B107" s="22" t="s">
        <v>497</v>
      </c>
      <c r="C107" s="22"/>
      <c r="D107" s="23" t="s">
        <v>65</v>
      </c>
      <c r="E107" s="22" t="s">
        <v>1357</v>
      </c>
      <c r="F107" s="22" t="s">
        <v>1358</v>
      </c>
      <c r="G107" s="23" t="s">
        <v>1063</v>
      </c>
      <c r="H107" s="39"/>
      <c r="I107" s="40">
        <v>15</v>
      </c>
      <c r="J107" s="39">
        <v>50</v>
      </c>
      <c r="K107" s="40">
        <v>15</v>
      </c>
      <c r="L107" s="39">
        <v>50</v>
      </c>
      <c r="M107" s="22" t="s">
        <v>1167</v>
      </c>
      <c r="N107" s="22" t="s">
        <v>1359</v>
      </c>
      <c r="O107" s="24" t="s">
        <v>495</v>
      </c>
    </row>
    <row r="108" spans="1:28" ht="38.25" x14ac:dyDescent="0.2">
      <c r="A108" s="21" t="s">
        <v>359</v>
      </c>
      <c r="B108" s="22" t="s">
        <v>503</v>
      </c>
      <c r="C108" s="22"/>
      <c r="D108" s="23" t="s">
        <v>65</v>
      </c>
      <c r="E108" s="22" t="s">
        <v>1360</v>
      </c>
      <c r="F108" s="22" t="s">
        <v>1361</v>
      </c>
      <c r="G108" s="23" t="s">
        <v>504</v>
      </c>
      <c r="H108" s="39">
        <v>4000</v>
      </c>
      <c r="I108" s="40">
        <v>6000</v>
      </c>
      <c r="J108" s="39">
        <v>9000</v>
      </c>
      <c r="K108" s="40">
        <v>6000</v>
      </c>
      <c r="L108" s="39">
        <v>9000</v>
      </c>
      <c r="M108" s="22" t="s">
        <v>1162</v>
      </c>
      <c r="N108" s="22"/>
      <c r="O108" s="24" t="s">
        <v>501</v>
      </c>
    </row>
    <row r="109" spans="1:28" ht="25.5" x14ac:dyDescent="0.2">
      <c r="A109" s="21" t="s">
        <v>1650</v>
      </c>
      <c r="B109" s="22" t="s">
        <v>513</v>
      </c>
      <c r="C109" s="22"/>
      <c r="D109" s="23" t="s">
        <v>65</v>
      </c>
      <c r="E109" s="22" t="s">
        <v>1362</v>
      </c>
      <c r="F109" s="22" t="s">
        <v>1363</v>
      </c>
      <c r="G109" s="23" t="s">
        <v>1063</v>
      </c>
      <c r="H109" s="39">
        <v>9</v>
      </c>
      <c r="I109" s="40">
        <v>20</v>
      </c>
      <c r="J109" s="39">
        <v>39</v>
      </c>
      <c r="K109" s="40">
        <v>17</v>
      </c>
      <c r="L109" s="39">
        <v>33</v>
      </c>
      <c r="M109" s="22" t="s">
        <v>1064</v>
      </c>
      <c r="N109" s="22" t="s">
        <v>1364</v>
      </c>
      <c r="O109" s="24" t="s">
        <v>510</v>
      </c>
      <c r="Q109" s="22" t="s">
        <v>1656</v>
      </c>
      <c r="T109" s="22">
        <v>19.399999999999999</v>
      </c>
      <c r="X109" s="22">
        <v>5.3</v>
      </c>
      <c r="Y109" s="22">
        <v>33.6</v>
      </c>
      <c r="Z109" s="40">
        <f>AVERAGE(R109:Y109)</f>
        <v>19.433333333333334</v>
      </c>
      <c r="AA109" s="40">
        <v>20</v>
      </c>
      <c r="AB109" s="22" t="s">
        <v>1790</v>
      </c>
    </row>
    <row r="110" spans="1:28" ht="51" x14ac:dyDescent="0.25">
      <c r="A110" s="21" t="s">
        <v>1623</v>
      </c>
      <c r="B110" s="22" t="s">
        <v>513</v>
      </c>
      <c r="C110" s="22"/>
      <c r="D110" s="23" t="s">
        <v>450</v>
      </c>
      <c r="E110" s="22" t="s">
        <v>1624</v>
      </c>
      <c r="F110" s="22" t="s">
        <v>1363</v>
      </c>
      <c r="G110" s="23" t="s">
        <v>1063</v>
      </c>
      <c r="H110" s="39">
        <v>11</v>
      </c>
      <c r="I110" s="40">
        <v>25</v>
      </c>
      <c r="J110" s="39">
        <v>50</v>
      </c>
      <c r="K110" s="40">
        <v>15</v>
      </c>
      <c r="L110" s="39">
        <v>30</v>
      </c>
      <c r="M110" s="22" t="s">
        <v>1621</v>
      </c>
      <c r="N110" s="22"/>
      <c r="O110" s="24" t="s">
        <v>1625</v>
      </c>
      <c r="P110"/>
      <c r="Q110" s="22" t="s">
        <v>1704</v>
      </c>
      <c r="S110" s="22">
        <v>19.3</v>
      </c>
      <c r="T110" s="22">
        <v>24.5</v>
      </c>
      <c r="Z110" s="40">
        <f>AVERAGE(R110:Y110)</f>
        <v>21.9</v>
      </c>
      <c r="AA110" s="40">
        <v>25</v>
      </c>
      <c r="AB110" s="22" t="s">
        <v>1791</v>
      </c>
    </row>
    <row r="111" spans="1:28" ht="53.1" customHeight="1" x14ac:dyDescent="0.2">
      <c r="A111" s="21" t="s">
        <v>556</v>
      </c>
      <c r="B111" s="22" t="s">
        <v>519</v>
      </c>
      <c r="C111" s="22"/>
      <c r="D111" s="23" t="s">
        <v>65</v>
      </c>
      <c r="E111" s="22" t="s">
        <v>1365</v>
      </c>
      <c r="F111" s="22" t="s">
        <v>1358</v>
      </c>
      <c r="G111" s="23" t="s">
        <v>1063</v>
      </c>
      <c r="H111" s="39">
        <v>7</v>
      </c>
      <c r="I111" s="40">
        <v>20</v>
      </c>
      <c r="J111" s="39">
        <v>40</v>
      </c>
      <c r="K111" s="40">
        <v>11</v>
      </c>
      <c r="L111" s="39">
        <v>27</v>
      </c>
      <c r="M111" s="22" t="s">
        <v>1064</v>
      </c>
      <c r="N111" s="22" t="s">
        <v>1301</v>
      </c>
      <c r="O111" s="24" t="s">
        <v>517</v>
      </c>
      <c r="Q111" s="22" t="s">
        <v>1705</v>
      </c>
      <c r="S111" s="22">
        <v>4.5</v>
      </c>
      <c r="W111" s="22">
        <v>57.8</v>
      </c>
      <c r="Y111" s="22">
        <v>22</v>
      </c>
      <c r="Z111" s="40">
        <f>AVERAGE(R111:Y111)</f>
        <v>28.099999999999998</v>
      </c>
      <c r="AA111" s="40">
        <v>20</v>
      </c>
      <c r="AB111" s="22" t="s">
        <v>1792</v>
      </c>
    </row>
    <row r="112" spans="1:28" ht="38.25" x14ac:dyDescent="0.2">
      <c r="A112" s="23" t="s">
        <v>1366</v>
      </c>
      <c r="B112" s="22" t="s">
        <v>524</v>
      </c>
      <c r="C112" s="22" t="s">
        <v>1367</v>
      </c>
      <c r="D112" s="23" t="s">
        <v>65</v>
      </c>
      <c r="E112" s="22" t="s">
        <v>1368</v>
      </c>
      <c r="F112" s="22" t="s">
        <v>1369</v>
      </c>
      <c r="G112" s="23" t="s">
        <v>1370</v>
      </c>
      <c r="H112" s="39">
        <v>37500</v>
      </c>
      <c r="I112" s="40">
        <v>60000</v>
      </c>
      <c r="J112" s="39">
        <v>90000</v>
      </c>
      <c r="K112" s="40">
        <v>60000</v>
      </c>
      <c r="L112" s="39">
        <v>90000</v>
      </c>
      <c r="M112" s="22" t="s">
        <v>1064</v>
      </c>
      <c r="N112" s="22" t="s">
        <v>1371</v>
      </c>
      <c r="O112" s="24" t="s">
        <v>522</v>
      </c>
      <c r="Q112" s="22" t="s">
        <v>1706</v>
      </c>
      <c r="S112" s="22">
        <v>112847</v>
      </c>
      <c r="Z112" s="40">
        <f>AVERAGE(R112:Y112)</f>
        <v>112847</v>
      </c>
      <c r="AA112" s="40">
        <v>60000</v>
      </c>
      <c r="AB112" s="22" t="s">
        <v>1793</v>
      </c>
    </row>
    <row r="113" spans="1:15" ht="25.5" x14ac:dyDescent="0.2">
      <c r="A113" s="23" t="s">
        <v>1372</v>
      </c>
      <c r="B113" s="22" t="s">
        <v>524</v>
      </c>
      <c r="C113" s="22" t="s">
        <v>1373</v>
      </c>
      <c r="D113" s="23" t="s">
        <v>65</v>
      </c>
      <c r="E113" s="22" t="s">
        <v>1374</v>
      </c>
      <c r="F113" s="22" t="s">
        <v>1369</v>
      </c>
      <c r="G113" s="23" t="s">
        <v>1370</v>
      </c>
      <c r="H113" s="39">
        <v>15000</v>
      </c>
      <c r="I113" s="40">
        <v>20000</v>
      </c>
      <c r="J113" s="39">
        <v>30000</v>
      </c>
      <c r="K113" s="40">
        <v>20000</v>
      </c>
      <c r="L113" s="39">
        <v>30000</v>
      </c>
      <c r="M113" s="22" t="s">
        <v>1162</v>
      </c>
      <c r="N113" s="22" t="s">
        <v>1375</v>
      </c>
      <c r="O113" s="24" t="s">
        <v>530</v>
      </c>
    </row>
    <row r="114" spans="1:15" ht="25.5" x14ac:dyDescent="0.2">
      <c r="A114" s="23" t="s">
        <v>1376</v>
      </c>
      <c r="B114" s="22" t="s">
        <v>524</v>
      </c>
      <c r="C114" s="22" t="s">
        <v>1377</v>
      </c>
      <c r="D114" s="23" t="s">
        <v>65</v>
      </c>
      <c r="E114" s="22" t="s">
        <v>1378</v>
      </c>
      <c r="F114" s="22" t="s">
        <v>1369</v>
      </c>
      <c r="G114" s="23" t="s">
        <v>1370</v>
      </c>
      <c r="H114" s="39">
        <v>50000</v>
      </c>
      <c r="I114" s="40">
        <v>70000</v>
      </c>
      <c r="J114" s="39">
        <v>100000</v>
      </c>
      <c r="K114" s="40">
        <v>70000</v>
      </c>
      <c r="L114" s="39">
        <v>100000</v>
      </c>
      <c r="M114" s="22" t="s">
        <v>1162</v>
      </c>
      <c r="N114" s="22" t="s">
        <v>1379</v>
      </c>
      <c r="O114" s="24" t="s">
        <v>533</v>
      </c>
    </row>
    <row r="115" spans="1:15" ht="25.5" x14ac:dyDescent="0.2">
      <c r="A115" s="21" t="s">
        <v>1380</v>
      </c>
      <c r="B115" s="22" t="s">
        <v>539</v>
      </c>
      <c r="C115" s="22"/>
      <c r="D115" s="23" t="s">
        <v>65</v>
      </c>
      <c r="E115" s="22" t="s">
        <v>1381</v>
      </c>
      <c r="F115" s="22" t="s">
        <v>1382</v>
      </c>
      <c r="G115" s="23" t="s">
        <v>540</v>
      </c>
      <c r="H115" s="39">
        <v>800</v>
      </c>
      <c r="I115" s="40">
        <v>1200</v>
      </c>
      <c r="J115" s="39">
        <v>2000</v>
      </c>
      <c r="K115" s="40">
        <v>1200</v>
      </c>
      <c r="L115" s="39">
        <v>2000</v>
      </c>
      <c r="M115" s="22" t="s">
        <v>1167</v>
      </c>
      <c r="N115" s="22" t="s">
        <v>1383</v>
      </c>
      <c r="O115" s="24" t="s">
        <v>536</v>
      </c>
    </row>
    <row r="116" spans="1:15" x14ac:dyDescent="0.2">
      <c r="A116" s="21" t="s">
        <v>521</v>
      </c>
      <c r="B116" s="22" t="s">
        <v>546</v>
      </c>
      <c r="C116" s="22"/>
      <c r="D116" s="23" t="s">
        <v>65</v>
      </c>
      <c r="E116" s="22" t="s">
        <v>1384</v>
      </c>
      <c r="F116" s="22" t="s">
        <v>1385</v>
      </c>
      <c r="G116" s="23" t="s">
        <v>547</v>
      </c>
      <c r="H116" s="39">
        <v>300</v>
      </c>
      <c r="I116" s="40">
        <v>400</v>
      </c>
      <c r="J116" s="39">
        <v>650</v>
      </c>
      <c r="K116" s="40">
        <v>400</v>
      </c>
      <c r="L116" s="39">
        <v>650</v>
      </c>
      <c r="M116" s="22" t="s">
        <v>1167</v>
      </c>
      <c r="N116" s="22"/>
      <c r="O116" s="24" t="s">
        <v>544</v>
      </c>
    </row>
    <row r="117" spans="1:15" ht="25.5" x14ac:dyDescent="0.2">
      <c r="A117" s="21" t="s">
        <v>529</v>
      </c>
      <c r="B117" s="22" t="s">
        <v>551</v>
      </c>
      <c r="C117" s="22"/>
      <c r="D117" s="23" t="s">
        <v>65</v>
      </c>
      <c r="E117" s="22" t="s">
        <v>1386</v>
      </c>
      <c r="F117" s="22" t="s">
        <v>1387</v>
      </c>
      <c r="G117" s="23" t="s">
        <v>552</v>
      </c>
      <c r="H117" s="39"/>
      <c r="I117" s="40">
        <v>1500</v>
      </c>
      <c r="J117" s="39">
        <v>2500</v>
      </c>
      <c r="K117" s="40">
        <v>1500</v>
      </c>
      <c r="L117" s="39">
        <v>2500</v>
      </c>
      <c r="M117" s="22" t="s">
        <v>1167</v>
      </c>
      <c r="N117" s="22"/>
      <c r="O117" s="24" t="s">
        <v>549</v>
      </c>
    </row>
    <row r="118" spans="1:15" ht="38.25" x14ac:dyDescent="0.2">
      <c r="A118" s="23" t="s">
        <v>1388</v>
      </c>
      <c r="B118" s="22" t="s">
        <v>560</v>
      </c>
      <c r="C118" s="22" t="s">
        <v>1303</v>
      </c>
      <c r="D118" s="23" t="s">
        <v>65</v>
      </c>
      <c r="E118" s="22" t="s">
        <v>1389</v>
      </c>
      <c r="F118" s="22"/>
      <c r="G118" s="23" t="s">
        <v>115</v>
      </c>
      <c r="H118" s="39"/>
      <c r="I118" s="40">
        <v>6000</v>
      </c>
      <c r="J118" s="39"/>
      <c r="K118" s="40">
        <v>6000</v>
      </c>
      <c r="L118" s="39"/>
      <c r="M118" s="22" t="s">
        <v>1162</v>
      </c>
      <c r="N118" s="22"/>
      <c r="O118" s="24" t="s">
        <v>557</v>
      </c>
    </row>
    <row r="119" spans="1:15" ht="25.5" x14ac:dyDescent="0.2">
      <c r="A119" s="23" t="s">
        <v>1390</v>
      </c>
      <c r="B119" s="22" t="s">
        <v>560</v>
      </c>
      <c r="C119" s="22" t="s">
        <v>1307</v>
      </c>
      <c r="D119" s="23" t="s">
        <v>65</v>
      </c>
      <c r="E119" s="22" t="s">
        <v>1391</v>
      </c>
      <c r="F119" s="22"/>
      <c r="G119" s="23" t="s">
        <v>115</v>
      </c>
      <c r="H119" s="39"/>
      <c r="I119" s="40">
        <v>11000</v>
      </c>
      <c r="J119" s="39"/>
      <c r="K119" s="40">
        <v>11000</v>
      </c>
      <c r="L119" s="39"/>
      <c r="M119" s="22" t="s">
        <v>1167</v>
      </c>
      <c r="N119" s="22"/>
      <c r="O119" s="24" t="s">
        <v>564</v>
      </c>
    </row>
    <row r="120" spans="1:15" ht="25.5" x14ac:dyDescent="0.2">
      <c r="A120" s="23" t="s">
        <v>1392</v>
      </c>
      <c r="B120" s="22" t="s">
        <v>560</v>
      </c>
      <c r="C120" s="22" t="s">
        <v>1311</v>
      </c>
      <c r="D120" s="23" t="s">
        <v>65</v>
      </c>
      <c r="E120" s="22" t="s">
        <v>1393</v>
      </c>
      <c r="F120" s="22"/>
      <c r="G120" s="23" t="s">
        <v>115</v>
      </c>
      <c r="H120" s="39"/>
      <c r="I120" s="40">
        <v>21000</v>
      </c>
      <c r="J120" s="39"/>
      <c r="K120" s="40">
        <v>21000</v>
      </c>
      <c r="L120" s="39"/>
      <c r="M120" s="22" t="s">
        <v>1167</v>
      </c>
      <c r="N120" s="22"/>
      <c r="O120" s="24" t="s">
        <v>566</v>
      </c>
    </row>
    <row r="121" spans="1:15" ht="38.25" x14ac:dyDescent="0.2">
      <c r="A121" s="23" t="s">
        <v>1394</v>
      </c>
      <c r="B121" s="22" t="s">
        <v>570</v>
      </c>
      <c r="C121" s="22" t="s">
        <v>1303</v>
      </c>
      <c r="D121" s="23" t="s">
        <v>65</v>
      </c>
      <c r="E121" s="22" t="s">
        <v>1395</v>
      </c>
      <c r="F121" s="22" t="s">
        <v>1396</v>
      </c>
      <c r="G121" s="23" t="s">
        <v>115</v>
      </c>
      <c r="H121" s="39"/>
      <c r="I121" s="40">
        <v>8000</v>
      </c>
      <c r="J121" s="39"/>
      <c r="K121" s="40">
        <v>8000</v>
      </c>
      <c r="L121" s="39"/>
      <c r="M121" s="22" t="s">
        <v>1162</v>
      </c>
      <c r="N121" s="22"/>
      <c r="O121" s="24" t="s">
        <v>568</v>
      </c>
    </row>
    <row r="122" spans="1:15" ht="25.5" x14ac:dyDescent="0.2">
      <c r="A122" s="23" t="s">
        <v>1397</v>
      </c>
      <c r="B122" s="22" t="s">
        <v>570</v>
      </c>
      <c r="C122" s="22" t="s">
        <v>1307</v>
      </c>
      <c r="D122" s="23" t="s">
        <v>65</v>
      </c>
      <c r="E122" s="22" t="s">
        <v>1398</v>
      </c>
      <c r="F122" s="22" t="s">
        <v>1396</v>
      </c>
      <c r="G122" s="23" t="s">
        <v>115</v>
      </c>
      <c r="H122" s="39"/>
      <c r="I122" s="40">
        <v>16000</v>
      </c>
      <c r="J122" s="39"/>
      <c r="K122" s="40">
        <v>16000</v>
      </c>
      <c r="L122" s="39"/>
      <c r="M122" s="22" t="s">
        <v>1167</v>
      </c>
      <c r="N122" s="22"/>
      <c r="O122" s="24" t="s">
        <v>573</v>
      </c>
    </row>
    <row r="123" spans="1:15" x14ac:dyDescent="0.2">
      <c r="A123" s="23" t="s">
        <v>1399</v>
      </c>
      <c r="B123" s="22" t="s">
        <v>570</v>
      </c>
      <c r="C123" s="22" t="s">
        <v>1311</v>
      </c>
      <c r="D123" s="23" t="s">
        <v>65</v>
      </c>
      <c r="E123" s="22" t="s">
        <v>1400</v>
      </c>
      <c r="F123" s="22" t="s">
        <v>1396</v>
      </c>
      <c r="G123" s="23" t="s">
        <v>115</v>
      </c>
      <c r="H123" s="39"/>
      <c r="I123" s="40">
        <v>38000</v>
      </c>
      <c r="J123" s="39"/>
      <c r="K123" s="40">
        <v>38000</v>
      </c>
      <c r="L123" s="39"/>
      <c r="M123" s="22" t="s">
        <v>1167</v>
      </c>
      <c r="N123" s="22"/>
      <c r="O123" s="24" t="s">
        <v>575</v>
      </c>
    </row>
    <row r="124" spans="1:15" ht="25.5" x14ac:dyDescent="0.2">
      <c r="A124" s="21" t="s">
        <v>1401</v>
      </c>
      <c r="B124" s="22" t="s">
        <v>579</v>
      </c>
      <c r="C124" s="22"/>
      <c r="D124" s="23" t="s">
        <v>65</v>
      </c>
      <c r="E124" s="22" t="s">
        <v>1402</v>
      </c>
      <c r="F124" s="22" t="s">
        <v>1403</v>
      </c>
      <c r="G124" s="23" t="s">
        <v>580</v>
      </c>
      <c r="H124" s="39"/>
      <c r="I124" s="40">
        <v>90</v>
      </c>
      <c r="J124" s="39">
        <v>155</v>
      </c>
      <c r="K124" s="40">
        <v>90</v>
      </c>
      <c r="L124" s="39">
        <v>155</v>
      </c>
      <c r="M124" s="22" t="s">
        <v>1167</v>
      </c>
      <c r="N124" s="22"/>
      <c r="O124" s="24" t="s">
        <v>577</v>
      </c>
    </row>
    <row r="125" spans="1:15" ht="25.5" x14ac:dyDescent="0.2">
      <c r="A125" s="21" t="s">
        <v>582</v>
      </c>
      <c r="B125" s="22" t="s">
        <v>585</v>
      </c>
      <c r="C125" s="22"/>
      <c r="D125" s="23" t="s">
        <v>65</v>
      </c>
      <c r="E125" s="22" t="s">
        <v>1404</v>
      </c>
      <c r="F125" s="22" t="s">
        <v>1405</v>
      </c>
      <c r="G125" s="23" t="s">
        <v>586</v>
      </c>
      <c r="H125" s="39"/>
      <c r="I125" s="40">
        <v>1000</v>
      </c>
      <c r="J125" s="39">
        <v>1650</v>
      </c>
      <c r="K125" s="40">
        <v>1000</v>
      </c>
      <c r="L125" s="39">
        <v>1650</v>
      </c>
      <c r="M125" s="22" t="s">
        <v>1167</v>
      </c>
      <c r="N125" s="22"/>
      <c r="O125" s="24" t="s">
        <v>583</v>
      </c>
    </row>
    <row r="126" spans="1:15" ht="25.5" x14ac:dyDescent="0.2">
      <c r="A126" s="21" t="s">
        <v>572</v>
      </c>
      <c r="B126" s="22" t="s">
        <v>592</v>
      </c>
      <c r="C126" s="22"/>
      <c r="D126" s="23" t="s">
        <v>65</v>
      </c>
      <c r="E126" s="22" t="s">
        <v>1406</v>
      </c>
      <c r="F126" s="22" t="s">
        <v>1407</v>
      </c>
      <c r="G126" s="23" t="s">
        <v>1408</v>
      </c>
      <c r="H126" s="39"/>
      <c r="I126" s="40">
        <v>620</v>
      </c>
      <c r="J126" s="39">
        <v>1050</v>
      </c>
      <c r="K126" s="40">
        <v>620</v>
      </c>
      <c r="L126" s="39">
        <v>1050</v>
      </c>
      <c r="M126" s="22" t="s">
        <v>1167</v>
      </c>
      <c r="N126" s="22"/>
      <c r="O126" s="24" t="s">
        <v>590</v>
      </c>
    </row>
    <row r="127" spans="1:15" ht="38.25" x14ac:dyDescent="0.2">
      <c r="A127" s="23" t="s">
        <v>1409</v>
      </c>
      <c r="B127" s="22" t="s">
        <v>599</v>
      </c>
      <c r="C127" s="22" t="s">
        <v>1303</v>
      </c>
      <c r="D127" s="23" t="s">
        <v>65</v>
      </c>
      <c r="E127" s="22" t="s">
        <v>1410</v>
      </c>
      <c r="F127" s="22" t="s">
        <v>1411</v>
      </c>
      <c r="G127" s="23" t="s">
        <v>115</v>
      </c>
      <c r="H127" s="39"/>
      <c r="I127" s="40">
        <v>18000</v>
      </c>
      <c r="J127" s="39"/>
      <c r="K127" s="40">
        <v>18000</v>
      </c>
      <c r="L127" s="39"/>
      <c r="M127" s="22" t="s">
        <v>1162</v>
      </c>
      <c r="N127" s="22"/>
      <c r="O127" s="24" t="s">
        <v>597</v>
      </c>
    </row>
    <row r="128" spans="1:15" ht="25.5" x14ac:dyDescent="0.2">
      <c r="A128" s="23" t="s">
        <v>1412</v>
      </c>
      <c r="B128" s="22" t="s">
        <v>599</v>
      </c>
      <c r="C128" s="22" t="s">
        <v>1307</v>
      </c>
      <c r="D128" s="23" t="s">
        <v>65</v>
      </c>
      <c r="E128" s="22" t="s">
        <v>1413</v>
      </c>
      <c r="F128" s="22" t="s">
        <v>1411</v>
      </c>
      <c r="G128" s="23" t="s">
        <v>115</v>
      </c>
      <c r="H128" s="39"/>
      <c r="I128" s="40">
        <v>32000</v>
      </c>
      <c r="J128" s="39"/>
      <c r="K128" s="40">
        <v>32000</v>
      </c>
      <c r="L128" s="39"/>
      <c r="M128" s="22" t="s">
        <v>1167</v>
      </c>
      <c r="N128" s="22"/>
      <c r="O128" s="24" t="s">
        <v>602</v>
      </c>
    </row>
    <row r="129" spans="1:28" x14ac:dyDescent="0.2">
      <c r="A129" s="23" t="s">
        <v>1414</v>
      </c>
      <c r="B129" s="22" t="s">
        <v>599</v>
      </c>
      <c r="C129" s="22" t="s">
        <v>1311</v>
      </c>
      <c r="D129" s="23" t="s">
        <v>65</v>
      </c>
      <c r="E129" s="22" t="s">
        <v>1415</v>
      </c>
      <c r="F129" s="22" t="s">
        <v>1411</v>
      </c>
      <c r="G129" s="23" t="s">
        <v>115</v>
      </c>
      <c r="H129" s="39"/>
      <c r="I129" s="40">
        <v>88000</v>
      </c>
      <c r="J129" s="39"/>
      <c r="K129" s="40">
        <v>88000</v>
      </c>
      <c r="L129" s="39"/>
      <c r="M129" s="22" t="s">
        <v>1167</v>
      </c>
      <c r="N129" s="22"/>
      <c r="O129" s="24" t="s">
        <v>604</v>
      </c>
    </row>
    <row r="130" spans="1:28" ht="38.25" x14ac:dyDescent="0.2">
      <c r="A130" s="21" t="s">
        <v>1651</v>
      </c>
      <c r="B130" s="22" t="s">
        <v>730</v>
      </c>
      <c r="C130" s="22"/>
      <c r="D130" s="23" t="s">
        <v>65</v>
      </c>
      <c r="E130" s="22" t="s">
        <v>1417</v>
      </c>
      <c r="F130" s="22"/>
      <c r="G130" s="23" t="s">
        <v>1063</v>
      </c>
      <c r="H130" s="39">
        <v>5</v>
      </c>
      <c r="I130" s="40">
        <v>12</v>
      </c>
      <c r="J130" s="39">
        <v>20</v>
      </c>
      <c r="K130" s="40">
        <v>8</v>
      </c>
      <c r="L130" s="39">
        <v>16</v>
      </c>
      <c r="M130" s="22" t="s">
        <v>1064</v>
      </c>
      <c r="N130" s="22" t="s">
        <v>1418</v>
      </c>
      <c r="O130" s="24" t="s">
        <v>727</v>
      </c>
      <c r="Q130" s="22" t="s">
        <v>1681</v>
      </c>
      <c r="U130" s="22">
        <v>8</v>
      </c>
      <c r="W130" s="22">
        <v>3.1</v>
      </c>
      <c r="Z130" s="40">
        <f>AVERAGE(R130:Y130)</f>
        <v>5.55</v>
      </c>
      <c r="AA130" s="40">
        <v>12</v>
      </c>
      <c r="AB130" s="22" t="s">
        <v>1794</v>
      </c>
    </row>
    <row r="131" spans="1:28" ht="76.5" x14ac:dyDescent="0.25">
      <c r="A131" s="21" t="s">
        <v>1619</v>
      </c>
      <c r="B131" s="22" t="s">
        <v>730</v>
      </c>
      <c r="C131" s="22"/>
      <c r="D131" s="23" t="s">
        <v>450</v>
      </c>
      <c r="E131" s="22" t="s">
        <v>1620</v>
      </c>
      <c r="F131" s="22"/>
      <c r="G131" s="23" t="s">
        <v>1063</v>
      </c>
      <c r="H131" s="39">
        <v>12</v>
      </c>
      <c r="I131" s="40">
        <v>27</v>
      </c>
      <c r="J131" s="39">
        <v>45</v>
      </c>
      <c r="K131" s="40">
        <v>12</v>
      </c>
      <c r="L131" s="39">
        <v>24</v>
      </c>
      <c r="M131" s="22" t="s">
        <v>1621</v>
      </c>
      <c r="N131" s="22"/>
      <c r="O131" s="24" t="s">
        <v>1622</v>
      </c>
      <c r="P131"/>
      <c r="Q131" s="22" t="s">
        <v>1707</v>
      </c>
      <c r="S131" s="22">
        <v>11</v>
      </c>
      <c r="T131" s="22">
        <v>27</v>
      </c>
      <c r="Z131" s="40">
        <f>AVERAGE(R131:Y131)</f>
        <v>19</v>
      </c>
      <c r="AA131" s="40">
        <v>27</v>
      </c>
      <c r="AB131" s="22" t="s">
        <v>1795</v>
      </c>
    </row>
    <row r="132" spans="1:28" x14ac:dyDescent="0.2">
      <c r="A132" s="25" t="s">
        <v>1419</v>
      </c>
      <c r="B132" s="26"/>
      <c r="C132" s="26"/>
      <c r="D132" s="25"/>
      <c r="E132" s="26"/>
      <c r="F132" s="26"/>
      <c r="G132" s="25"/>
      <c r="H132" s="41"/>
      <c r="I132" s="42"/>
      <c r="J132" s="41"/>
      <c r="K132" s="42"/>
      <c r="L132" s="41"/>
      <c r="M132" s="26"/>
      <c r="N132" s="26"/>
      <c r="O132" s="27"/>
    </row>
    <row r="133" spans="1:28" ht="51" x14ac:dyDescent="0.2">
      <c r="A133" s="23" t="s">
        <v>1420</v>
      </c>
      <c r="B133" s="22" t="s">
        <v>609</v>
      </c>
      <c r="C133" s="22" t="s">
        <v>1421</v>
      </c>
      <c r="D133" s="23" t="s">
        <v>65</v>
      </c>
      <c r="E133" s="22" t="s">
        <v>1422</v>
      </c>
      <c r="F133" s="22" t="s">
        <v>1423</v>
      </c>
      <c r="G133" s="23" t="s">
        <v>1063</v>
      </c>
      <c r="H133" s="39">
        <v>20</v>
      </c>
      <c r="I133" s="40">
        <v>45</v>
      </c>
      <c r="J133" s="39">
        <v>100</v>
      </c>
      <c r="K133" s="40">
        <v>27</v>
      </c>
      <c r="L133" s="39">
        <v>63</v>
      </c>
      <c r="M133" s="22" t="s">
        <v>1167</v>
      </c>
      <c r="N133" s="22"/>
      <c r="O133" s="24" t="s">
        <v>606</v>
      </c>
      <c r="Q133" s="22" t="s">
        <v>1682</v>
      </c>
      <c r="U133" s="22">
        <v>48</v>
      </c>
      <c r="Z133" s="40">
        <f>AVERAGE(R133:Y133)</f>
        <v>48</v>
      </c>
      <c r="AA133" s="40">
        <v>45</v>
      </c>
      <c r="AB133" s="22" t="s">
        <v>1796</v>
      </c>
    </row>
    <row r="134" spans="1:28" x14ac:dyDescent="0.2">
      <c r="A134" s="23" t="s">
        <v>1424</v>
      </c>
      <c r="B134" s="22" t="s">
        <v>609</v>
      </c>
      <c r="C134" s="22" t="s">
        <v>1425</v>
      </c>
      <c r="D134" s="23" t="s">
        <v>65</v>
      </c>
      <c r="E134" s="22" t="s">
        <v>1426</v>
      </c>
      <c r="F134" s="22" t="s">
        <v>1423</v>
      </c>
      <c r="G134" s="23" t="s">
        <v>1063</v>
      </c>
      <c r="H134" s="39">
        <f>H133*0.5</f>
        <v>10</v>
      </c>
      <c r="I134" s="40">
        <f>I133*0.5</f>
        <v>22.5</v>
      </c>
      <c r="J134" s="39">
        <f>J133*0.5</f>
        <v>50</v>
      </c>
      <c r="K134" s="40">
        <f>K133*0.5</f>
        <v>13.5</v>
      </c>
      <c r="L134" s="39">
        <f>L133*0.5</f>
        <v>31.5</v>
      </c>
      <c r="M134" s="22" t="s">
        <v>1427</v>
      </c>
      <c r="N134" s="22"/>
      <c r="O134" s="24" t="s">
        <v>615</v>
      </c>
    </row>
    <row r="135" spans="1:28" ht="63.75" x14ac:dyDescent="0.2">
      <c r="A135" s="23" t="s">
        <v>1428</v>
      </c>
      <c r="B135" s="22" t="s">
        <v>609</v>
      </c>
      <c r="C135" s="22" t="s">
        <v>1429</v>
      </c>
      <c r="D135" s="23" t="s">
        <v>65</v>
      </c>
      <c r="E135" s="22" t="s">
        <v>1430</v>
      </c>
      <c r="F135" s="22" t="s">
        <v>1423</v>
      </c>
      <c r="G135" s="23" t="s">
        <v>1063</v>
      </c>
      <c r="H135" s="39">
        <f>H133*2</f>
        <v>40</v>
      </c>
      <c r="I135" s="40">
        <f>I133*2</f>
        <v>90</v>
      </c>
      <c r="J135" s="39">
        <f>J133*2</f>
        <v>200</v>
      </c>
      <c r="K135" s="40">
        <f>K133*2</f>
        <v>54</v>
      </c>
      <c r="L135" s="39">
        <f>L133*2</f>
        <v>126</v>
      </c>
      <c r="M135" s="22" t="s">
        <v>1431</v>
      </c>
      <c r="N135" s="22"/>
      <c r="O135" s="24" t="s">
        <v>618</v>
      </c>
      <c r="Q135" s="22" t="s">
        <v>1708</v>
      </c>
    </row>
    <row r="136" spans="1:28" ht="38.25" x14ac:dyDescent="0.2">
      <c r="A136" s="21" t="s">
        <v>1432</v>
      </c>
      <c r="B136" s="22" t="s">
        <v>623</v>
      </c>
      <c r="C136" s="22"/>
      <c r="D136" s="23" t="s">
        <v>65</v>
      </c>
      <c r="E136" s="22" t="s">
        <v>1433</v>
      </c>
      <c r="F136" s="22" t="s">
        <v>1434</v>
      </c>
      <c r="G136" s="23" t="s">
        <v>1063</v>
      </c>
      <c r="H136" s="39">
        <v>30</v>
      </c>
      <c r="I136" s="40">
        <v>60</v>
      </c>
      <c r="J136" s="39">
        <v>110</v>
      </c>
      <c r="K136" s="40">
        <v>20</v>
      </c>
      <c r="L136" s="39">
        <v>40</v>
      </c>
      <c r="M136" s="22" t="s">
        <v>1162</v>
      </c>
      <c r="N136" s="22" t="s">
        <v>1435</v>
      </c>
      <c r="O136" s="24" t="s">
        <v>621</v>
      </c>
      <c r="Y136" s="22">
        <v>53.7</v>
      </c>
      <c r="Z136" s="40">
        <f>AVERAGE(R136:Y136)</f>
        <v>53.7</v>
      </c>
      <c r="AA136" s="40">
        <v>60</v>
      </c>
      <c r="AB136" s="22" t="s">
        <v>1797</v>
      </c>
    </row>
    <row r="137" spans="1:28" ht="25.5" x14ac:dyDescent="0.2">
      <c r="A137" s="21" t="s">
        <v>632</v>
      </c>
      <c r="B137" s="22" t="s">
        <v>629</v>
      </c>
      <c r="C137" s="22"/>
      <c r="D137" s="23" t="s">
        <v>65</v>
      </c>
      <c r="E137" s="22" t="s">
        <v>1436</v>
      </c>
      <c r="F137" s="22" t="s">
        <v>1437</v>
      </c>
      <c r="G137" s="23" t="s">
        <v>630</v>
      </c>
      <c r="H137" s="39">
        <v>12</v>
      </c>
      <c r="I137" s="40">
        <v>25</v>
      </c>
      <c r="J137" s="39">
        <v>50</v>
      </c>
      <c r="K137" s="40">
        <v>12</v>
      </c>
      <c r="L137" s="39">
        <v>38</v>
      </c>
      <c r="M137" s="22" t="s">
        <v>1167</v>
      </c>
      <c r="N137" s="22"/>
      <c r="O137" s="24" t="s">
        <v>627</v>
      </c>
    </row>
    <row r="138" spans="1:28" x14ac:dyDescent="0.2">
      <c r="A138" s="25" t="s">
        <v>1438</v>
      </c>
      <c r="B138" s="26"/>
      <c r="C138" s="26"/>
      <c r="D138" s="25"/>
      <c r="E138" s="26"/>
      <c r="F138" s="26"/>
      <c r="G138" s="25"/>
      <c r="H138" s="41"/>
      <c r="I138" s="42"/>
      <c r="J138" s="41"/>
      <c r="K138" s="42"/>
      <c r="L138" s="41"/>
      <c r="M138" s="26"/>
      <c r="N138" s="26"/>
      <c r="O138" s="27"/>
    </row>
    <row r="139" spans="1:28" ht="25.5" x14ac:dyDescent="0.2">
      <c r="A139" s="21" t="s">
        <v>109</v>
      </c>
      <c r="B139" s="22" t="s">
        <v>637</v>
      </c>
      <c r="C139" s="22"/>
      <c r="D139" s="23" t="s">
        <v>65</v>
      </c>
      <c r="E139" s="22" t="s">
        <v>1439</v>
      </c>
      <c r="F139" s="22" t="s">
        <v>1440</v>
      </c>
      <c r="G139" s="23" t="s">
        <v>638</v>
      </c>
      <c r="H139" s="39">
        <v>7</v>
      </c>
      <c r="I139" s="40">
        <v>10</v>
      </c>
      <c r="J139" s="39">
        <v>16</v>
      </c>
      <c r="K139" s="40">
        <v>10</v>
      </c>
      <c r="L139" s="39">
        <v>16</v>
      </c>
      <c r="M139" s="22" t="s">
        <v>1167</v>
      </c>
      <c r="N139" s="22" t="s">
        <v>1441</v>
      </c>
      <c r="O139" s="24" t="s">
        <v>633</v>
      </c>
    </row>
    <row r="140" spans="1:28" ht="25.5" x14ac:dyDescent="0.2">
      <c r="A140" s="21" t="s">
        <v>663</v>
      </c>
      <c r="B140" s="22" t="s">
        <v>645</v>
      </c>
      <c r="C140" s="22"/>
      <c r="D140" s="23" t="s">
        <v>65</v>
      </c>
      <c r="E140" s="22" t="s">
        <v>1442</v>
      </c>
      <c r="F140" s="22" t="s">
        <v>1443</v>
      </c>
      <c r="G140" s="23" t="s">
        <v>638</v>
      </c>
      <c r="H140" s="39">
        <v>18</v>
      </c>
      <c r="I140" s="40">
        <v>25</v>
      </c>
      <c r="J140" s="39">
        <v>40</v>
      </c>
      <c r="K140" s="40">
        <v>25</v>
      </c>
      <c r="L140" s="39">
        <v>40</v>
      </c>
      <c r="M140" s="22" t="s">
        <v>1167</v>
      </c>
      <c r="N140" s="22" t="s">
        <v>1444</v>
      </c>
      <c r="O140" s="24" t="s">
        <v>643</v>
      </c>
    </row>
    <row r="141" spans="1:28" ht="25.5" x14ac:dyDescent="0.2">
      <c r="A141" s="21" t="s">
        <v>683</v>
      </c>
      <c r="B141" s="22" t="s">
        <v>652</v>
      </c>
      <c r="C141" s="22"/>
      <c r="D141" s="23" t="s">
        <v>65</v>
      </c>
      <c r="E141" s="22" t="s">
        <v>1445</v>
      </c>
      <c r="F141" s="22" t="s">
        <v>1446</v>
      </c>
      <c r="G141" s="23" t="s">
        <v>1063</v>
      </c>
      <c r="H141" s="39">
        <v>5</v>
      </c>
      <c r="I141" s="40">
        <v>10</v>
      </c>
      <c r="J141" s="39">
        <v>20</v>
      </c>
      <c r="K141" s="40">
        <v>13</v>
      </c>
      <c r="L141" s="39">
        <v>25</v>
      </c>
      <c r="M141" s="22" t="s">
        <v>1064</v>
      </c>
      <c r="N141" s="22" t="s">
        <v>1447</v>
      </c>
      <c r="O141" s="24" t="s">
        <v>650</v>
      </c>
      <c r="Y141" s="22">
        <v>35.4</v>
      </c>
      <c r="Z141" s="40">
        <f>AVERAGE(R141:Y141)</f>
        <v>35.4</v>
      </c>
      <c r="AA141" s="40">
        <v>10</v>
      </c>
      <c r="AB141" s="22" t="s">
        <v>1798</v>
      </c>
    </row>
    <row r="142" spans="1:28" ht="25.5" x14ac:dyDescent="0.2">
      <c r="A142" s="21" t="s">
        <v>649</v>
      </c>
      <c r="B142" s="22" t="s">
        <v>657</v>
      </c>
      <c r="C142" s="22"/>
      <c r="D142" s="23" t="s">
        <v>65</v>
      </c>
      <c r="E142" s="22" t="s">
        <v>1448</v>
      </c>
      <c r="F142" s="22" t="s">
        <v>1449</v>
      </c>
      <c r="G142" s="23" t="s">
        <v>1063</v>
      </c>
      <c r="H142" s="39">
        <v>20</v>
      </c>
      <c r="I142" s="40">
        <v>25</v>
      </c>
      <c r="J142" s="39">
        <v>50</v>
      </c>
      <c r="K142" s="40">
        <v>25</v>
      </c>
      <c r="L142" s="39">
        <v>50</v>
      </c>
      <c r="M142" s="22" t="s">
        <v>1064</v>
      </c>
      <c r="N142" s="22" t="s">
        <v>1450</v>
      </c>
      <c r="O142" s="24" t="s">
        <v>655</v>
      </c>
      <c r="Y142" s="22">
        <v>67.599999999999994</v>
      </c>
      <c r="Z142" s="40">
        <f>AVERAGE(R142:Y142)</f>
        <v>67.599999999999994</v>
      </c>
      <c r="AA142" s="40">
        <v>25</v>
      </c>
      <c r="AB142" s="22" t="s">
        <v>1799</v>
      </c>
    </row>
    <row r="143" spans="1:28" ht="38.25" x14ac:dyDescent="0.2">
      <c r="A143" s="23" t="s">
        <v>1451</v>
      </c>
      <c r="B143" s="22" t="s">
        <v>661</v>
      </c>
      <c r="C143" s="22" t="s">
        <v>1303</v>
      </c>
      <c r="D143" s="23" t="s">
        <v>65</v>
      </c>
      <c r="E143" s="22" t="s">
        <v>1452</v>
      </c>
      <c r="F143" s="22" t="s">
        <v>1453</v>
      </c>
      <c r="G143" s="23" t="s">
        <v>115</v>
      </c>
      <c r="H143" s="39"/>
      <c r="I143" s="40">
        <v>25000</v>
      </c>
      <c r="J143" s="39"/>
      <c r="K143" s="40">
        <v>25000</v>
      </c>
      <c r="L143" s="39"/>
      <c r="M143" s="22" t="s">
        <v>1162</v>
      </c>
      <c r="N143" s="22"/>
      <c r="O143" s="24" t="s">
        <v>659</v>
      </c>
    </row>
    <row r="144" spans="1:28" ht="25.5" x14ac:dyDescent="0.2">
      <c r="A144" s="23" t="s">
        <v>1454</v>
      </c>
      <c r="B144" s="22" t="s">
        <v>661</v>
      </c>
      <c r="C144" s="22" t="s">
        <v>1307</v>
      </c>
      <c r="D144" s="23" t="s">
        <v>65</v>
      </c>
      <c r="E144" s="22" t="s">
        <v>1455</v>
      </c>
      <c r="F144" s="22" t="s">
        <v>1453</v>
      </c>
      <c r="G144" s="23" t="s">
        <v>115</v>
      </c>
      <c r="H144" s="39"/>
      <c r="I144" s="40">
        <v>75000</v>
      </c>
      <c r="J144" s="39"/>
      <c r="K144" s="40">
        <v>75000</v>
      </c>
      <c r="L144" s="39"/>
      <c r="M144" s="22" t="s">
        <v>1162</v>
      </c>
      <c r="N144" s="22"/>
      <c r="O144" s="24" t="s">
        <v>665</v>
      </c>
    </row>
    <row r="145" spans="1:28" ht="25.5" x14ac:dyDescent="0.2">
      <c r="A145" s="23" t="s">
        <v>1456</v>
      </c>
      <c r="B145" s="22" t="s">
        <v>661</v>
      </c>
      <c r="C145" s="22" t="s">
        <v>1311</v>
      </c>
      <c r="D145" s="23" t="s">
        <v>65</v>
      </c>
      <c r="E145" s="22" t="s">
        <v>1457</v>
      </c>
      <c r="F145" s="22" t="s">
        <v>1453</v>
      </c>
      <c r="G145" s="23" t="s">
        <v>115</v>
      </c>
      <c r="H145" s="39"/>
      <c r="I145" s="40">
        <v>200000</v>
      </c>
      <c r="J145" s="39"/>
      <c r="K145" s="40">
        <v>200000</v>
      </c>
      <c r="L145" s="39"/>
      <c r="M145" s="22" t="s">
        <v>1162</v>
      </c>
      <c r="N145" s="22"/>
      <c r="O145" s="24" t="s">
        <v>666</v>
      </c>
    </row>
    <row r="146" spans="1:28" ht="38.25" x14ac:dyDescent="0.2">
      <c r="A146" s="23" t="s">
        <v>1458</v>
      </c>
      <c r="B146" s="22" t="s">
        <v>669</v>
      </c>
      <c r="C146" s="22" t="s">
        <v>1303</v>
      </c>
      <c r="D146" s="23" t="s">
        <v>65</v>
      </c>
      <c r="E146" s="22" t="s">
        <v>1459</v>
      </c>
      <c r="F146" s="22" t="s">
        <v>1460</v>
      </c>
      <c r="G146" s="23" t="s">
        <v>115</v>
      </c>
      <c r="H146" s="39"/>
      <c r="I146" s="40">
        <v>20000</v>
      </c>
      <c r="J146" s="39"/>
      <c r="K146" s="40">
        <v>20000</v>
      </c>
      <c r="L146" s="39"/>
      <c r="M146" s="22" t="s">
        <v>1162</v>
      </c>
      <c r="N146" s="22"/>
      <c r="O146" s="24" t="s">
        <v>667</v>
      </c>
    </row>
    <row r="147" spans="1:28" ht="25.5" x14ac:dyDescent="0.2">
      <c r="A147" s="23" t="s">
        <v>1461</v>
      </c>
      <c r="B147" s="22" t="s">
        <v>669</v>
      </c>
      <c r="C147" s="22" t="s">
        <v>1307</v>
      </c>
      <c r="D147" s="23" t="s">
        <v>65</v>
      </c>
      <c r="E147" s="22" t="s">
        <v>1462</v>
      </c>
      <c r="F147" s="22" t="s">
        <v>1460</v>
      </c>
      <c r="G147" s="23" t="s">
        <v>115</v>
      </c>
      <c r="H147" s="39"/>
      <c r="I147" s="40">
        <v>60000</v>
      </c>
      <c r="J147" s="39"/>
      <c r="K147" s="40">
        <v>60000</v>
      </c>
      <c r="L147" s="39"/>
      <c r="M147" s="22" t="s">
        <v>1162</v>
      </c>
      <c r="N147" s="22"/>
      <c r="O147" s="24" t="s">
        <v>671</v>
      </c>
    </row>
    <row r="148" spans="1:28" ht="25.5" x14ac:dyDescent="0.2">
      <c r="A148" s="23" t="s">
        <v>1463</v>
      </c>
      <c r="B148" s="22" t="s">
        <v>669</v>
      </c>
      <c r="C148" s="22" t="s">
        <v>1311</v>
      </c>
      <c r="D148" s="23" t="s">
        <v>65</v>
      </c>
      <c r="E148" s="22" t="s">
        <v>1464</v>
      </c>
      <c r="F148" s="22" t="s">
        <v>1460</v>
      </c>
      <c r="G148" s="23" t="s">
        <v>115</v>
      </c>
      <c r="H148" s="39"/>
      <c r="I148" s="40">
        <v>150000</v>
      </c>
      <c r="J148" s="39"/>
      <c r="K148" s="40">
        <v>150000</v>
      </c>
      <c r="L148" s="39"/>
      <c r="M148" s="22" t="s">
        <v>1162</v>
      </c>
      <c r="N148" s="22"/>
      <c r="O148" s="24" t="s">
        <v>672</v>
      </c>
    </row>
    <row r="149" spans="1:28" ht="25.5" x14ac:dyDescent="0.2">
      <c r="A149" s="21" t="s">
        <v>438</v>
      </c>
      <c r="B149" s="22" t="s">
        <v>676</v>
      </c>
      <c r="C149" s="22"/>
      <c r="D149" s="23" t="s">
        <v>65</v>
      </c>
      <c r="E149" s="22" t="s">
        <v>1465</v>
      </c>
      <c r="F149" s="22" t="s">
        <v>1466</v>
      </c>
      <c r="G149" s="23" t="s">
        <v>677</v>
      </c>
      <c r="H149" s="39">
        <v>35</v>
      </c>
      <c r="I149" s="40">
        <v>50</v>
      </c>
      <c r="J149" s="39">
        <v>80</v>
      </c>
      <c r="K149" s="40">
        <v>50</v>
      </c>
      <c r="L149" s="39">
        <v>80</v>
      </c>
      <c r="M149" s="22" t="s">
        <v>1167</v>
      </c>
      <c r="N149" s="22" t="s">
        <v>1467</v>
      </c>
      <c r="O149" s="24" t="s">
        <v>673</v>
      </c>
    </row>
    <row r="150" spans="1:28" ht="25.5" x14ac:dyDescent="0.2">
      <c r="A150" s="21" t="s">
        <v>714</v>
      </c>
      <c r="B150" s="22" t="s">
        <v>681</v>
      </c>
      <c r="C150" s="22"/>
      <c r="D150" s="23" t="s">
        <v>65</v>
      </c>
      <c r="E150" s="22" t="s">
        <v>1468</v>
      </c>
      <c r="F150" s="22" t="s">
        <v>1469</v>
      </c>
      <c r="G150" s="23" t="s">
        <v>1470</v>
      </c>
      <c r="H150" s="39">
        <v>1000</v>
      </c>
      <c r="I150" s="40">
        <v>1800</v>
      </c>
      <c r="J150" s="39">
        <v>2800</v>
      </c>
      <c r="K150" s="40">
        <v>1000</v>
      </c>
      <c r="L150" s="39">
        <v>1800</v>
      </c>
      <c r="M150" s="22" t="s">
        <v>1167</v>
      </c>
      <c r="N150" s="22" t="s">
        <v>1471</v>
      </c>
      <c r="O150" s="24" t="s">
        <v>679</v>
      </c>
    </row>
    <row r="151" spans="1:28" x14ac:dyDescent="0.2">
      <c r="A151" s="21" t="s">
        <v>719</v>
      </c>
      <c r="B151" s="22" t="s">
        <v>686</v>
      </c>
      <c r="C151" s="22"/>
      <c r="D151" s="23" t="s">
        <v>65</v>
      </c>
      <c r="E151" s="22" t="s">
        <v>1472</v>
      </c>
      <c r="F151" s="22" t="s">
        <v>1473</v>
      </c>
      <c r="G151" s="23" t="s">
        <v>1474</v>
      </c>
      <c r="H151" s="39"/>
      <c r="I151" s="40">
        <v>0</v>
      </c>
      <c r="J151" s="39"/>
      <c r="K151" s="40">
        <v>90</v>
      </c>
      <c r="L151" s="39">
        <v>130</v>
      </c>
      <c r="M151" s="22" t="s">
        <v>1167</v>
      </c>
      <c r="N151" s="22" t="s">
        <v>1475</v>
      </c>
      <c r="O151" s="24" t="s">
        <v>684</v>
      </c>
    </row>
    <row r="152" spans="1:28" ht="51" x14ac:dyDescent="0.2">
      <c r="A152" s="21" t="s">
        <v>688</v>
      </c>
      <c r="B152" s="22" t="s">
        <v>691</v>
      </c>
      <c r="C152" s="22"/>
      <c r="D152" s="23" t="s">
        <v>65</v>
      </c>
      <c r="E152" s="22" t="s">
        <v>1476</v>
      </c>
      <c r="F152" s="22" t="s">
        <v>1477</v>
      </c>
      <c r="G152" s="23" t="s">
        <v>1478</v>
      </c>
      <c r="H152" s="39">
        <v>21</v>
      </c>
      <c r="I152" s="40">
        <v>30</v>
      </c>
      <c r="J152" s="39">
        <v>48</v>
      </c>
      <c r="K152" s="40">
        <v>30</v>
      </c>
      <c r="L152" s="39">
        <v>48</v>
      </c>
      <c r="M152" s="22" t="s">
        <v>1167</v>
      </c>
      <c r="N152" s="22" t="s">
        <v>1479</v>
      </c>
      <c r="O152" s="24" t="s">
        <v>689</v>
      </c>
      <c r="Q152" s="22" t="s">
        <v>1719</v>
      </c>
      <c r="R152" s="22">
        <v>2.1</v>
      </c>
      <c r="Z152" s="40">
        <f>AVERAGE(R152:Y152)</f>
        <v>2.1</v>
      </c>
      <c r="AA152" s="40">
        <v>30</v>
      </c>
      <c r="AB152" s="22" t="s">
        <v>1800</v>
      </c>
    </row>
    <row r="153" spans="1:28" ht="25.5" x14ac:dyDescent="0.2">
      <c r="A153" s="21" t="s">
        <v>724</v>
      </c>
      <c r="B153" s="22" t="s">
        <v>695</v>
      </c>
      <c r="C153" s="22"/>
      <c r="D153" s="23" t="s">
        <v>65</v>
      </c>
      <c r="E153" s="22" t="s">
        <v>1480</v>
      </c>
      <c r="F153" s="22" t="s">
        <v>1481</v>
      </c>
      <c r="G153" s="23" t="s">
        <v>696</v>
      </c>
      <c r="H153" s="39">
        <v>42</v>
      </c>
      <c r="I153" s="40">
        <v>95</v>
      </c>
      <c r="J153" s="39">
        <v>200</v>
      </c>
      <c r="K153" s="40">
        <v>95</v>
      </c>
      <c r="L153" s="39">
        <v>200</v>
      </c>
      <c r="M153" s="22" t="s">
        <v>1167</v>
      </c>
      <c r="N153" s="22" t="s">
        <v>1482</v>
      </c>
      <c r="O153" s="24" t="s">
        <v>693</v>
      </c>
    </row>
    <row r="154" spans="1:28" ht="38.25" x14ac:dyDescent="0.2">
      <c r="A154" s="23" t="s">
        <v>1483</v>
      </c>
      <c r="B154" s="22" t="s">
        <v>701</v>
      </c>
      <c r="C154" s="22" t="s">
        <v>1303</v>
      </c>
      <c r="D154" s="23" t="s">
        <v>65</v>
      </c>
      <c r="E154" s="22" t="s">
        <v>1484</v>
      </c>
      <c r="F154" s="22" t="s">
        <v>1485</v>
      </c>
      <c r="G154" s="23" t="s">
        <v>115</v>
      </c>
      <c r="H154" s="40">
        <v>0</v>
      </c>
      <c r="I154" s="40">
        <v>0</v>
      </c>
      <c r="J154" s="40">
        <v>0</v>
      </c>
      <c r="K154" s="40">
        <v>10000</v>
      </c>
      <c r="L154" s="39"/>
      <c r="M154" s="22" t="s">
        <v>1162</v>
      </c>
      <c r="N154" s="22"/>
      <c r="O154" s="24" t="s">
        <v>699</v>
      </c>
    </row>
    <row r="155" spans="1:28" ht="25.5" x14ac:dyDescent="0.2">
      <c r="A155" s="23" t="s">
        <v>1486</v>
      </c>
      <c r="B155" s="22" t="s">
        <v>701</v>
      </c>
      <c r="C155" s="22" t="s">
        <v>1307</v>
      </c>
      <c r="D155" s="23" t="s">
        <v>65</v>
      </c>
      <c r="E155" s="22" t="s">
        <v>1487</v>
      </c>
      <c r="F155" s="22" t="s">
        <v>1485</v>
      </c>
      <c r="G155" s="23" t="s">
        <v>115</v>
      </c>
      <c r="H155" s="40">
        <v>0</v>
      </c>
      <c r="I155" s="40">
        <v>0</v>
      </c>
      <c r="J155" s="40">
        <v>0</v>
      </c>
      <c r="K155" s="40">
        <v>40000</v>
      </c>
      <c r="L155" s="39"/>
      <c r="M155" s="22" t="s">
        <v>1162</v>
      </c>
      <c r="N155" s="22"/>
      <c r="O155" s="24" t="s">
        <v>704</v>
      </c>
    </row>
    <row r="156" spans="1:28" ht="25.5" x14ac:dyDescent="0.2">
      <c r="A156" s="23" t="s">
        <v>1488</v>
      </c>
      <c r="B156" s="22" t="s">
        <v>701</v>
      </c>
      <c r="C156" s="22" t="s">
        <v>1311</v>
      </c>
      <c r="D156" s="23" t="s">
        <v>65</v>
      </c>
      <c r="E156" s="22" t="s">
        <v>1489</v>
      </c>
      <c r="F156" s="22" t="s">
        <v>1485</v>
      </c>
      <c r="G156" s="23" t="s">
        <v>115</v>
      </c>
      <c r="H156" s="40">
        <v>0</v>
      </c>
      <c r="I156" s="40">
        <v>0</v>
      </c>
      <c r="J156" s="40">
        <v>0</v>
      </c>
      <c r="K156" s="40">
        <v>120000</v>
      </c>
      <c r="L156" s="39"/>
      <c r="M156" s="22" t="s">
        <v>1162</v>
      </c>
      <c r="N156" s="22"/>
      <c r="O156" s="24" t="s">
        <v>705</v>
      </c>
    </row>
    <row r="157" spans="1:28" ht="25.5" x14ac:dyDescent="0.2">
      <c r="A157" s="21" t="s">
        <v>698</v>
      </c>
      <c r="B157" s="22" t="s">
        <v>709</v>
      </c>
      <c r="C157" s="22"/>
      <c r="D157" s="23" t="s">
        <v>65</v>
      </c>
      <c r="E157" s="22" t="s">
        <v>1490</v>
      </c>
      <c r="F157" s="22" t="s">
        <v>1491</v>
      </c>
      <c r="G157" s="23" t="s">
        <v>710</v>
      </c>
      <c r="H157" s="39">
        <v>60</v>
      </c>
      <c r="I157" s="40">
        <v>110</v>
      </c>
      <c r="J157" s="39">
        <v>200</v>
      </c>
      <c r="K157" s="40">
        <v>110</v>
      </c>
      <c r="L157" s="39">
        <v>200</v>
      </c>
      <c r="M157" s="22" t="s">
        <v>1162</v>
      </c>
      <c r="N157" s="22" t="s">
        <v>1492</v>
      </c>
      <c r="O157" s="24" t="s">
        <v>706</v>
      </c>
    </row>
    <row r="158" spans="1:28" ht="38.25" x14ac:dyDescent="0.2">
      <c r="A158" s="21" t="s">
        <v>664</v>
      </c>
      <c r="B158" s="22" t="s">
        <v>717</v>
      </c>
      <c r="C158" s="22"/>
      <c r="D158" s="23" t="s">
        <v>65</v>
      </c>
      <c r="E158" s="22" t="s">
        <v>1493</v>
      </c>
      <c r="F158" s="22" t="s">
        <v>1494</v>
      </c>
      <c r="G158" s="23" t="s">
        <v>638</v>
      </c>
      <c r="H158" s="39">
        <v>7</v>
      </c>
      <c r="I158" s="40">
        <v>10</v>
      </c>
      <c r="J158" s="39">
        <v>16</v>
      </c>
      <c r="K158" s="40">
        <v>10</v>
      </c>
      <c r="L158" s="39">
        <v>16</v>
      </c>
      <c r="M158" s="22" t="s">
        <v>1167</v>
      </c>
      <c r="N158" s="22" t="s">
        <v>1495</v>
      </c>
      <c r="O158" s="24" t="s">
        <v>715</v>
      </c>
      <c r="Q158" s="22" t="s">
        <v>1657</v>
      </c>
    </row>
    <row r="159" spans="1:28" x14ac:dyDescent="0.2">
      <c r="A159" s="21" t="s">
        <v>670</v>
      </c>
      <c r="B159" s="22" t="s">
        <v>722</v>
      </c>
      <c r="C159" s="22"/>
      <c r="D159" s="23" t="s">
        <v>65</v>
      </c>
      <c r="E159" s="22" t="s">
        <v>1496</v>
      </c>
      <c r="F159" s="22" t="s">
        <v>1497</v>
      </c>
      <c r="G159" s="23" t="s">
        <v>1470</v>
      </c>
      <c r="H159" s="39">
        <v>210</v>
      </c>
      <c r="I159" s="40">
        <v>240</v>
      </c>
      <c r="J159" s="39">
        <v>480</v>
      </c>
      <c r="K159" s="40">
        <v>240</v>
      </c>
      <c r="L159" s="39">
        <v>480</v>
      </c>
      <c r="M159" s="22" t="s">
        <v>1167</v>
      </c>
      <c r="N159" s="22" t="s">
        <v>1498</v>
      </c>
      <c r="O159" s="24" t="s">
        <v>720</v>
      </c>
    </row>
  </sheetData>
  <autoFilter ref="A5:O159" xr:uid="{61613224-FE41-4C03-8B46-4109509C3076}"/>
  <dataValidations count="1">
    <dataValidation type="list" errorStyle="warning" allowBlank="1" showInputMessage="1" sqref="M6:M159" xr:uid="{793A7B5B-A444-437A-BF69-7D12AB43CAD4}">
      <formula1>"Your figure,Spon's-based (approved),Kept after Spon's check,Older workbook (v4.5),Unverified †,Tender – Lakeside S&amp;F (Sep 2026)"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2"/>
  <sheetViews>
    <sheetView zoomScaleNormal="100" workbookViewId="0">
      <pane ySplit="3" topLeftCell="A28" activePane="bottomLeft" state="frozen"/>
      <selection pane="bottomLeft" activeCell="A190" sqref="A190:XFD190"/>
    </sheetView>
  </sheetViews>
  <sheetFormatPr defaultColWidth="8.7109375" defaultRowHeight="15" x14ac:dyDescent="0.25"/>
  <cols>
    <col min="1" max="1" width="22" customWidth="1"/>
    <col min="2" max="2" width="34" customWidth="1"/>
    <col min="3" max="3" width="24" customWidth="1"/>
    <col min="4" max="4" width="44" customWidth="1"/>
    <col min="5" max="5" width="18" customWidth="1"/>
    <col min="6" max="6" width="20" customWidth="1"/>
    <col min="7" max="7" width="50" customWidth="1"/>
  </cols>
  <sheetData>
    <row r="1" spans="1:7" ht="18" x14ac:dyDescent="0.25">
      <c r="A1" s="1" t="s">
        <v>734</v>
      </c>
    </row>
    <row r="2" spans="1:7" x14ac:dyDescent="0.25">
      <c r="A2" s="5" t="s">
        <v>735</v>
      </c>
    </row>
    <row r="4" spans="1:7" x14ac:dyDescent="0.25">
      <c r="A4" s="3" t="s">
        <v>736</v>
      </c>
      <c r="B4" s="3" t="s">
        <v>737</v>
      </c>
      <c r="C4" s="4"/>
      <c r="D4" s="4"/>
      <c r="E4" s="4"/>
      <c r="F4" s="4"/>
      <c r="G4" s="4"/>
    </row>
    <row r="5" spans="1:7" x14ac:dyDescent="0.25">
      <c r="A5" s="6" t="s">
        <v>738</v>
      </c>
      <c r="B5" s="6" t="s">
        <v>739</v>
      </c>
      <c r="C5" s="6" t="s">
        <v>57</v>
      </c>
    </row>
    <row r="6" spans="1:7" ht="38.25" x14ac:dyDescent="0.25">
      <c r="A6" s="2" t="s">
        <v>740</v>
      </c>
      <c r="B6" s="61">
        <v>5.27</v>
      </c>
      <c r="C6" s="2" t="s">
        <v>741</v>
      </c>
    </row>
    <row r="7" spans="1:7" x14ac:dyDescent="0.25">
      <c r="A7" s="2" t="s">
        <v>742</v>
      </c>
      <c r="B7" s="62">
        <v>46307</v>
      </c>
      <c r="C7" s="2"/>
    </row>
    <row r="8" spans="1:7" x14ac:dyDescent="0.25">
      <c r="A8" s="2" t="s">
        <v>744</v>
      </c>
      <c r="B8" s="2" t="s">
        <v>745</v>
      </c>
      <c r="C8" s="2"/>
    </row>
    <row r="10" spans="1:7" x14ac:dyDescent="0.25">
      <c r="A10" s="3" t="s">
        <v>746</v>
      </c>
      <c r="B10" s="3" t="s">
        <v>1522</v>
      </c>
      <c r="C10" s="4"/>
      <c r="D10" s="4"/>
      <c r="E10" s="4"/>
      <c r="F10" s="4"/>
      <c r="G10" s="4"/>
    </row>
    <row r="11" spans="1:7" x14ac:dyDescent="0.25">
      <c r="A11" s="6" t="s">
        <v>747</v>
      </c>
      <c r="B11" s="6" t="s">
        <v>748</v>
      </c>
      <c r="C11" s="6" t="s">
        <v>749</v>
      </c>
      <c r="D11" s="6" t="s">
        <v>57</v>
      </c>
    </row>
    <row r="12" spans="1:7" x14ac:dyDescent="0.25">
      <c r="A12" s="2" t="s">
        <v>299</v>
      </c>
      <c r="B12" s="2" t="s">
        <v>750</v>
      </c>
      <c r="C12" s="2" t="s">
        <v>66</v>
      </c>
      <c r="D12" s="2"/>
    </row>
    <row r="13" spans="1:7" ht="25.5" x14ac:dyDescent="0.25">
      <c r="A13" s="2" t="s">
        <v>302</v>
      </c>
      <c r="B13" s="2" t="s">
        <v>751</v>
      </c>
      <c r="C13" s="2" t="s">
        <v>66</v>
      </c>
      <c r="D13" s="2"/>
    </row>
    <row r="14" spans="1:7" x14ac:dyDescent="0.25">
      <c r="A14" s="2" t="s">
        <v>752</v>
      </c>
      <c r="B14" s="2" t="s">
        <v>753</v>
      </c>
      <c r="C14" s="2" t="s">
        <v>107</v>
      </c>
      <c r="D14" s="2"/>
    </row>
    <row r="15" spans="1:7" x14ac:dyDescent="0.25">
      <c r="A15" s="2" t="s">
        <v>754</v>
      </c>
      <c r="B15" s="2" t="s">
        <v>755</v>
      </c>
      <c r="C15" s="2" t="s">
        <v>107</v>
      </c>
      <c r="D15" s="2"/>
    </row>
    <row r="16" spans="1:7" x14ac:dyDescent="0.25">
      <c r="A16" s="2" t="s">
        <v>246</v>
      </c>
      <c r="B16" s="2" t="s">
        <v>756</v>
      </c>
      <c r="C16" s="2" t="s">
        <v>107</v>
      </c>
      <c r="D16" s="2"/>
    </row>
    <row r="17" spans="1:7" x14ac:dyDescent="0.25">
      <c r="A17" s="2" t="s">
        <v>338</v>
      </c>
      <c r="B17" s="2" t="s">
        <v>334</v>
      </c>
      <c r="C17" s="2" t="s">
        <v>107</v>
      </c>
      <c r="D17" s="2"/>
    </row>
    <row r="18" spans="1:7" x14ac:dyDescent="0.25">
      <c r="A18" s="2" t="s">
        <v>345</v>
      </c>
      <c r="B18" s="2" t="s">
        <v>757</v>
      </c>
      <c r="C18" s="2" t="s">
        <v>107</v>
      </c>
      <c r="D18" s="2"/>
    </row>
    <row r="19" spans="1:7" x14ac:dyDescent="0.25">
      <c r="A19" s="2" t="s">
        <v>245</v>
      </c>
      <c r="B19" s="2" t="s">
        <v>758</v>
      </c>
      <c r="C19" s="2" t="s">
        <v>107</v>
      </c>
      <c r="D19" s="2"/>
    </row>
    <row r="20" spans="1:7" x14ac:dyDescent="0.25">
      <c r="A20" s="2" t="s">
        <v>759</v>
      </c>
      <c r="B20" s="2" t="s">
        <v>760</v>
      </c>
      <c r="C20" s="2" t="s">
        <v>107</v>
      </c>
      <c r="D20" s="2" t="s">
        <v>761</v>
      </c>
    </row>
    <row r="21" spans="1:7" x14ac:dyDescent="0.25">
      <c r="A21" s="2" t="s">
        <v>762</v>
      </c>
      <c r="B21" s="2" t="s">
        <v>763</v>
      </c>
      <c r="C21" s="2" t="s">
        <v>107</v>
      </c>
      <c r="D21" s="2" t="s">
        <v>761</v>
      </c>
    </row>
    <row r="22" spans="1:7" ht="25.5" x14ac:dyDescent="0.25">
      <c r="A22" s="2" t="s">
        <v>65</v>
      </c>
      <c r="B22" s="2" t="s">
        <v>764</v>
      </c>
      <c r="C22" s="2"/>
      <c r="D22" s="2" t="s">
        <v>1523</v>
      </c>
    </row>
    <row r="24" spans="1:7" x14ac:dyDescent="0.25">
      <c r="A24" s="3" t="s">
        <v>765</v>
      </c>
      <c r="B24" s="3" t="s">
        <v>1524</v>
      </c>
      <c r="C24" s="4"/>
      <c r="D24" s="4"/>
      <c r="E24" s="4"/>
      <c r="F24" s="4"/>
      <c r="G24" s="4"/>
    </row>
    <row r="25" spans="1:7" ht="25.5" x14ac:dyDescent="0.25">
      <c r="A25" s="6" t="s">
        <v>747</v>
      </c>
      <c r="B25" s="6" t="s">
        <v>766</v>
      </c>
      <c r="C25" s="6" t="s">
        <v>767</v>
      </c>
      <c r="D25" s="6" t="s">
        <v>768</v>
      </c>
      <c r="E25" s="6" t="s">
        <v>769</v>
      </c>
      <c r="F25" s="6" t="s">
        <v>770</v>
      </c>
      <c r="G25" s="6" t="s">
        <v>57</v>
      </c>
    </row>
    <row r="26" spans="1:7" ht="25.5" x14ac:dyDescent="0.25">
      <c r="A26" s="2" t="s">
        <v>515</v>
      </c>
      <c r="B26" s="2" t="s">
        <v>771</v>
      </c>
      <c r="C26" s="2" t="s">
        <v>1057</v>
      </c>
      <c r="D26" s="2" t="s">
        <v>1057</v>
      </c>
      <c r="E26" s="2" t="s">
        <v>1058</v>
      </c>
      <c r="F26" s="2" t="s">
        <v>107</v>
      </c>
      <c r="G26" s="2" t="s">
        <v>1518</v>
      </c>
    </row>
    <row r="27" spans="1:7" ht="25.5" x14ac:dyDescent="0.25">
      <c r="A27" s="2" t="s">
        <v>772</v>
      </c>
      <c r="B27" s="2" t="s">
        <v>773</v>
      </c>
      <c r="C27" s="2" t="s">
        <v>1057</v>
      </c>
      <c r="D27" s="2" t="s">
        <v>1057</v>
      </c>
      <c r="E27" s="2" t="s">
        <v>1058</v>
      </c>
      <c r="F27" s="2" t="s">
        <v>107</v>
      </c>
      <c r="G27" s="2" t="s">
        <v>1519</v>
      </c>
    </row>
    <row r="28" spans="1:7" ht="25.5" x14ac:dyDescent="0.25">
      <c r="A28" s="2" t="s">
        <v>774</v>
      </c>
      <c r="B28" s="2" t="s">
        <v>775</v>
      </c>
      <c r="C28" s="2" t="s">
        <v>1054</v>
      </c>
      <c r="D28" s="2" t="s">
        <v>1055</v>
      </c>
      <c r="E28" s="2" t="s">
        <v>1056</v>
      </c>
      <c r="F28" s="2" t="s">
        <v>66</v>
      </c>
      <c r="G28" s="2"/>
    </row>
    <row r="29" spans="1:7" ht="25.5" x14ac:dyDescent="0.25">
      <c r="A29" s="2" t="s">
        <v>776</v>
      </c>
      <c r="B29" s="2" t="s">
        <v>777</v>
      </c>
      <c r="C29" s="2" t="s">
        <v>1054</v>
      </c>
      <c r="D29" s="2" t="s">
        <v>1055</v>
      </c>
      <c r="E29" s="2" t="s">
        <v>1056</v>
      </c>
      <c r="F29" s="2" t="s">
        <v>66</v>
      </c>
      <c r="G29" s="2" t="s">
        <v>1520</v>
      </c>
    </row>
    <row r="30" spans="1:7" ht="25.5" x14ac:dyDescent="0.25">
      <c r="A30" s="2" t="s">
        <v>778</v>
      </c>
      <c r="B30" s="2" t="s">
        <v>779</v>
      </c>
      <c r="C30" s="2" t="s">
        <v>1057</v>
      </c>
      <c r="D30" s="2" t="s">
        <v>1057</v>
      </c>
      <c r="E30" s="2" t="s">
        <v>1057</v>
      </c>
      <c r="F30" s="2" t="s">
        <v>107</v>
      </c>
      <c r="G30" s="2" t="s">
        <v>1521</v>
      </c>
    </row>
    <row r="31" spans="1:7" ht="25.5" x14ac:dyDescent="0.25">
      <c r="A31" s="2" t="s">
        <v>79</v>
      </c>
      <c r="B31" s="2" t="s">
        <v>780</v>
      </c>
      <c r="C31" s="2" t="s">
        <v>1054</v>
      </c>
      <c r="D31" s="2" t="s">
        <v>1055</v>
      </c>
      <c r="E31" s="2" t="s">
        <v>1056</v>
      </c>
      <c r="F31" s="2" t="s">
        <v>107</v>
      </c>
      <c r="G31" s="2"/>
    </row>
    <row r="32" spans="1:7" ht="25.5" x14ac:dyDescent="0.25">
      <c r="A32" s="2" t="s">
        <v>781</v>
      </c>
      <c r="B32" s="2" t="s">
        <v>782</v>
      </c>
      <c r="C32" s="2" t="s">
        <v>783</v>
      </c>
      <c r="D32" s="2" t="s">
        <v>783</v>
      </c>
      <c r="E32" s="2" t="s">
        <v>783</v>
      </c>
      <c r="F32" s="2" t="s">
        <v>107</v>
      </c>
      <c r="G32" s="2" t="s">
        <v>784</v>
      </c>
    </row>
    <row r="34" spans="1:7" x14ac:dyDescent="0.25">
      <c r="A34" s="3" t="s">
        <v>785</v>
      </c>
      <c r="B34" s="3" t="s">
        <v>786</v>
      </c>
      <c r="C34" s="4"/>
      <c r="D34" s="4"/>
      <c r="E34" s="4"/>
      <c r="F34" s="4"/>
      <c r="G34" s="4"/>
    </row>
    <row r="35" spans="1:7" x14ac:dyDescent="0.25">
      <c r="A35" s="6" t="s">
        <v>787</v>
      </c>
      <c r="B35" s="6" t="s">
        <v>788</v>
      </c>
    </row>
    <row r="36" spans="1:7" ht="51" x14ac:dyDescent="0.25">
      <c r="A36" s="2" t="s">
        <v>789</v>
      </c>
      <c r="B36" s="2" t="s">
        <v>790</v>
      </c>
    </row>
    <row r="37" spans="1:7" ht="38.25" x14ac:dyDescent="0.25">
      <c r="A37" s="2" t="s">
        <v>64</v>
      </c>
      <c r="B37" s="2" t="s">
        <v>791</v>
      </c>
    </row>
    <row r="38" spans="1:7" ht="51" x14ac:dyDescent="0.25">
      <c r="A38" s="2" t="s">
        <v>792</v>
      </c>
      <c r="B38" s="2" t="s">
        <v>793</v>
      </c>
    </row>
    <row r="40" spans="1:7" x14ac:dyDescent="0.25">
      <c r="A40" s="3" t="s">
        <v>794</v>
      </c>
      <c r="B40" s="3" t="s">
        <v>795</v>
      </c>
      <c r="C40" s="4"/>
      <c r="D40" s="4"/>
      <c r="E40" s="4"/>
      <c r="F40" s="4"/>
      <c r="G40" s="4"/>
    </row>
    <row r="41" spans="1:7" ht="25.5" x14ac:dyDescent="0.25">
      <c r="A41" s="6" t="s">
        <v>787</v>
      </c>
      <c r="B41" s="6" t="s">
        <v>796</v>
      </c>
      <c r="C41" s="6" t="s">
        <v>797</v>
      </c>
      <c r="D41" s="6" t="s">
        <v>788</v>
      </c>
      <c r="E41" s="6" t="s">
        <v>798</v>
      </c>
    </row>
    <row r="42" spans="1:7" ht="38.25" x14ac:dyDescent="0.25">
      <c r="A42" s="2">
        <v>1</v>
      </c>
      <c r="B42" s="2" t="s">
        <v>799</v>
      </c>
      <c r="C42" s="2">
        <v>0.8</v>
      </c>
      <c r="D42" s="2" t="s">
        <v>800</v>
      </c>
      <c r="E42" s="2">
        <v>0.5</v>
      </c>
    </row>
    <row r="43" spans="1:7" ht="51" x14ac:dyDescent="0.25">
      <c r="A43" s="2">
        <v>2</v>
      </c>
      <c r="B43" s="2" t="s">
        <v>801</v>
      </c>
      <c r="C43" s="2">
        <v>0.9</v>
      </c>
      <c r="D43" s="2" t="s">
        <v>802</v>
      </c>
      <c r="E43" s="2">
        <v>0.7</v>
      </c>
    </row>
    <row r="44" spans="1:7" ht="63.75" x14ac:dyDescent="0.25">
      <c r="A44" s="2">
        <v>3</v>
      </c>
      <c r="B44" s="2" t="s">
        <v>803</v>
      </c>
      <c r="C44" s="2">
        <v>1</v>
      </c>
      <c r="D44" s="2" t="s">
        <v>804</v>
      </c>
      <c r="E44" s="2">
        <v>1</v>
      </c>
    </row>
    <row r="45" spans="1:7" ht="63.75" x14ac:dyDescent="0.25">
      <c r="A45" s="2">
        <v>4</v>
      </c>
      <c r="B45" s="2" t="s">
        <v>805</v>
      </c>
      <c r="C45" s="2">
        <v>1.1499999999999999</v>
      </c>
      <c r="D45" s="2" t="s">
        <v>806</v>
      </c>
      <c r="E45" s="2">
        <v>1.3</v>
      </c>
    </row>
    <row r="47" spans="1:7" x14ac:dyDescent="0.25">
      <c r="A47" s="3" t="s">
        <v>807</v>
      </c>
      <c r="B47" s="3" t="s">
        <v>1045</v>
      </c>
      <c r="C47" s="4"/>
      <c r="D47" s="4"/>
      <c r="E47" s="4"/>
      <c r="F47" s="4"/>
      <c r="G47" s="4"/>
    </row>
    <row r="48" spans="1:7" x14ac:dyDescent="0.25">
      <c r="A48" s="6" t="s">
        <v>808</v>
      </c>
      <c r="B48" s="6" t="s">
        <v>809</v>
      </c>
      <c r="C48" s="6" t="s">
        <v>810</v>
      </c>
      <c r="D48" s="6" t="s">
        <v>792</v>
      </c>
      <c r="E48" s="6" t="s">
        <v>811</v>
      </c>
    </row>
    <row r="49" spans="1:7" x14ac:dyDescent="0.25">
      <c r="A49" s="2" t="s">
        <v>812</v>
      </c>
      <c r="B49" s="2" t="s">
        <v>813</v>
      </c>
      <c r="C49" s="2">
        <v>1.2</v>
      </c>
      <c r="D49" s="2">
        <v>1.3</v>
      </c>
      <c r="E49" s="2">
        <v>1.25</v>
      </c>
    </row>
    <row r="50" spans="1:7" ht="25.5" x14ac:dyDescent="0.25">
      <c r="A50" s="2" t="s">
        <v>814</v>
      </c>
      <c r="B50" s="2" t="s">
        <v>815</v>
      </c>
      <c r="C50" s="2">
        <v>1.1000000000000001</v>
      </c>
      <c r="D50" s="2">
        <v>1.2</v>
      </c>
      <c r="E50" s="2">
        <v>1.1499999999999999</v>
      </c>
    </row>
    <row r="51" spans="1:7" ht="25.5" x14ac:dyDescent="0.25">
      <c r="A51" s="2" t="s">
        <v>816</v>
      </c>
      <c r="B51" s="2" t="s">
        <v>1043</v>
      </c>
      <c r="C51" s="2">
        <v>1.05</v>
      </c>
      <c r="D51" s="2">
        <v>1.1200000000000001</v>
      </c>
      <c r="E51" s="2">
        <v>1.08</v>
      </c>
    </row>
    <row r="52" spans="1:7" x14ac:dyDescent="0.25">
      <c r="A52" s="2" t="s">
        <v>817</v>
      </c>
      <c r="B52" s="2" t="s">
        <v>818</v>
      </c>
      <c r="C52" s="2">
        <v>1</v>
      </c>
      <c r="D52" s="2">
        <v>1.05</v>
      </c>
      <c r="E52" s="2">
        <v>1.03</v>
      </c>
    </row>
    <row r="53" spans="1:7" ht="38.25" x14ac:dyDescent="0.25">
      <c r="A53" s="2" t="s">
        <v>819</v>
      </c>
      <c r="B53" s="2" t="s">
        <v>1041</v>
      </c>
      <c r="C53" s="2">
        <v>0.92</v>
      </c>
      <c r="D53" s="2">
        <v>0.97</v>
      </c>
      <c r="E53" s="2">
        <v>0.94</v>
      </c>
    </row>
    <row r="54" spans="1:7" x14ac:dyDescent="0.25">
      <c r="A54" s="2" t="s">
        <v>820</v>
      </c>
      <c r="B54" s="2" t="s">
        <v>821</v>
      </c>
      <c r="C54" s="2">
        <v>0.91</v>
      </c>
      <c r="D54" s="2">
        <v>0.96</v>
      </c>
      <c r="E54" s="2">
        <v>0.93</v>
      </c>
    </row>
    <row r="55" spans="1:7" x14ac:dyDescent="0.25">
      <c r="A55" s="2" t="s">
        <v>822</v>
      </c>
      <c r="B55" s="2" t="s">
        <v>823</v>
      </c>
      <c r="C55" s="2">
        <v>0.88</v>
      </c>
      <c r="D55" s="2">
        <v>0.93</v>
      </c>
      <c r="E55" s="2">
        <v>0.9</v>
      </c>
    </row>
    <row r="56" spans="1:7" ht="25.5" x14ac:dyDescent="0.25">
      <c r="A56" s="2" t="s">
        <v>824</v>
      </c>
      <c r="B56" s="2" t="s">
        <v>1042</v>
      </c>
      <c r="C56" s="2">
        <v>0.9</v>
      </c>
      <c r="D56" s="2">
        <v>0.95</v>
      </c>
      <c r="E56" s="2">
        <v>0.92</v>
      </c>
    </row>
    <row r="57" spans="1:7" x14ac:dyDescent="0.25">
      <c r="A57" s="2" t="s">
        <v>825</v>
      </c>
      <c r="B57" s="2" t="s">
        <v>826</v>
      </c>
      <c r="C57" s="2">
        <v>0.87</v>
      </c>
      <c r="D57" s="2">
        <v>0.92</v>
      </c>
      <c r="E57" s="2">
        <v>0.88</v>
      </c>
    </row>
    <row r="58" spans="1:7" x14ac:dyDescent="0.25">
      <c r="A58" s="2" t="s">
        <v>827</v>
      </c>
      <c r="B58" s="2" t="s">
        <v>828</v>
      </c>
      <c r="C58" s="2">
        <v>0.87</v>
      </c>
      <c r="D58" s="2">
        <v>0.93</v>
      </c>
      <c r="E58" s="2">
        <v>0.89</v>
      </c>
    </row>
    <row r="59" spans="1:7" ht="25.5" x14ac:dyDescent="0.25">
      <c r="A59" s="2" t="s">
        <v>829</v>
      </c>
      <c r="B59" s="2" t="s">
        <v>1044</v>
      </c>
      <c r="C59" s="2">
        <v>0.93</v>
      </c>
      <c r="D59" s="2">
        <v>1</v>
      </c>
      <c r="E59" s="2">
        <v>0.96499999999999997</v>
      </c>
    </row>
    <row r="60" spans="1:7" x14ac:dyDescent="0.25">
      <c r="A60" s="2" t="s">
        <v>830</v>
      </c>
      <c r="B60" s="2" t="s">
        <v>831</v>
      </c>
      <c r="C60" s="2">
        <v>0.82</v>
      </c>
      <c r="D60" s="2">
        <v>0.88</v>
      </c>
      <c r="E60" s="2">
        <v>0.85</v>
      </c>
    </row>
    <row r="61" spans="1:7" ht="25.5" x14ac:dyDescent="0.25">
      <c r="A61" s="2" t="s">
        <v>1046</v>
      </c>
      <c r="B61" s="2" t="s">
        <v>1047</v>
      </c>
      <c r="C61" s="2">
        <v>0.94</v>
      </c>
      <c r="D61" s="2">
        <v>1</v>
      </c>
      <c r="E61" s="2">
        <v>0.97</v>
      </c>
    </row>
    <row r="62" spans="1:7" x14ac:dyDescent="0.25">
      <c r="A62" s="3" t="s">
        <v>832</v>
      </c>
      <c r="B62" s="3" t="s">
        <v>833</v>
      </c>
      <c r="C62" s="4"/>
      <c r="D62" s="4"/>
      <c r="E62" s="4"/>
      <c r="F62" s="4"/>
      <c r="G62" s="4"/>
    </row>
    <row r="63" spans="1:7" x14ac:dyDescent="0.25">
      <c r="A63" s="6" t="s">
        <v>834</v>
      </c>
      <c r="B63" s="6" t="s">
        <v>835</v>
      </c>
      <c r="C63" s="6" t="s">
        <v>836</v>
      </c>
      <c r="D63" s="6" t="s">
        <v>837</v>
      </c>
    </row>
    <row r="64" spans="1:7" x14ac:dyDescent="0.25">
      <c r="A64" s="2" t="s">
        <v>774</v>
      </c>
      <c r="B64" s="2" t="s">
        <v>752</v>
      </c>
      <c r="C64" s="2">
        <v>600</v>
      </c>
      <c r="D64" s="2">
        <v>1200</v>
      </c>
    </row>
    <row r="65" spans="1:4" x14ac:dyDescent="0.25">
      <c r="A65" s="2" t="s">
        <v>774</v>
      </c>
      <c r="B65" s="2" t="s">
        <v>299</v>
      </c>
      <c r="C65" s="2">
        <v>700</v>
      </c>
      <c r="D65" s="2">
        <v>1500</v>
      </c>
    </row>
    <row r="66" spans="1:4" x14ac:dyDescent="0.25">
      <c r="A66" s="2" t="s">
        <v>774</v>
      </c>
      <c r="B66" s="2" t="s">
        <v>754</v>
      </c>
      <c r="C66" s="2">
        <v>800</v>
      </c>
      <c r="D66" s="2">
        <v>1800</v>
      </c>
    </row>
    <row r="67" spans="1:4" x14ac:dyDescent="0.25">
      <c r="A67" s="2" t="s">
        <v>774</v>
      </c>
      <c r="B67" s="2" t="s">
        <v>245</v>
      </c>
      <c r="C67" s="2">
        <v>1000</v>
      </c>
      <c r="D67" s="2">
        <v>2200</v>
      </c>
    </row>
    <row r="68" spans="1:4" x14ac:dyDescent="0.25">
      <c r="A68" s="2" t="s">
        <v>774</v>
      </c>
      <c r="B68" s="2" t="s">
        <v>246</v>
      </c>
      <c r="C68" s="2">
        <v>1500</v>
      </c>
      <c r="D68" s="2">
        <v>3000</v>
      </c>
    </row>
    <row r="69" spans="1:4" x14ac:dyDescent="0.25">
      <c r="A69" s="2" t="s">
        <v>774</v>
      </c>
      <c r="B69" s="2" t="s">
        <v>338</v>
      </c>
      <c r="C69" s="2">
        <v>500</v>
      </c>
      <c r="D69" s="2">
        <v>1300</v>
      </c>
    </row>
    <row r="70" spans="1:4" x14ac:dyDescent="0.25">
      <c r="A70" s="2" t="s">
        <v>774</v>
      </c>
      <c r="B70" s="2" t="s">
        <v>345</v>
      </c>
      <c r="C70" s="2">
        <v>400</v>
      </c>
      <c r="D70" s="2">
        <v>1100</v>
      </c>
    </row>
    <row r="71" spans="1:4" x14ac:dyDescent="0.25">
      <c r="A71" s="2" t="s">
        <v>776</v>
      </c>
      <c r="B71" s="2" t="s">
        <v>752</v>
      </c>
      <c r="C71" s="2">
        <v>500</v>
      </c>
      <c r="D71" s="2">
        <v>1200</v>
      </c>
    </row>
    <row r="72" spans="1:4" x14ac:dyDescent="0.25">
      <c r="A72" s="2" t="s">
        <v>776</v>
      </c>
      <c r="B72" s="2" t="s">
        <v>245</v>
      </c>
      <c r="C72" s="2">
        <v>900</v>
      </c>
      <c r="D72" s="2">
        <v>2000</v>
      </c>
    </row>
    <row r="73" spans="1:4" x14ac:dyDescent="0.25">
      <c r="A73" s="2" t="s">
        <v>776</v>
      </c>
      <c r="B73" s="2" t="s">
        <v>338</v>
      </c>
      <c r="C73" s="2">
        <v>500</v>
      </c>
      <c r="D73" s="2">
        <v>1400</v>
      </c>
    </row>
    <row r="74" spans="1:4" x14ac:dyDescent="0.25">
      <c r="A74" s="2" t="s">
        <v>515</v>
      </c>
      <c r="B74" s="2" t="s">
        <v>752</v>
      </c>
      <c r="C74" s="2">
        <v>1800</v>
      </c>
      <c r="D74" s="2">
        <v>2800</v>
      </c>
    </row>
    <row r="75" spans="1:4" x14ac:dyDescent="0.25">
      <c r="A75" s="2" t="s">
        <v>515</v>
      </c>
      <c r="B75" s="2" t="s">
        <v>299</v>
      </c>
      <c r="C75" s="2">
        <v>1600</v>
      </c>
      <c r="D75" s="2">
        <v>2600</v>
      </c>
    </row>
    <row r="76" spans="1:4" x14ac:dyDescent="0.25">
      <c r="A76" s="2" t="s">
        <v>515</v>
      </c>
      <c r="B76" s="2" t="s">
        <v>754</v>
      </c>
      <c r="C76" s="2">
        <v>2000</v>
      </c>
      <c r="D76" s="2">
        <v>3200</v>
      </c>
    </row>
    <row r="77" spans="1:4" x14ac:dyDescent="0.25">
      <c r="A77" s="2" t="s">
        <v>515</v>
      </c>
      <c r="B77" s="2" t="s">
        <v>245</v>
      </c>
      <c r="C77" s="2">
        <v>2200</v>
      </c>
      <c r="D77" s="2">
        <v>3500</v>
      </c>
    </row>
    <row r="78" spans="1:4" x14ac:dyDescent="0.25">
      <c r="A78" s="2" t="s">
        <v>515</v>
      </c>
      <c r="B78" s="2" t="s">
        <v>246</v>
      </c>
      <c r="C78" s="2">
        <v>3000</v>
      </c>
      <c r="D78" s="2">
        <v>5000</v>
      </c>
    </row>
    <row r="79" spans="1:4" x14ac:dyDescent="0.25">
      <c r="A79" s="2" t="s">
        <v>515</v>
      </c>
      <c r="B79" s="2" t="s">
        <v>345</v>
      </c>
      <c r="C79" s="2">
        <v>650</v>
      </c>
      <c r="D79" s="2">
        <v>1800</v>
      </c>
    </row>
    <row r="81" spans="1:7" x14ac:dyDescent="0.25">
      <c r="A81" s="3" t="s">
        <v>838</v>
      </c>
      <c r="B81" s="3" t="s">
        <v>839</v>
      </c>
      <c r="C81" s="4"/>
      <c r="D81" s="4"/>
      <c r="E81" s="4"/>
      <c r="F81" s="4"/>
      <c r="G81" s="4"/>
    </row>
    <row r="82" spans="1:7" x14ac:dyDescent="0.25">
      <c r="A82" s="6" t="s">
        <v>796</v>
      </c>
      <c r="B82" s="6" t="s">
        <v>840</v>
      </c>
      <c r="C82" s="6" t="s">
        <v>841</v>
      </c>
      <c r="D82" s="6" t="s">
        <v>57</v>
      </c>
    </row>
    <row r="83" spans="1:7" ht="25.5" x14ac:dyDescent="0.25">
      <c r="A83" s="2" t="s">
        <v>85</v>
      </c>
      <c r="B83" s="2" t="s">
        <v>842</v>
      </c>
      <c r="C83" s="2" t="s">
        <v>843</v>
      </c>
      <c r="D83" s="2" t="s">
        <v>844</v>
      </c>
    </row>
    <row r="84" spans="1:7" x14ac:dyDescent="0.25">
      <c r="A84" s="2" t="s">
        <v>505</v>
      </c>
      <c r="B84" s="2" t="s">
        <v>845</v>
      </c>
      <c r="C84" s="2" t="s">
        <v>19</v>
      </c>
      <c r="D84" s="2" t="s">
        <v>846</v>
      </c>
    </row>
    <row r="85" spans="1:7" x14ac:dyDescent="0.25">
      <c r="A85" s="2" t="s">
        <v>98</v>
      </c>
      <c r="B85" s="2" t="s">
        <v>847</v>
      </c>
      <c r="C85" s="2" t="s">
        <v>848</v>
      </c>
      <c r="D85" s="2" t="s">
        <v>849</v>
      </c>
    </row>
    <row r="86" spans="1:7" x14ac:dyDescent="0.25">
      <c r="A86" s="2" t="s">
        <v>161</v>
      </c>
      <c r="B86" s="2" t="s">
        <v>847</v>
      </c>
      <c r="C86" s="2" t="s">
        <v>850</v>
      </c>
      <c r="D86" s="2" t="s">
        <v>851</v>
      </c>
    </row>
    <row r="87" spans="1:7" ht="25.5" x14ac:dyDescent="0.25">
      <c r="A87" s="2" t="s">
        <v>640</v>
      </c>
      <c r="B87" s="2" t="s">
        <v>852</v>
      </c>
      <c r="C87" s="2" t="s">
        <v>853</v>
      </c>
      <c r="D87" s="2" t="s">
        <v>854</v>
      </c>
    </row>
    <row r="88" spans="1:7" ht="25.5" x14ac:dyDescent="0.25">
      <c r="A88" s="2" t="s">
        <v>76</v>
      </c>
      <c r="B88" s="2" t="s">
        <v>855</v>
      </c>
      <c r="C88" s="2" t="s">
        <v>1959</v>
      </c>
      <c r="D88" s="2" t="s">
        <v>856</v>
      </c>
    </row>
    <row r="89" spans="1:7" x14ac:dyDescent="0.25">
      <c r="A89" s="2" t="s">
        <v>857</v>
      </c>
      <c r="B89" s="2" t="s">
        <v>858</v>
      </c>
      <c r="C89" s="2"/>
      <c r="D89" s="2" t="s">
        <v>859</v>
      </c>
    </row>
    <row r="90" spans="1:7" x14ac:dyDescent="0.25">
      <c r="A90" s="2" t="s">
        <v>860</v>
      </c>
      <c r="B90" s="2" t="s">
        <v>861</v>
      </c>
      <c r="C90" s="2"/>
      <c r="D90" s="2" t="s">
        <v>862</v>
      </c>
    </row>
    <row r="91" spans="1:7" ht="25.5" x14ac:dyDescent="0.25">
      <c r="A91" s="2" t="s">
        <v>863</v>
      </c>
      <c r="B91" s="2" t="s">
        <v>864</v>
      </c>
      <c r="C91" s="2"/>
      <c r="D91" s="2" t="s">
        <v>865</v>
      </c>
    </row>
    <row r="92" spans="1:7" x14ac:dyDescent="0.25">
      <c r="A92" s="2" t="s">
        <v>866</v>
      </c>
      <c r="B92" s="2" t="s">
        <v>867</v>
      </c>
      <c r="C92" s="2"/>
      <c r="D92" s="2" t="s">
        <v>868</v>
      </c>
    </row>
    <row r="93" spans="1:7" ht="38.25" x14ac:dyDescent="0.25">
      <c r="A93" s="2" t="s">
        <v>1998</v>
      </c>
      <c r="B93" s="2" t="s">
        <v>1999</v>
      </c>
      <c r="C93" s="2" t="s">
        <v>2000</v>
      </c>
      <c r="D93" s="2" t="s">
        <v>2001</v>
      </c>
    </row>
    <row r="94" spans="1:7" ht="25.5" x14ac:dyDescent="0.25">
      <c r="A94" s="2" t="s">
        <v>2002</v>
      </c>
      <c r="B94" s="2" t="s">
        <v>2003</v>
      </c>
      <c r="C94" s="2">
        <v>0</v>
      </c>
      <c r="D94" s="2" t="s">
        <v>2004</v>
      </c>
    </row>
    <row r="96" spans="1:7" x14ac:dyDescent="0.25">
      <c r="A96" s="3" t="s">
        <v>869</v>
      </c>
      <c r="B96" s="3" t="s">
        <v>870</v>
      </c>
      <c r="C96" s="4"/>
      <c r="D96" s="4"/>
      <c r="E96" s="4"/>
      <c r="F96" s="4"/>
      <c r="G96" s="4"/>
    </row>
    <row r="97" spans="1:5" x14ac:dyDescent="0.25">
      <c r="A97" s="6" t="s">
        <v>871</v>
      </c>
      <c r="B97" s="6" t="s">
        <v>835</v>
      </c>
      <c r="C97" s="6" t="s">
        <v>739</v>
      </c>
      <c r="D97" s="6" t="s">
        <v>872</v>
      </c>
      <c r="E97" s="6" t="s">
        <v>873</v>
      </c>
    </row>
    <row r="98" spans="1:5" x14ac:dyDescent="0.25">
      <c r="A98" s="2" t="s">
        <v>874</v>
      </c>
      <c r="B98" s="2" t="s">
        <v>65</v>
      </c>
      <c r="C98" s="2">
        <v>10</v>
      </c>
      <c r="D98" s="2" t="s">
        <v>875</v>
      </c>
      <c r="E98" s="7" t="s">
        <v>10</v>
      </c>
    </row>
    <row r="99" spans="1:5" x14ac:dyDescent="0.25">
      <c r="A99" s="2" t="s">
        <v>874</v>
      </c>
      <c r="B99" s="2" t="s">
        <v>754</v>
      </c>
      <c r="C99" s="2">
        <v>5</v>
      </c>
      <c r="D99" s="2" t="s">
        <v>876</v>
      </c>
      <c r="E99" s="7" t="s">
        <v>10</v>
      </c>
    </row>
    <row r="100" spans="1:5" x14ac:dyDescent="0.25">
      <c r="A100" s="2" t="s">
        <v>874</v>
      </c>
      <c r="B100" s="2" t="s">
        <v>246</v>
      </c>
      <c r="C100" s="2">
        <v>15</v>
      </c>
      <c r="D100" s="2" t="s">
        <v>877</v>
      </c>
      <c r="E100" s="7" t="s">
        <v>10</v>
      </c>
    </row>
    <row r="101" spans="1:5" x14ac:dyDescent="0.25">
      <c r="A101" s="2" t="s">
        <v>874</v>
      </c>
      <c r="B101" s="2" t="s">
        <v>338</v>
      </c>
      <c r="C101" s="2">
        <v>7</v>
      </c>
      <c r="D101" s="2" t="s">
        <v>878</v>
      </c>
      <c r="E101" s="7" t="s">
        <v>10</v>
      </c>
    </row>
    <row r="102" spans="1:5" x14ac:dyDescent="0.25">
      <c r="A102" s="2" t="s">
        <v>874</v>
      </c>
      <c r="B102" s="2" t="s">
        <v>345</v>
      </c>
      <c r="C102" s="2">
        <v>40</v>
      </c>
      <c r="D102" s="2" t="s">
        <v>879</v>
      </c>
      <c r="E102" s="7" t="s">
        <v>10</v>
      </c>
    </row>
    <row r="103" spans="1:5" x14ac:dyDescent="0.25">
      <c r="A103" s="2" t="s">
        <v>874</v>
      </c>
      <c r="B103" s="2" t="s">
        <v>245</v>
      </c>
      <c r="C103" s="2">
        <v>5</v>
      </c>
      <c r="D103" s="2" t="s">
        <v>880</v>
      </c>
      <c r="E103" s="7" t="s">
        <v>10</v>
      </c>
    </row>
    <row r="104" spans="1:5" ht="25.5" x14ac:dyDescent="0.25">
      <c r="A104" s="2" t="s">
        <v>881</v>
      </c>
      <c r="B104" s="2" t="s">
        <v>65</v>
      </c>
      <c r="C104" s="2">
        <v>20</v>
      </c>
      <c r="D104" s="2" t="s">
        <v>882</v>
      </c>
      <c r="E104" s="7" t="s">
        <v>10</v>
      </c>
    </row>
    <row r="105" spans="1:5" x14ac:dyDescent="0.25">
      <c r="A105" s="2" t="s">
        <v>883</v>
      </c>
      <c r="B105" s="2" t="s">
        <v>65</v>
      </c>
      <c r="C105" s="2">
        <v>1</v>
      </c>
      <c r="D105" s="2" t="s">
        <v>884</v>
      </c>
      <c r="E105" s="7" t="s">
        <v>10</v>
      </c>
    </row>
    <row r="106" spans="1:5" ht="63.75" x14ac:dyDescent="0.25">
      <c r="A106" s="2" t="s">
        <v>885</v>
      </c>
      <c r="B106" s="2" t="s">
        <v>65</v>
      </c>
      <c r="C106" s="2">
        <v>66</v>
      </c>
      <c r="D106" s="2" t="s">
        <v>886</v>
      </c>
      <c r="E106" s="2" t="s">
        <v>1672</v>
      </c>
    </row>
    <row r="107" spans="1:5" ht="63.75" x14ac:dyDescent="0.25">
      <c r="A107" s="2" t="s">
        <v>887</v>
      </c>
      <c r="B107" s="2" t="s">
        <v>65</v>
      </c>
      <c r="C107" s="2">
        <v>1</v>
      </c>
      <c r="D107" s="2" t="s">
        <v>888</v>
      </c>
      <c r="E107" s="2" t="s">
        <v>1672</v>
      </c>
    </row>
    <row r="108" spans="1:5" x14ac:dyDescent="0.25">
      <c r="A108" s="2" t="s">
        <v>889</v>
      </c>
      <c r="B108" s="2" t="s">
        <v>65</v>
      </c>
      <c r="C108" s="2">
        <v>25</v>
      </c>
      <c r="D108" s="2" t="s">
        <v>890</v>
      </c>
      <c r="E108" s="7" t="s">
        <v>10</v>
      </c>
    </row>
    <row r="109" spans="1:5" x14ac:dyDescent="0.25">
      <c r="A109" s="2" t="s">
        <v>889</v>
      </c>
      <c r="B109" s="2" t="s">
        <v>302</v>
      </c>
      <c r="C109" s="2">
        <v>25</v>
      </c>
      <c r="D109" s="2" t="s">
        <v>891</v>
      </c>
      <c r="E109" s="7" t="s">
        <v>10</v>
      </c>
    </row>
    <row r="110" spans="1:5" x14ac:dyDescent="0.25">
      <c r="A110" s="2" t="s">
        <v>889</v>
      </c>
      <c r="B110" s="2" t="s">
        <v>246</v>
      </c>
      <c r="C110" s="2">
        <v>70</v>
      </c>
      <c r="D110" s="2" t="s">
        <v>892</v>
      </c>
      <c r="E110" s="7" t="s">
        <v>10</v>
      </c>
    </row>
    <row r="111" spans="1:5" x14ac:dyDescent="0.25">
      <c r="A111" s="2" t="s">
        <v>893</v>
      </c>
      <c r="B111" s="2" t="s">
        <v>65</v>
      </c>
      <c r="C111" s="2">
        <v>35</v>
      </c>
      <c r="D111" s="2" t="s">
        <v>894</v>
      </c>
      <c r="E111" s="7" t="s">
        <v>10</v>
      </c>
    </row>
    <row r="112" spans="1:5" x14ac:dyDescent="0.25">
      <c r="A112" s="2" t="s">
        <v>895</v>
      </c>
      <c r="B112" s="2" t="s">
        <v>65</v>
      </c>
      <c r="C112" s="2">
        <v>6</v>
      </c>
      <c r="D112" s="2" t="s">
        <v>896</v>
      </c>
      <c r="E112" s="7" t="s">
        <v>10</v>
      </c>
    </row>
    <row r="113" spans="1:5" x14ac:dyDescent="0.25">
      <c r="A113" s="2" t="s">
        <v>897</v>
      </c>
      <c r="B113" s="2" t="s">
        <v>65</v>
      </c>
      <c r="C113" s="2">
        <v>1</v>
      </c>
      <c r="D113" s="2" t="s">
        <v>898</v>
      </c>
      <c r="E113" s="7" t="s">
        <v>10</v>
      </c>
    </row>
    <row r="114" spans="1:5" x14ac:dyDescent="0.25">
      <c r="A114" s="2" t="s">
        <v>899</v>
      </c>
      <c r="B114" s="2" t="s">
        <v>65</v>
      </c>
      <c r="C114" s="2">
        <v>0.03</v>
      </c>
      <c r="D114" s="2" t="s">
        <v>900</v>
      </c>
      <c r="E114" s="7" t="s">
        <v>10</v>
      </c>
    </row>
    <row r="115" spans="1:5" x14ac:dyDescent="0.25">
      <c r="A115" s="2" t="s">
        <v>899</v>
      </c>
      <c r="B115" s="2" t="s">
        <v>245</v>
      </c>
      <c r="C115" s="2">
        <v>0.1</v>
      </c>
      <c r="D115" s="2" t="s">
        <v>901</v>
      </c>
      <c r="E115" s="7" t="s">
        <v>10</v>
      </c>
    </row>
    <row r="116" spans="1:5" x14ac:dyDescent="0.25">
      <c r="A116" s="2" t="s">
        <v>902</v>
      </c>
      <c r="B116" s="2" t="s">
        <v>65</v>
      </c>
      <c r="C116" s="2">
        <v>0.1</v>
      </c>
      <c r="D116" s="2" t="s">
        <v>903</v>
      </c>
      <c r="E116" s="7" t="s">
        <v>10</v>
      </c>
    </row>
    <row r="117" spans="1:5" x14ac:dyDescent="0.25">
      <c r="A117" s="2" t="s">
        <v>902</v>
      </c>
      <c r="B117" s="2" t="s">
        <v>754</v>
      </c>
      <c r="C117" s="2">
        <v>0.15</v>
      </c>
      <c r="D117" s="2" t="s">
        <v>904</v>
      </c>
      <c r="E117" s="7" t="s">
        <v>10</v>
      </c>
    </row>
    <row r="118" spans="1:5" x14ac:dyDescent="0.25">
      <c r="A118" s="2" t="s">
        <v>905</v>
      </c>
      <c r="B118" s="2" t="s">
        <v>65</v>
      </c>
      <c r="C118" s="2">
        <v>0.1</v>
      </c>
      <c r="D118" s="2" t="s">
        <v>906</v>
      </c>
      <c r="E118" s="7" t="s">
        <v>10</v>
      </c>
    </row>
    <row r="119" spans="1:5" x14ac:dyDescent="0.25">
      <c r="A119" s="2" t="s">
        <v>905</v>
      </c>
      <c r="B119" s="2" t="s">
        <v>246</v>
      </c>
      <c r="C119" s="2">
        <v>0.4</v>
      </c>
      <c r="D119" s="2" t="s">
        <v>907</v>
      </c>
      <c r="E119" s="7" t="s">
        <v>10</v>
      </c>
    </row>
    <row r="120" spans="1:5" x14ac:dyDescent="0.25">
      <c r="A120" s="2" t="s">
        <v>908</v>
      </c>
      <c r="B120" s="2" t="s">
        <v>65</v>
      </c>
      <c r="C120" s="2">
        <v>2</v>
      </c>
      <c r="D120" s="2" t="s">
        <v>585</v>
      </c>
      <c r="E120" s="7" t="s">
        <v>10</v>
      </c>
    </row>
    <row r="121" spans="1:5" x14ac:dyDescent="0.25">
      <c r="A121" s="2" t="s">
        <v>909</v>
      </c>
      <c r="B121" s="2" t="s">
        <v>65</v>
      </c>
      <c r="C121" s="2">
        <v>0.1</v>
      </c>
      <c r="D121" s="2" t="s">
        <v>910</v>
      </c>
      <c r="E121" s="7" t="s">
        <v>10</v>
      </c>
    </row>
    <row r="122" spans="1:5" x14ac:dyDescent="0.25">
      <c r="A122" s="2" t="s">
        <v>911</v>
      </c>
      <c r="B122" s="2" t="s">
        <v>65</v>
      </c>
      <c r="C122" s="2">
        <v>1.5</v>
      </c>
      <c r="D122" s="2" t="s">
        <v>912</v>
      </c>
      <c r="E122" s="7" t="s">
        <v>10</v>
      </c>
    </row>
    <row r="123" spans="1:5" x14ac:dyDescent="0.25">
      <c r="A123" s="2" t="s">
        <v>913</v>
      </c>
      <c r="B123" s="2" t="s">
        <v>65</v>
      </c>
      <c r="C123" s="2">
        <v>0.6</v>
      </c>
      <c r="D123" s="2" t="s">
        <v>914</v>
      </c>
      <c r="E123" s="7" t="s">
        <v>10</v>
      </c>
    </row>
    <row r="124" spans="1:5" x14ac:dyDescent="0.25">
      <c r="A124" s="2" t="s">
        <v>915</v>
      </c>
      <c r="B124" s="2" t="s">
        <v>65</v>
      </c>
      <c r="C124" s="2">
        <v>0.4</v>
      </c>
      <c r="D124" s="2" t="s">
        <v>916</v>
      </c>
      <c r="E124" s="7" t="s">
        <v>10</v>
      </c>
    </row>
    <row r="125" spans="1:5" ht="25.5" x14ac:dyDescent="0.25">
      <c r="A125" s="2" t="s">
        <v>917</v>
      </c>
      <c r="B125" s="2" t="s">
        <v>65</v>
      </c>
      <c r="C125" s="2">
        <v>4</v>
      </c>
      <c r="D125" s="2" t="s">
        <v>918</v>
      </c>
      <c r="E125" s="7" t="s">
        <v>10</v>
      </c>
    </row>
    <row r="126" spans="1:5" ht="38.25" x14ac:dyDescent="0.25">
      <c r="A126" s="2" t="s">
        <v>1957</v>
      </c>
      <c r="B126" s="2" t="s">
        <v>65</v>
      </c>
      <c r="C126" s="2">
        <v>25</v>
      </c>
      <c r="D126" s="2" t="s">
        <v>1958</v>
      </c>
      <c r="E126" s="7" t="s">
        <v>10</v>
      </c>
    </row>
    <row r="127" spans="1:5" ht="38.25" x14ac:dyDescent="0.25">
      <c r="A127" s="2" t="s">
        <v>1996</v>
      </c>
      <c r="B127" s="2" t="s">
        <v>65</v>
      </c>
      <c r="C127" s="2">
        <v>0.1</v>
      </c>
      <c r="D127" s="2" t="s">
        <v>1997</v>
      </c>
      <c r="E127" s="7" t="s">
        <v>10</v>
      </c>
    </row>
    <row r="129" spans="1:7" x14ac:dyDescent="0.25">
      <c r="A129" s="3" t="s">
        <v>919</v>
      </c>
      <c r="B129" s="3" t="s">
        <v>920</v>
      </c>
      <c r="C129" s="4"/>
      <c r="D129" s="4"/>
      <c r="E129" s="4"/>
      <c r="F129" s="4"/>
      <c r="G129" s="4"/>
    </row>
    <row r="130" spans="1:7" x14ac:dyDescent="0.25">
      <c r="A130" s="6" t="s">
        <v>871</v>
      </c>
      <c r="B130" s="6" t="s">
        <v>739</v>
      </c>
      <c r="C130" s="6" t="s">
        <v>921</v>
      </c>
      <c r="D130" s="6" t="s">
        <v>922</v>
      </c>
      <c r="E130" s="6" t="s">
        <v>873</v>
      </c>
    </row>
    <row r="131" spans="1:7" x14ac:dyDescent="0.25">
      <c r="A131" s="2" t="s">
        <v>923</v>
      </c>
      <c r="B131" s="2">
        <v>1.05</v>
      </c>
      <c r="C131" s="2" t="s">
        <v>924</v>
      </c>
      <c r="D131" s="2" t="s">
        <v>925</v>
      </c>
      <c r="E131" s="7" t="s">
        <v>10</v>
      </c>
    </row>
    <row r="132" spans="1:7" ht="25.5" x14ac:dyDescent="0.25">
      <c r="A132" s="2" t="s">
        <v>1969</v>
      </c>
      <c r="B132" s="2">
        <v>0.5</v>
      </c>
      <c r="C132" s="2" t="s">
        <v>1970</v>
      </c>
      <c r="D132" s="2" t="s">
        <v>1971</v>
      </c>
      <c r="E132" s="7" t="s">
        <v>1972</v>
      </c>
    </row>
    <row r="133" spans="1:7" ht="25.5" x14ac:dyDescent="0.25">
      <c r="A133" s="2" t="s">
        <v>1973</v>
      </c>
      <c r="B133" s="2">
        <v>20</v>
      </c>
      <c r="C133" s="2" t="s">
        <v>1974</v>
      </c>
      <c r="D133" s="2" t="s">
        <v>1975</v>
      </c>
      <c r="E133" s="7" t="s">
        <v>1976</v>
      </c>
    </row>
    <row r="134" spans="1:7" ht="25.5" x14ac:dyDescent="0.25">
      <c r="A134" s="2" t="s">
        <v>1977</v>
      </c>
      <c r="B134" s="2">
        <v>10</v>
      </c>
      <c r="C134" s="2" t="s">
        <v>1978</v>
      </c>
      <c r="D134" s="2" t="s">
        <v>1979</v>
      </c>
      <c r="E134" s="7" t="s">
        <v>1976</v>
      </c>
    </row>
    <row r="135" spans="1:7" ht="25.5" x14ac:dyDescent="0.25">
      <c r="A135" s="2" t="s">
        <v>1980</v>
      </c>
      <c r="B135" s="2">
        <v>3</v>
      </c>
      <c r="C135" s="2" t="s">
        <v>1981</v>
      </c>
      <c r="D135" s="2" t="s">
        <v>1979</v>
      </c>
      <c r="E135" s="7" t="s">
        <v>1976</v>
      </c>
    </row>
    <row r="136" spans="1:7" ht="25.5" x14ac:dyDescent="0.25">
      <c r="A136" s="2" t="s">
        <v>1982</v>
      </c>
      <c r="B136" s="2">
        <v>1</v>
      </c>
      <c r="C136" s="2" t="s">
        <v>1983</v>
      </c>
      <c r="D136" s="2" t="s">
        <v>1979</v>
      </c>
      <c r="E136" s="7" t="s">
        <v>1976</v>
      </c>
    </row>
    <row r="137" spans="1:7" ht="25.5" x14ac:dyDescent="0.25">
      <c r="A137" s="2" t="s">
        <v>1984</v>
      </c>
      <c r="B137" s="2">
        <v>2</v>
      </c>
      <c r="C137" s="2" t="s">
        <v>1985</v>
      </c>
      <c r="D137" s="2" t="s">
        <v>1979</v>
      </c>
      <c r="E137" s="7" t="s">
        <v>1976</v>
      </c>
    </row>
    <row r="138" spans="1:7" ht="25.5" x14ac:dyDescent="0.25">
      <c r="A138" s="2" t="s">
        <v>1986</v>
      </c>
      <c r="B138" s="2">
        <v>2</v>
      </c>
      <c r="C138" s="2" t="s">
        <v>1987</v>
      </c>
      <c r="D138" s="2" t="s">
        <v>1979</v>
      </c>
      <c r="E138" s="7" t="s">
        <v>1976</v>
      </c>
    </row>
    <row r="139" spans="1:7" ht="38.25" x14ac:dyDescent="0.25">
      <c r="A139" s="2" t="s">
        <v>1988</v>
      </c>
      <c r="B139" s="2">
        <v>2</v>
      </c>
      <c r="C139" s="2" t="s">
        <v>1989</v>
      </c>
      <c r="D139" s="2" t="s">
        <v>1979</v>
      </c>
      <c r="E139" s="7" t="s">
        <v>1976</v>
      </c>
    </row>
    <row r="140" spans="1:7" ht="25.5" x14ac:dyDescent="0.25">
      <c r="A140" s="2" t="s">
        <v>1990</v>
      </c>
      <c r="B140" s="2">
        <v>2</v>
      </c>
      <c r="C140" s="2" t="s">
        <v>1991</v>
      </c>
      <c r="D140" s="2" t="s">
        <v>1979</v>
      </c>
      <c r="E140" s="7" t="s">
        <v>1976</v>
      </c>
    </row>
    <row r="141" spans="1:7" ht="38.25" x14ac:dyDescent="0.25">
      <c r="A141" s="2" t="s">
        <v>2007</v>
      </c>
      <c r="B141" s="2">
        <v>11</v>
      </c>
      <c r="C141" s="2" t="s">
        <v>2008</v>
      </c>
      <c r="D141" s="2" t="s">
        <v>2009</v>
      </c>
      <c r="E141" s="7" t="s">
        <v>1976</v>
      </c>
    </row>
    <row r="142" spans="1:7" ht="38.25" x14ac:dyDescent="0.25">
      <c r="A142" s="2" t="s">
        <v>2010</v>
      </c>
      <c r="B142" s="2">
        <v>13</v>
      </c>
      <c r="C142" s="2" t="s">
        <v>2011</v>
      </c>
      <c r="D142" s="2" t="s">
        <v>2009</v>
      </c>
      <c r="E142" s="7" t="s">
        <v>1976</v>
      </c>
    </row>
    <row r="144" spans="1:7" x14ac:dyDescent="0.25">
      <c r="A144" s="3" t="s">
        <v>926</v>
      </c>
      <c r="B144" s="3" t="s">
        <v>1724</v>
      </c>
      <c r="C144" s="4"/>
      <c r="D144" s="4"/>
      <c r="E144" s="4"/>
      <c r="F144" s="4"/>
      <c r="G144" s="4"/>
    </row>
    <row r="145" spans="1:6" x14ac:dyDescent="0.25">
      <c r="A145" s="6" t="s">
        <v>747</v>
      </c>
      <c r="B145" s="6" t="s">
        <v>927</v>
      </c>
      <c r="C145" s="6" t="s">
        <v>928</v>
      </c>
      <c r="D145" s="6" t="s">
        <v>929</v>
      </c>
      <c r="E145" s="6" t="s">
        <v>930</v>
      </c>
      <c r="F145" s="6" t="s">
        <v>931</v>
      </c>
    </row>
    <row r="146" spans="1:6" ht="25.5" x14ac:dyDescent="0.25">
      <c r="A146" s="2" t="s">
        <v>932</v>
      </c>
      <c r="B146" s="2" t="s">
        <v>933</v>
      </c>
      <c r="C146" s="2" t="s">
        <v>934</v>
      </c>
      <c r="D146" s="2" t="s">
        <v>1801</v>
      </c>
      <c r="E146" s="2">
        <v>7</v>
      </c>
      <c r="F146" s="2">
        <v>11</v>
      </c>
    </row>
    <row r="147" spans="1:6" x14ac:dyDescent="0.25">
      <c r="A147" s="2" t="s">
        <v>932</v>
      </c>
      <c r="B147" s="2" t="s">
        <v>933</v>
      </c>
      <c r="C147" s="2" t="s">
        <v>935</v>
      </c>
      <c r="D147" s="2" t="s">
        <v>936</v>
      </c>
      <c r="E147" s="2">
        <v>2</v>
      </c>
      <c r="F147" s="2">
        <v>11</v>
      </c>
    </row>
    <row r="148" spans="1:6" x14ac:dyDescent="0.25">
      <c r="A148" s="2" t="s">
        <v>932</v>
      </c>
      <c r="B148" s="2" t="s">
        <v>933</v>
      </c>
      <c r="C148" s="2" t="s">
        <v>935</v>
      </c>
      <c r="D148" s="2" t="s">
        <v>937</v>
      </c>
      <c r="E148" s="2">
        <v>1</v>
      </c>
      <c r="F148" s="2">
        <v>11</v>
      </c>
    </row>
    <row r="149" spans="1:6" x14ac:dyDescent="0.25">
      <c r="A149" s="2" t="s">
        <v>932</v>
      </c>
      <c r="B149" s="2" t="s">
        <v>933</v>
      </c>
      <c r="C149" s="2" t="s">
        <v>935</v>
      </c>
      <c r="D149" s="2" t="s">
        <v>938</v>
      </c>
      <c r="E149" s="2">
        <v>0.5</v>
      </c>
      <c r="F149" s="2">
        <v>11</v>
      </c>
    </row>
    <row r="150" spans="1:6" ht="25.5" x14ac:dyDescent="0.25">
      <c r="A150" s="2" t="s">
        <v>932</v>
      </c>
      <c r="B150" s="2" t="s">
        <v>933</v>
      </c>
      <c r="C150" s="2" t="s">
        <v>935</v>
      </c>
      <c r="D150" s="2" t="s">
        <v>1953</v>
      </c>
      <c r="E150" s="2">
        <v>0.5</v>
      </c>
      <c r="F150" s="2">
        <v>11</v>
      </c>
    </row>
    <row r="151" spans="1:6" ht="25.5" x14ac:dyDescent="0.25">
      <c r="A151" s="2" t="s">
        <v>932</v>
      </c>
      <c r="B151" s="2" t="s">
        <v>933</v>
      </c>
      <c r="C151" s="2" t="s">
        <v>935</v>
      </c>
      <c r="D151" s="2" t="s">
        <v>1954</v>
      </c>
      <c r="E151" s="2">
        <v>0.5</v>
      </c>
      <c r="F151" s="2">
        <v>11</v>
      </c>
    </row>
    <row r="152" spans="1:6" ht="25.5" x14ac:dyDescent="0.25">
      <c r="A152" s="2" t="s">
        <v>932</v>
      </c>
      <c r="B152" s="2" t="s">
        <v>933</v>
      </c>
      <c r="C152" s="2" t="s">
        <v>935</v>
      </c>
      <c r="D152" s="2" t="s">
        <v>1955</v>
      </c>
      <c r="E152" s="2">
        <v>0.5</v>
      </c>
      <c r="F152" s="2">
        <v>11</v>
      </c>
    </row>
    <row r="153" spans="1:6" ht="25.5" x14ac:dyDescent="0.25">
      <c r="A153" s="2" t="s">
        <v>932</v>
      </c>
      <c r="B153" s="2" t="s">
        <v>933</v>
      </c>
      <c r="C153" s="2" t="s">
        <v>935</v>
      </c>
      <c r="D153" s="2" t="s">
        <v>1956</v>
      </c>
      <c r="E153" s="2">
        <v>0.5</v>
      </c>
      <c r="F153" s="2">
        <v>11</v>
      </c>
    </row>
    <row r="154" spans="1:6" x14ac:dyDescent="0.25">
      <c r="A154" s="2" t="s">
        <v>932</v>
      </c>
      <c r="B154" s="2" t="s">
        <v>933</v>
      </c>
      <c r="C154" s="2" t="s">
        <v>935</v>
      </c>
      <c r="D154" s="2" t="s">
        <v>939</v>
      </c>
      <c r="E154" s="2">
        <v>0.5</v>
      </c>
      <c r="F154" s="2">
        <v>11</v>
      </c>
    </row>
    <row r="155" spans="1:6" x14ac:dyDescent="0.25">
      <c r="A155" s="2" t="s">
        <v>932</v>
      </c>
      <c r="B155" s="2" t="s">
        <v>933</v>
      </c>
      <c r="C155" s="2" t="s">
        <v>935</v>
      </c>
      <c r="D155" s="2" t="s">
        <v>1802</v>
      </c>
      <c r="E155" s="2">
        <v>0.5</v>
      </c>
      <c r="F155" s="2">
        <v>11</v>
      </c>
    </row>
    <row r="156" spans="1:6" ht="25.5" x14ac:dyDescent="0.25">
      <c r="A156" s="2" t="s">
        <v>932</v>
      </c>
      <c r="B156" s="2" t="s">
        <v>933</v>
      </c>
      <c r="C156" s="2" t="s">
        <v>935</v>
      </c>
      <c r="D156" s="2" t="s">
        <v>1803</v>
      </c>
      <c r="E156" s="2">
        <v>0.5</v>
      </c>
      <c r="F156" s="2">
        <v>11</v>
      </c>
    </row>
    <row r="157" spans="1:6" x14ac:dyDescent="0.25">
      <c r="A157" s="2" t="s">
        <v>932</v>
      </c>
      <c r="B157" s="2" t="s">
        <v>933</v>
      </c>
      <c r="C157" s="2" t="s">
        <v>935</v>
      </c>
      <c r="D157" s="2" t="s">
        <v>1804</v>
      </c>
      <c r="E157" s="2">
        <v>1.5</v>
      </c>
      <c r="F157" s="2">
        <v>11</v>
      </c>
    </row>
    <row r="158" spans="1:6" x14ac:dyDescent="0.25">
      <c r="A158" s="2" t="s">
        <v>932</v>
      </c>
      <c r="B158" s="2" t="s">
        <v>933</v>
      </c>
      <c r="C158" s="2" t="s">
        <v>935</v>
      </c>
      <c r="D158" s="2" t="s">
        <v>1805</v>
      </c>
      <c r="E158" s="2">
        <v>1</v>
      </c>
      <c r="F158" s="2">
        <v>11</v>
      </c>
    </row>
    <row r="159" spans="1:6" x14ac:dyDescent="0.25">
      <c r="A159" s="2" t="s">
        <v>932</v>
      </c>
      <c r="B159" s="2" t="s">
        <v>933</v>
      </c>
      <c r="C159" s="2" t="s">
        <v>935</v>
      </c>
      <c r="D159" s="2" t="s">
        <v>1806</v>
      </c>
      <c r="E159" s="2">
        <v>2</v>
      </c>
      <c r="F159" s="2">
        <v>14</v>
      </c>
    </row>
    <row r="160" spans="1:6" x14ac:dyDescent="0.25">
      <c r="A160" s="2" t="s">
        <v>932</v>
      </c>
      <c r="B160" s="2" t="s">
        <v>933</v>
      </c>
      <c r="C160" s="2" t="s">
        <v>935</v>
      </c>
      <c r="D160" s="2" t="s">
        <v>1807</v>
      </c>
      <c r="E160" s="2">
        <v>3</v>
      </c>
      <c r="F160" s="2">
        <v>14</v>
      </c>
    </row>
    <row r="161" spans="1:6" x14ac:dyDescent="0.25">
      <c r="A161" s="2" t="s">
        <v>940</v>
      </c>
      <c r="B161" s="2" t="s">
        <v>941</v>
      </c>
      <c r="C161" s="2" t="s">
        <v>942</v>
      </c>
      <c r="D161" s="2" t="s">
        <v>943</v>
      </c>
      <c r="E161" s="2">
        <v>11</v>
      </c>
      <c r="F161" s="2"/>
    </row>
    <row r="162" spans="1:6" x14ac:dyDescent="0.25">
      <c r="A162" s="2" t="s">
        <v>940</v>
      </c>
      <c r="B162" s="2" t="s">
        <v>941</v>
      </c>
      <c r="C162" s="2" t="s">
        <v>942</v>
      </c>
      <c r="D162" s="2" t="s">
        <v>944</v>
      </c>
      <c r="E162" s="2">
        <v>9.5</v>
      </c>
      <c r="F162" s="2"/>
    </row>
    <row r="163" spans="1:6" x14ac:dyDescent="0.25">
      <c r="A163" s="2" t="s">
        <v>940</v>
      </c>
      <c r="B163" s="2" t="s">
        <v>941</v>
      </c>
      <c r="C163" s="2" t="s">
        <v>942</v>
      </c>
      <c r="D163" s="2" t="s">
        <v>945</v>
      </c>
      <c r="E163" s="2">
        <v>8.5</v>
      </c>
      <c r="F163" s="2"/>
    </row>
    <row r="164" spans="1:6" x14ac:dyDescent="0.25">
      <c r="A164" s="2" t="s">
        <v>946</v>
      </c>
      <c r="B164" s="2" t="s">
        <v>947</v>
      </c>
      <c r="C164" s="2" t="s">
        <v>934</v>
      </c>
      <c r="D164" s="2" t="s">
        <v>948</v>
      </c>
      <c r="E164" s="2">
        <v>13.5</v>
      </c>
      <c r="F164" s="2"/>
    </row>
    <row r="165" spans="1:6" x14ac:dyDescent="0.25">
      <c r="A165" s="2" t="s">
        <v>946</v>
      </c>
      <c r="B165" s="2" t="s">
        <v>947</v>
      </c>
      <c r="C165" s="2" t="s">
        <v>934</v>
      </c>
      <c r="D165" s="2" t="s">
        <v>949</v>
      </c>
      <c r="E165" s="2">
        <v>11.5</v>
      </c>
      <c r="F165" s="2"/>
    </row>
    <row r="166" spans="1:6" x14ac:dyDescent="0.25">
      <c r="A166" s="2" t="s">
        <v>946</v>
      </c>
      <c r="B166" s="2" t="s">
        <v>947</v>
      </c>
      <c r="C166" s="2" t="s">
        <v>934</v>
      </c>
      <c r="D166" s="2" t="s">
        <v>950</v>
      </c>
      <c r="E166" s="2">
        <v>8.5</v>
      </c>
      <c r="F166" s="2"/>
    </row>
    <row r="167" spans="1:6" x14ac:dyDescent="0.25">
      <c r="A167" s="2" t="s">
        <v>946</v>
      </c>
      <c r="B167" s="2" t="s">
        <v>947</v>
      </c>
      <c r="C167" s="2" t="s">
        <v>934</v>
      </c>
      <c r="D167" s="2" t="s">
        <v>951</v>
      </c>
      <c r="E167" s="2">
        <v>6</v>
      </c>
      <c r="F167" s="2"/>
    </row>
    <row r="168" spans="1:6" x14ac:dyDescent="0.25">
      <c r="A168" s="2" t="s">
        <v>946</v>
      </c>
      <c r="B168" s="2" t="s">
        <v>947</v>
      </c>
      <c r="C168" s="2" t="s">
        <v>935</v>
      </c>
      <c r="D168" s="2" t="s">
        <v>1034</v>
      </c>
      <c r="E168" s="2">
        <v>1.5</v>
      </c>
      <c r="F168" s="2"/>
    </row>
    <row r="169" spans="1:6" x14ac:dyDescent="0.25">
      <c r="A169" s="2" t="s">
        <v>946</v>
      </c>
      <c r="B169" s="2" t="s">
        <v>947</v>
      </c>
      <c r="C169" s="2" t="s">
        <v>935</v>
      </c>
      <c r="D169" s="2" t="s">
        <v>952</v>
      </c>
      <c r="E169" s="2">
        <v>1</v>
      </c>
      <c r="F169" s="2"/>
    </row>
    <row r="170" spans="1:6" ht="38.25" x14ac:dyDescent="0.25">
      <c r="A170" s="2" t="s">
        <v>946</v>
      </c>
      <c r="B170" s="2" t="s">
        <v>947</v>
      </c>
      <c r="C170" s="2" t="s">
        <v>935</v>
      </c>
      <c r="D170" s="2" t="s">
        <v>953</v>
      </c>
      <c r="E170" s="2">
        <v>2</v>
      </c>
      <c r="F170" s="2"/>
    </row>
    <row r="171" spans="1:6" x14ac:dyDescent="0.25">
      <c r="A171" s="2" t="s">
        <v>954</v>
      </c>
      <c r="B171" s="2" t="s">
        <v>955</v>
      </c>
      <c r="C171" s="2" t="s">
        <v>934</v>
      </c>
      <c r="D171" s="2" t="s">
        <v>956</v>
      </c>
      <c r="E171" s="2">
        <v>3.5</v>
      </c>
      <c r="F171" s="2"/>
    </row>
    <row r="172" spans="1:6" x14ac:dyDescent="0.25">
      <c r="A172" s="2" t="s">
        <v>954</v>
      </c>
      <c r="B172" s="2" t="s">
        <v>955</v>
      </c>
      <c r="C172" s="2" t="s">
        <v>934</v>
      </c>
      <c r="D172" s="2" t="s">
        <v>957</v>
      </c>
      <c r="E172" s="2">
        <v>4</v>
      </c>
      <c r="F172" s="2"/>
    </row>
    <row r="173" spans="1:6" x14ac:dyDescent="0.25">
      <c r="A173" s="2" t="s">
        <v>954</v>
      </c>
      <c r="B173" s="2" t="s">
        <v>955</v>
      </c>
      <c r="C173" s="2" t="s">
        <v>934</v>
      </c>
      <c r="D173" s="2" t="s">
        <v>958</v>
      </c>
      <c r="E173" s="2">
        <v>4</v>
      </c>
      <c r="F173" s="2"/>
    </row>
    <row r="174" spans="1:6" x14ac:dyDescent="0.25">
      <c r="A174" s="2" t="s">
        <v>954</v>
      </c>
      <c r="B174" s="2" t="s">
        <v>955</v>
      </c>
      <c r="C174" s="2" t="s">
        <v>934</v>
      </c>
      <c r="D174" s="2" t="s">
        <v>959</v>
      </c>
      <c r="E174" s="2">
        <v>2.5</v>
      </c>
      <c r="F174" s="2"/>
    </row>
    <row r="175" spans="1:6" x14ac:dyDescent="0.25">
      <c r="A175" s="2" t="s">
        <v>954</v>
      </c>
      <c r="B175" s="2" t="s">
        <v>955</v>
      </c>
      <c r="C175" s="2" t="s">
        <v>934</v>
      </c>
      <c r="D175" s="2" t="s">
        <v>960</v>
      </c>
      <c r="E175" s="2">
        <v>2</v>
      </c>
      <c r="F175" s="2"/>
    </row>
    <row r="176" spans="1:6" x14ac:dyDescent="0.25">
      <c r="A176" s="2" t="s">
        <v>954</v>
      </c>
      <c r="B176" s="2" t="s">
        <v>955</v>
      </c>
      <c r="C176" s="2" t="s">
        <v>934</v>
      </c>
      <c r="D176" s="2" t="s">
        <v>961</v>
      </c>
      <c r="E176" s="2">
        <v>3</v>
      </c>
      <c r="F176" s="2"/>
    </row>
    <row r="177" spans="1:6" x14ac:dyDescent="0.25">
      <c r="A177" s="2" t="s">
        <v>954</v>
      </c>
      <c r="B177" s="2" t="s">
        <v>955</v>
      </c>
      <c r="C177" s="2" t="s">
        <v>935</v>
      </c>
      <c r="D177" s="2" t="s">
        <v>962</v>
      </c>
      <c r="E177" s="2">
        <v>0.5</v>
      </c>
      <c r="F177" s="2"/>
    </row>
    <row r="178" spans="1:6" ht="38.25" x14ac:dyDescent="0.25">
      <c r="A178" s="2" t="s">
        <v>954</v>
      </c>
      <c r="B178" s="2" t="s">
        <v>955</v>
      </c>
      <c r="C178" s="2" t="s">
        <v>934</v>
      </c>
      <c r="D178" s="2" t="s">
        <v>963</v>
      </c>
      <c r="E178" s="2">
        <v>4</v>
      </c>
      <c r="F178" s="2"/>
    </row>
    <row r="179" spans="1:6" x14ac:dyDescent="0.25">
      <c r="A179" s="2" t="s">
        <v>964</v>
      </c>
      <c r="B179" s="2" t="s">
        <v>965</v>
      </c>
      <c r="C179" s="2" t="s">
        <v>934</v>
      </c>
      <c r="D179" s="2" t="s">
        <v>966</v>
      </c>
      <c r="E179" s="2">
        <v>5</v>
      </c>
      <c r="F179" s="2">
        <v>10</v>
      </c>
    </row>
    <row r="180" spans="1:6" x14ac:dyDescent="0.25">
      <c r="A180" s="2" t="s">
        <v>964</v>
      </c>
      <c r="B180" s="2" t="s">
        <v>965</v>
      </c>
      <c r="C180" s="2" t="s">
        <v>935</v>
      </c>
      <c r="D180" s="2" t="s">
        <v>967</v>
      </c>
      <c r="E180" s="2">
        <v>2</v>
      </c>
      <c r="F180" s="2">
        <v>10</v>
      </c>
    </row>
    <row r="181" spans="1:6" x14ac:dyDescent="0.25">
      <c r="A181" s="2" t="s">
        <v>964</v>
      </c>
      <c r="B181" s="2" t="s">
        <v>965</v>
      </c>
      <c r="C181" s="2" t="s">
        <v>935</v>
      </c>
      <c r="D181" s="2" t="s">
        <v>968</v>
      </c>
      <c r="E181" s="2">
        <v>2</v>
      </c>
      <c r="F181" s="2">
        <v>10</v>
      </c>
    </row>
    <row r="182" spans="1:6" x14ac:dyDescent="0.25">
      <c r="A182" s="2" t="s">
        <v>964</v>
      </c>
      <c r="B182" s="2" t="s">
        <v>965</v>
      </c>
      <c r="C182" s="2" t="s">
        <v>935</v>
      </c>
      <c r="D182" s="2" t="s">
        <v>969</v>
      </c>
      <c r="E182" s="2">
        <v>1.5</v>
      </c>
      <c r="F182" s="2">
        <v>10</v>
      </c>
    </row>
    <row r="183" spans="1:6" x14ac:dyDescent="0.25">
      <c r="A183" s="2" t="s">
        <v>964</v>
      </c>
      <c r="B183" s="2" t="s">
        <v>965</v>
      </c>
      <c r="C183" s="2" t="s">
        <v>935</v>
      </c>
      <c r="D183" s="2" t="s">
        <v>970</v>
      </c>
      <c r="E183" s="2">
        <v>1.5</v>
      </c>
      <c r="F183" s="2">
        <v>10</v>
      </c>
    </row>
    <row r="184" spans="1:6" x14ac:dyDescent="0.25">
      <c r="A184" s="2" t="s">
        <v>964</v>
      </c>
      <c r="B184" s="2" t="s">
        <v>965</v>
      </c>
      <c r="C184" s="2" t="s">
        <v>935</v>
      </c>
      <c r="D184" s="2" t="s">
        <v>971</v>
      </c>
      <c r="E184" s="2">
        <v>1</v>
      </c>
      <c r="F184" s="2">
        <v>10</v>
      </c>
    </row>
    <row r="185" spans="1:6" x14ac:dyDescent="0.25">
      <c r="A185" s="2" t="s">
        <v>964</v>
      </c>
      <c r="B185" s="2" t="s">
        <v>965</v>
      </c>
      <c r="C185" s="2" t="s">
        <v>935</v>
      </c>
      <c r="D185" s="2" t="s">
        <v>972</v>
      </c>
      <c r="E185" s="2">
        <v>0.5</v>
      </c>
      <c r="F185" s="2">
        <v>10</v>
      </c>
    </row>
    <row r="186" spans="1:6" x14ac:dyDescent="0.25">
      <c r="A186" s="2" t="s">
        <v>964</v>
      </c>
      <c r="B186" s="2" t="s">
        <v>965</v>
      </c>
      <c r="C186" s="2" t="s">
        <v>935</v>
      </c>
      <c r="D186" s="2" t="s">
        <v>973</v>
      </c>
      <c r="E186" s="2">
        <v>0.5</v>
      </c>
      <c r="F186" s="2">
        <v>10</v>
      </c>
    </row>
    <row r="187" spans="1:6" x14ac:dyDescent="0.25">
      <c r="A187" s="2" t="s">
        <v>964</v>
      </c>
      <c r="B187" s="2" t="s">
        <v>965</v>
      </c>
      <c r="C187" s="2" t="s">
        <v>935</v>
      </c>
      <c r="D187" s="2" t="s">
        <v>974</v>
      </c>
      <c r="E187" s="2">
        <v>0.5</v>
      </c>
      <c r="F187" s="2">
        <v>10</v>
      </c>
    </row>
    <row r="188" spans="1:6" x14ac:dyDescent="0.25">
      <c r="A188" s="2" t="s">
        <v>964</v>
      </c>
      <c r="B188" s="2" t="s">
        <v>965</v>
      </c>
      <c r="C188" s="2" t="s">
        <v>935</v>
      </c>
      <c r="D188" s="2" t="s">
        <v>975</v>
      </c>
      <c r="E188" s="2">
        <v>0.5</v>
      </c>
      <c r="F188" s="2">
        <v>10</v>
      </c>
    </row>
    <row r="189" spans="1:6" x14ac:dyDescent="0.25">
      <c r="A189" s="2" t="s">
        <v>964</v>
      </c>
      <c r="B189" s="2" t="s">
        <v>965</v>
      </c>
      <c r="C189" s="2" t="s">
        <v>935</v>
      </c>
      <c r="D189" s="2" t="s">
        <v>976</v>
      </c>
      <c r="E189" s="2">
        <v>1</v>
      </c>
      <c r="F189" s="2">
        <v>10</v>
      </c>
    </row>
    <row r="190" spans="1:6" x14ac:dyDescent="0.25">
      <c r="A190" s="2" t="s">
        <v>964</v>
      </c>
      <c r="B190" s="2" t="s">
        <v>965</v>
      </c>
      <c r="C190" s="2" t="s">
        <v>935</v>
      </c>
      <c r="D190" s="2" t="s">
        <v>936</v>
      </c>
      <c r="E190" s="2">
        <v>0.5</v>
      </c>
      <c r="F190" s="2">
        <v>10</v>
      </c>
    </row>
    <row r="191" spans="1:6" ht="25.5" x14ac:dyDescent="0.25">
      <c r="A191" s="2" t="s">
        <v>977</v>
      </c>
      <c r="B191" s="2" t="s">
        <v>978</v>
      </c>
      <c r="C191" s="2" t="s">
        <v>979</v>
      </c>
      <c r="D191" s="2" t="s">
        <v>980</v>
      </c>
      <c r="E191" s="2">
        <v>5</v>
      </c>
      <c r="F191" s="2">
        <v>5</v>
      </c>
    </row>
    <row r="192" spans="1:6" x14ac:dyDescent="0.25">
      <c r="A192" s="2" t="s">
        <v>981</v>
      </c>
      <c r="B192" s="2" t="s">
        <v>982</v>
      </c>
      <c r="C192" s="2" t="s">
        <v>983</v>
      </c>
      <c r="D192" s="2" t="s">
        <v>984</v>
      </c>
      <c r="E192" s="2">
        <v>0</v>
      </c>
      <c r="F192" s="2">
        <v>12</v>
      </c>
    </row>
    <row r="193" spans="1:7" x14ac:dyDescent="0.25">
      <c r="A193" s="2" t="s">
        <v>981</v>
      </c>
      <c r="B193" s="2" t="s">
        <v>982</v>
      </c>
      <c r="C193" s="2" t="s">
        <v>983</v>
      </c>
      <c r="D193" s="2" t="s">
        <v>985</v>
      </c>
      <c r="E193" s="2">
        <v>2</v>
      </c>
      <c r="F193" s="2">
        <v>12</v>
      </c>
    </row>
    <row r="194" spans="1:7" x14ac:dyDescent="0.25">
      <c r="A194" s="2" t="s">
        <v>981</v>
      </c>
      <c r="B194" s="2" t="s">
        <v>982</v>
      </c>
      <c r="C194" s="2" t="s">
        <v>983</v>
      </c>
      <c r="D194" s="2" t="s">
        <v>986</v>
      </c>
      <c r="E194" s="2">
        <v>4</v>
      </c>
      <c r="F194" s="2">
        <v>12</v>
      </c>
    </row>
    <row r="195" spans="1:7" x14ac:dyDescent="0.25">
      <c r="A195" s="2" t="s">
        <v>981</v>
      </c>
      <c r="B195" s="2" t="s">
        <v>982</v>
      </c>
      <c r="C195" s="2" t="s">
        <v>983</v>
      </c>
      <c r="D195" s="2" t="s">
        <v>987</v>
      </c>
      <c r="E195" s="2">
        <v>6</v>
      </c>
      <c r="F195" s="2">
        <v>12</v>
      </c>
    </row>
    <row r="196" spans="1:7" x14ac:dyDescent="0.25">
      <c r="A196" s="2" t="s">
        <v>981</v>
      </c>
      <c r="B196" s="2" t="s">
        <v>988</v>
      </c>
      <c r="C196" s="2" t="s">
        <v>983</v>
      </c>
      <c r="D196" s="2" t="s">
        <v>989</v>
      </c>
      <c r="E196" s="2">
        <v>1</v>
      </c>
      <c r="F196" s="2">
        <v>12</v>
      </c>
    </row>
    <row r="197" spans="1:7" x14ac:dyDescent="0.25">
      <c r="A197" s="2" t="s">
        <v>981</v>
      </c>
      <c r="B197" s="2" t="s">
        <v>988</v>
      </c>
      <c r="C197" s="2" t="s">
        <v>983</v>
      </c>
      <c r="D197" s="2" t="s">
        <v>990</v>
      </c>
      <c r="E197" s="2">
        <v>2</v>
      </c>
      <c r="F197" s="2">
        <v>12</v>
      </c>
    </row>
    <row r="198" spans="1:7" x14ac:dyDescent="0.25">
      <c r="A198" s="2" t="s">
        <v>981</v>
      </c>
      <c r="B198" s="2" t="s">
        <v>988</v>
      </c>
      <c r="C198" s="2" t="s">
        <v>983</v>
      </c>
      <c r="D198" s="2" t="s">
        <v>991</v>
      </c>
      <c r="E198" s="2">
        <v>3</v>
      </c>
      <c r="F198" s="2">
        <v>12</v>
      </c>
    </row>
    <row r="199" spans="1:7" x14ac:dyDescent="0.25">
      <c r="A199" s="2" t="s">
        <v>981</v>
      </c>
      <c r="B199" s="2" t="s">
        <v>988</v>
      </c>
      <c r="C199" s="2" t="s">
        <v>983</v>
      </c>
      <c r="D199" s="2" t="s">
        <v>992</v>
      </c>
      <c r="E199" s="2">
        <v>4</v>
      </c>
      <c r="F199" s="2">
        <v>12</v>
      </c>
    </row>
    <row r="200" spans="1:7" x14ac:dyDescent="0.25">
      <c r="A200" s="2" t="s">
        <v>981</v>
      </c>
      <c r="B200" s="2" t="s">
        <v>988</v>
      </c>
      <c r="C200" s="2" t="s">
        <v>983</v>
      </c>
      <c r="D200" s="2" t="s">
        <v>993</v>
      </c>
      <c r="E200" s="2">
        <v>5</v>
      </c>
      <c r="F200" s="2">
        <v>12</v>
      </c>
    </row>
    <row r="201" spans="1:7" ht="25.5" x14ac:dyDescent="0.25">
      <c r="A201" s="2" t="s">
        <v>994</v>
      </c>
      <c r="B201" s="2" t="s">
        <v>995</v>
      </c>
      <c r="C201" s="2" t="s">
        <v>979</v>
      </c>
      <c r="D201" s="2" t="s">
        <v>996</v>
      </c>
      <c r="E201" s="2">
        <v>20</v>
      </c>
      <c r="F201" s="2">
        <v>20</v>
      </c>
    </row>
    <row r="203" spans="1:7" x14ac:dyDescent="0.25">
      <c r="A203" s="3" t="s">
        <v>997</v>
      </c>
      <c r="B203" s="3" t="s">
        <v>998</v>
      </c>
      <c r="C203" s="4"/>
      <c r="D203" s="4"/>
      <c r="E203" s="4"/>
      <c r="F203" s="4"/>
      <c r="G203" s="4"/>
    </row>
    <row r="204" spans="1:7" x14ac:dyDescent="0.25">
      <c r="A204" s="6" t="s">
        <v>999</v>
      </c>
      <c r="B204" s="6" t="s">
        <v>1000</v>
      </c>
      <c r="C204" s="6" t="s">
        <v>1001</v>
      </c>
      <c r="D204" s="6" t="s">
        <v>1002</v>
      </c>
      <c r="E204" s="6" t="s">
        <v>742</v>
      </c>
    </row>
    <row r="205" spans="1:7" x14ac:dyDescent="0.25">
      <c r="A205" s="2" t="s">
        <v>285</v>
      </c>
      <c r="B205" s="2" t="s">
        <v>1003</v>
      </c>
      <c r="C205" s="2" t="s">
        <v>1004</v>
      </c>
      <c r="D205" s="2" t="s">
        <v>1005</v>
      </c>
      <c r="E205" s="2" t="s">
        <v>743</v>
      </c>
    </row>
    <row r="206" spans="1:7" x14ac:dyDescent="0.25">
      <c r="A206" s="2" t="s">
        <v>1006</v>
      </c>
      <c r="B206" s="2" t="s">
        <v>1007</v>
      </c>
      <c r="C206" s="2" t="s">
        <v>1004</v>
      </c>
      <c r="D206" s="2" t="s">
        <v>1008</v>
      </c>
      <c r="E206" s="2" t="s">
        <v>743</v>
      </c>
    </row>
    <row r="207" spans="1:7" x14ac:dyDescent="0.25">
      <c r="A207" s="2" t="s">
        <v>1009</v>
      </c>
      <c r="B207" s="2" t="s">
        <v>1010</v>
      </c>
      <c r="C207" s="2" t="s">
        <v>1004</v>
      </c>
      <c r="D207" s="2" t="s">
        <v>1011</v>
      </c>
      <c r="E207" s="2" t="s">
        <v>743</v>
      </c>
    </row>
    <row r="208" spans="1:7" x14ac:dyDescent="0.25">
      <c r="A208" s="2" t="s">
        <v>1012</v>
      </c>
      <c r="B208" s="2" t="s">
        <v>1013</v>
      </c>
      <c r="C208" s="2" t="s">
        <v>1004</v>
      </c>
      <c r="D208" s="2" t="s">
        <v>1014</v>
      </c>
      <c r="E208" s="2" t="s">
        <v>743</v>
      </c>
    </row>
    <row r="209" spans="1:7" x14ac:dyDescent="0.25">
      <c r="A209" s="2" t="s">
        <v>1015</v>
      </c>
      <c r="B209" s="2" t="s">
        <v>1016</v>
      </c>
      <c r="C209" s="2" t="s">
        <v>1004</v>
      </c>
      <c r="D209" s="2" t="s">
        <v>1017</v>
      </c>
      <c r="E209" s="2" t="s">
        <v>743</v>
      </c>
    </row>
    <row r="210" spans="1:7" x14ac:dyDescent="0.25">
      <c r="A210" s="2" t="s">
        <v>1018</v>
      </c>
      <c r="B210" s="2" t="s">
        <v>1019</v>
      </c>
      <c r="C210" s="2" t="s">
        <v>1004</v>
      </c>
      <c r="D210" s="2" t="s">
        <v>1020</v>
      </c>
      <c r="E210" s="2" t="s">
        <v>743</v>
      </c>
    </row>
    <row r="211" spans="1:7" x14ac:dyDescent="0.25">
      <c r="A211" s="2" t="s">
        <v>1021</v>
      </c>
      <c r="B211" s="2" t="s">
        <v>1022</v>
      </c>
      <c r="C211" s="2" t="s">
        <v>1004</v>
      </c>
      <c r="D211" s="2" t="s">
        <v>1023</v>
      </c>
      <c r="E211" s="2" t="s">
        <v>743</v>
      </c>
    </row>
    <row r="212" spans="1:7" x14ac:dyDescent="0.25">
      <c r="A212" s="2" t="s">
        <v>1024</v>
      </c>
      <c r="B212" s="2" t="s">
        <v>1025</v>
      </c>
      <c r="C212" s="2" t="s">
        <v>1004</v>
      </c>
      <c r="D212" s="2" t="s">
        <v>1026</v>
      </c>
      <c r="E212" s="2" t="s">
        <v>743</v>
      </c>
    </row>
    <row r="213" spans="1:7" ht="25.5" x14ac:dyDescent="0.25">
      <c r="A213" s="2" t="s">
        <v>1027</v>
      </c>
      <c r="B213" s="2" t="s">
        <v>1028</v>
      </c>
      <c r="C213" s="2" t="s">
        <v>1004</v>
      </c>
      <c r="D213" s="2" t="s">
        <v>1029</v>
      </c>
      <c r="E213" s="2" t="s">
        <v>743</v>
      </c>
    </row>
    <row r="214" spans="1:7" ht="25.5" x14ac:dyDescent="0.25">
      <c r="A214" s="30" t="s">
        <v>726</v>
      </c>
      <c r="B214" s="2" t="s">
        <v>725</v>
      </c>
      <c r="C214" s="2" t="s">
        <v>1004</v>
      </c>
      <c r="D214" s="2" t="s">
        <v>1615</v>
      </c>
      <c r="E214" s="30" t="s">
        <v>1614</v>
      </c>
    </row>
    <row r="216" spans="1:7" x14ac:dyDescent="0.25">
      <c r="A216" s="3" t="s">
        <v>1035</v>
      </c>
      <c r="B216" s="3" t="s">
        <v>1036</v>
      </c>
      <c r="C216" s="4"/>
      <c r="D216" s="4"/>
      <c r="E216" s="4"/>
      <c r="F216" s="4"/>
      <c r="G216" s="4"/>
    </row>
    <row r="217" spans="1:7" x14ac:dyDescent="0.25">
      <c r="A217" s="6" t="s">
        <v>1037</v>
      </c>
      <c r="B217" s="6" t="s">
        <v>810</v>
      </c>
      <c r="C217" s="6" t="s">
        <v>792</v>
      </c>
      <c r="D217" s="6" t="s">
        <v>57</v>
      </c>
    </row>
    <row r="218" spans="1:7" ht="25.5" x14ac:dyDescent="0.25">
      <c r="A218" s="2" t="s">
        <v>932</v>
      </c>
      <c r="B218" s="2">
        <v>0.9</v>
      </c>
      <c r="C218" s="2">
        <v>1.1499999999999999</v>
      </c>
      <c r="D218" s="2" t="s">
        <v>1038</v>
      </c>
    </row>
    <row r="219" spans="1:7" x14ac:dyDescent="0.25">
      <c r="A219" s="2" t="s">
        <v>940</v>
      </c>
      <c r="B219" s="2">
        <v>0.9</v>
      </c>
      <c r="C219" s="2">
        <v>1.2</v>
      </c>
    </row>
    <row r="220" spans="1:7" x14ac:dyDescent="0.25">
      <c r="A220" s="2" t="s">
        <v>946</v>
      </c>
      <c r="B220" s="2">
        <v>0.85</v>
      </c>
      <c r="C220" s="2">
        <v>1.25</v>
      </c>
    </row>
    <row r="221" spans="1:7" x14ac:dyDescent="0.25">
      <c r="A221" s="2" t="s">
        <v>954</v>
      </c>
      <c r="B221" s="2">
        <v>0.8</v>
      </c>
      <c r="C221" s="2">
        <v>1.35</v>
      </c>
    </row>
    <row r="222" spans="1:7" x14ac:dyDescent="0.25">
      <c r="A222" s="2" t="s">
        <v>1967</v>
      </c>
      <c r="B222" s="2">
        <v>0.89</v>
      </c>
      <c r="C222" s="2">
        <v>1.1100000000000001</v>
      </c>
      <c r="D222" t="s">
        <v>1968</v>
      </c>
    </row>
    <row r="224" spans="1:7" x14ac:dyDescent="0.25">
      <c r="A224" s="3" t="s">
        <v>1808</v>
      </c>
      <c r="B224" s="3" t="s">
        <v>1809</v>
      </c>
      <c r="C224" s="4"/>
      <c r="D224" s="4"/>
      <c r="E224" s="4"/>
      <c r="F224" s="4"/>
      <c r="G224" s="4"/>
    </row>
    <row r="225" spans="1:5" x14ac:dyDescent="0.25">
      <c r="A225" s="6" t="s">
        <v>871</v>
      </c>
      <c r="B225" s="6" t="s">
        <v>1810</v>
      </c>
      <c r="C225" s="6" t="s">
        <v>1811</v>
      </c>
      <c r="D225" s="6" t="s">
        <v>1812</v>
      </c>
      <c r="E225" s="6" t="s">
        <v>1813</v>
      </c>
    </row>
    <row r="226" spans="1:5" ht="25.5" x14ac:dyDescent="0.25">
      <c r="A226" s="2" t="s">
        <v>1814</v>
      </c>
      <c r="B226" s="2" t="s">
        <v>1815</v>
      </c>
      <c r="C226" s="2">
        <v>1</v>
      </c>
      <c r="D226" s="2"/>
      <c r="E226" s="2"/>
    </row>
    <row r="227" spans="1:5" ht="25.5" x14ac:dyDescent="0.25">
      <c r="A227" s="2" t="s">
        <v>1816</v>
      </c>
      <c r="B227" s="2" t="s">
        <v>1817</v>
      </c>
      <c r="C227" s="2">
        <v>3</v>
      </c>
      <c r="D227" s="2"/>
      <c r="E227" s="2"/>
    </row>
    <row r="228" spans="1:5" ht="25.5" x14ac:dyDescent="0.25">
      <c r="A228" s="2" t="s">
        <v>1818</v>
      </c>
      <c r="B228" s="2" t="s">
        <v>1819</v>
      </c>
      <c r="C228" s="2">
        <v>6</v>
      </c>
      <c r="D228" s="2"/>
      <c r="E228" s="2"/>
    </row>
    <row r="229" spans="1:5" x14ac:dyDescent="0.25">
      <c r="A229" s="2" t="s">
        <v>1820</v>
      </c>
      <c r="B229" s="2" t="s">
        <v>1821</v>
      </c>
      <c r="C229" s="2">
        <v>1</v>
      </c>
      <c r="D229" s="2"/>
      <c r="E229" s="2" t="s">
        <v>940</v>
      </c>
    </row>
    <row r="230" spans="1:5" x14ac:dyDescent="0.25">
      <c r="A230" s="2" t="s">
        <v>1822</v>
      </c>
      <c r="B230" s="2" t="s">
        <v>1823</v>
      </c>
      <c r="C230" s="2">
        <v>2</v>
      </c>
      <c r="D230" s="2"/>
      <c r="E230" s="2"/>
    </row>
    <row r="231" spans="1:5" ht="25.5" x14ac:dyDescent="0.25">
      <c r="A231" s="2" t="s">
        <v>1824</v>
      </c>
      <c r="B231" s="2" t="s">
        <v>1825</v>
      </c>
      <c r="C231" s="2">
        <v>1</v>
      </c>
      <c r="D231" s="2"/>
      <c r="E231" s="2"/>
    </row>
    <row r="232" spans="1:5" ht="25.5" x14ac:dyDescent="0.25">
      <c r="A232" s="2" t="s">
        <v>1826</v>
      </c>
      <c r="B232" s="2" t="s">
        <v>1827</v>
      </c>
      <c r="C232" s="2">
        <v>1</v>
      </c>
      <c r="D232" s="2"/>
      <c r="E232" s="2"/>
    </row>
    <row r="233" spans="1:5" ht="25.5" x14ac:dyDescent="0.25">
      <c r="A233" s="2" t="s">
        <v>1828</v>
      </c>
      <c r="B233" s="2" t="s">
        <v>1829</v>
      </c>
      <c r="C233" s="2">
        <v>0</v>
      </c>
      <c r="D233" s="2"/>
      <c r="E233" s="2" t="s">
        <v>946</v>
      </c>
    </row>
    <row r="234" spans="1:5" x14ac:dyDescent="0.25">
      <c r="A234" s="2" t="s">
        <v>1830</v>
      </c>
      <c r="B234" s="2" t="s">
        <v>1831</v>
      </c>
      <c r="C234" s="2">
        <v>1</v>
      </c>
      <c r="D234" s="2"/>
      <c r="E234" s="2"/>
    </row>
    <row r="235" spans="1:5" x14ac:dyDescent="0.25">
      <c r="A235" s="2" t="s">
        <v>1832</v>
      </c>
      <c r="B235" s="2" t="s">
        <v>1833</v>
      </c>
      <c r="C235" s="2">
        <v>1</v>
      </c>
      <c r="D235" s="2"/>
      <c r="E235" s="2"/>
    </row>
    <row r="236" spans="1:5" x14ac:dyDescent="0.25">
      <c r="A236" s="2" t="s">
        <v>1834</v>
      </c>
      <c r="B236" s="2" t="s">
        <v>1835</v>
      </c>
      <c r="C236" s="2">
        <v>1</v>
      </c>
      <c r="D236" s="2"/>
      <c r="E236" s="2"/>
    </row>
    <row r="237" spans="1:5" x14ac:dyDescent="0.25">
      <c r="A237" s="2" t="s">
        <v>1836</v>
      </c>
      <c r="B237" s="2" t="s">
        <v>1837</v>
      </c>
      <c r="C237" s="2">
        <v>0.5</v>
      </c>
      <c r="D237" s="2"/>
      <c r="E237" s="2"/>
    </row>
    <row r="238" spans="1:5" x14ac:dyDescent="0.25">
      <c r="A238" s="2" t="s">
        <v>1838</v>
      </c>
      <c r="B238" s="2" t="s">
        <v>1839</v>
      </c>
      <c r="C238" s="2">
        <v>1</v>
      </c>
      <c r="D238" s="2"/>
      <c r="E238" s="2"/>
    </row>
    <row r="239" spans="1:5" x14ac:dyDescent="0.25">
      <c r="A239" s="2" t="s">
        <v>1840</v>
      </c>
      <c r="B239" s="2" t="s">
        <v>1841</v>
      </c>
      <c r="C239" s="2">
        <v>0.5</v>
      </c>
      <c r="D239" s="2"/>
      <c r="E239" s="2"/>
    </row>
    <row r="240" spans="1:5" ht="25.5" x14ac:dyDescent="0.25">
      <c r="A240" s="2" t="s">
        <v>1842</v>
      </c>
      <c r="B240" s="2" t="s">
        <v>1843</v>
      </c>
      <c r="C240" s="2">
        <v>1</v>
      </c>
      <c r="D240" s="2">
        <v>2</v>
      </c>
      <c r="E240" s="2"/>
    </row>
    <row r="241" spans="1:7" ht="38.25" x14ac:dyDescent="0.25">
      <c r="A241" s="2" t="s">
        <v>1844</v>
      </c>
      <c r="B241" s="2" t="s">
        <v>1845</v>
      </c>
      <c r="C241" s="2">
        <v>0.5</v>
      </c>
      <c r="D241" s="2">
        <v>0.25</v>
      </c>
      <c r="E241" s="2"/>
    </row>
    <row r="242" spans="1:7" x14ac:dyDescent="0.25">
      <c r="A242" s="2" t="s">
        <v>1846</v>
      </c>
      <c r="B242" s="2" t="s">
        <v>1847</v>
      </c>
      <c r="C242" s="2">
        <v>2</v>
      </c>
      <c r="D242" s="2"/>
      <c r="E242" s="2"/>
    </row>
    <row r="243" spans="1:7" x14ac:dyDescent="0.25">
      <c r="A243" s="2" t="s">
        <v>1848</v>
      </c>
      <c r="B243" s="2" t="s">
        <v>1849</v>
      </c>
      <c r="C243" s="2">
        <v>1</v>
      </c>
      <c r="D243" s="2"/>
      <c r="E243" s="2"/>
    </row>
    <row r="244" spans="1:7" ht="25.5" x14ac:dyDescent="0.25">
      <c r="A244" s="2" t="s">
        <v>1850</v>
      </c>
      <c r="B244" s="2" t="s">
        <v>1851</v>
      </c>
      <c r="C244" s="2">
        <v>1</v>
      </c>
      <c r="D244" s="2"/>
      <c r="E244" s="2"/>
    </row>
    <row r="245" spans="1:7" ht="25.5" x14ac:dyDescent="0.25">
      <c r="A245" s="2" t="s">
        <v>1852</v>
      </c>
      <c r="B245" s="2" t="s">
        <v>1853</v>
      </c>
      <c r="C245" s="2">
        <v>1</v>
      </c>
      <c r="D245" s="2"/>
      <c r="E245" s="2"/>
    </row>
    <row r="246" spans="1:7" x14ac:dyDescent="0.25">
      <c r="A246" s="2" t="s">
        <v>1854</v>
      </c>
      <c r="B246" s="2" t="s">
        <v>1855</v>
      </c>
      <c r="C246" s="2">
        <v>1</v>
      </c>
      <c r="D246" s="2"/>
      <c r="E246" s="2"/>
    </row>
    <row r="247" spans="1:7" ht="25.5" x14ac:dyDescent="0.25">
      <c r="A247" s="2" t="s">
        <v>1856</v>
      </c>
      <c r="B247" s="2" t="s">
        <v>1857</v>
      </c>
      <c r="C247" s="2">
        <v>1</v>
      </c>
      <c r="D247" s="2"/>
      <c r="E247" s="2"/>
    </row>
    <row r="248" spans="1:7" ht="38.25" x14ac:dyDescent="0.25">
      <c r="A248" s="2" t="s">
        <v>1965</v>
      </c>
      <c r="B248" s="2" t="s">
        <v>1966</v>
      </c>
      <c r="C248" s="2">
        <v>0</v>
      </c>
      <c r="D248" s="2">
        <v>0.3</v>
      </c>
      <c r="E248" s="2" t="s">
        <v>954</v>
      </c>
    </row>
    <row r="250" spans="1:7" x14ac:dyDescent="0.25">
      <c r="A250" s="3" t="s">
        <v>1858</v>
      </c>
      <c r="B250" s="3" t="s">
        <v>1859</v>
      </c>
      <c r="C250" s="4"/>
      <c r="D250" s="4"/>
      <c r="E250" s="4"/>
      <c r="F250" s="4"/>
      <c r="G250" s="4"/>
    </row>
    <row r="251" spans="1:7" ht="25.5" x14ac:dyDescent="0.25">
      <c r="A251" s="6" t="s">
        <v>871</v>
      </c>
      <c r="B251" s="6" t="s">
        <v>1860</v>
      </c>
      <c r="C251" s="6" t="s">
        <v>1861</v>
      </c>
      <c r="D251" s="6" t="s">
        <v>1862</v>
      </c>
      <c r="E251" s="6" t="s">
        <v>57</v>
      </c>
    </row>
    <row r="252" spans="1:7" ht="38.25" x14ac:dyDescent="0.25">
      <c r="A252" s="2" t="s">
        <v>1863</v>
      </c>
      <c r="B252" s="2" t="s">
        <v>1864</v>
      </c>
      <c r="C252" s="2" t="s">
        <v>1821</v>
      </c>
      <c r="D252" s="2">
        <v>5</v>
      </c>
      <c r="E252" s="2" t="s">
        <v>1865</v>
      </c>
    </row>
    <row r="253" spans="1:7" x14ac:dyDescent="0.25">
      <c r="A253" s="2" t="s">
        <v>1866</v>
      </c>
      <c r="B253" s="2" t="s">
        <v>1864</v>
      </c>
      <c r="C253" s="2" t="s">
        <v>1867</v>
      </c>
      <c r="D253" s="2">
        <v>3</v>
      </c>
      <c r="E253" s="2"/>
    </row>
    <row r="254" spans="1:7" x14ac:dyDescent="0.25">
      <c r="A254" s="2" t="s">
        <v>1868</v>
      </c>
      <c r="B254" s="2" t="s">
        <v>1864</v>
      </c>
      <c r="C254" s="2" t="s">
        <v>1869</v>
      </c>
      <c r="D254" s="2">
        <v>2</v>
      </c>
      <c r="E254" s="2"/>
    </row>
    <row r="255" spans="1:7" x14ac:dyDescent="0.25">
      <c r="A255" s="2" t="s">
        <v>1870</v>
      </c>
      <c r="B255" s="2" t="s">
        <v>1864</v>
      </c>
      <c r="C255" s="2" t="s">
        <v>1871</v>
      </c>
      <c r="D255" s="2">
        <v>1</v>
      </c>
      <c r="E255" s="2"/>
    </row>
    <row r="256" spans="1:7" ht="25.5" x14ac:dyDescent="0.25">
      <c r="A256" s="2" t="s">
        <v>1872</v>
      </c>
      <c r="B256" s="2" t="s">
        <v>1864</v>
      </c>
      <c r="C256" s="2" t="s">
        <v>1825</v>
      </c>
      <c r="D256" s="2">
        <v>1</v>
      </c>
      <c r="E256" s="2"/>
    </row>
    <row r="257" spans="1:5" ht="25.5" x14ac:dyDescent="0.25">
      <c r="A257" s="2" t="s">
        <v>1873</v>
      </c>
      <c r="B257" s="2" t="s">
        <v>1864</v>
      </c>
      <c r="C257" s="2" t="s">
        <v>1874</v>
      </c>
      <c r="D257" s="2">
        <v>1</v>
      </c>
      <c r="E257" s="2" t="s">
        <v>1875</v>
      </c>
    </row>
    <row r="258" spans="1:5" ht="51" x14ac:dyDescent="0.25">
      <c r="A258" s="2" t="s">
        <v>1876</v>
      </c>
      <c r="B258" s="2" t="s">
        <v>1864</v>
      </c>
      <c r="C258" s="2" t="s">
        <v>1877</v>
      </c>
      <c r="D258" s="2">
        <v>0.5</v>
      </c>
      <c r="E258" s="2" t="s">
        <v>1878</v>
      </c>
    </row>
    <row r="259" spans="1:5" x14ac:dyDescent="0.25">
      <c r="A259" s="2" t="s">
        <v>1879</v>
      </c>
      <c r="B259" s="2" t="s">
        <v>1864</v>
      </c>
      <c r="C259" s="2" t="s">
        <v>1880</v>
      </c>
      <c r="D259" s="2">
        <v>1</v>
      </c>
      <c r="E259" s="2"/>
    </row>
    <row r="260" spans="1:5" ht="25.5" x14ac:dyDescent="0.25">
      <c r="A260" s="2" t="s">
        <v>1881</v>
      </c>
      <c r="B260" s="2" t="s">
        <v>1882</v>
      </c>
      <c r="C260" s="2" t="s">
        <v>1883</v>
      </c>
      <c r="D260" s="2">
        <v>2</v>
      </c>
      <c r="E260" s="2" t="s">
        <v>1884</v>
      </c>
    </row>
    <row r="261" spans="1:5" ht="51" x14ac:dyDescent="0.25">
      <c r="A261" s="2" t="s">
        <v>1885</v>
      </c>
      <c r="B261" s="2" t="s">
        <v>1882</v>
      </c>
      <c r="C261" s="2" t="s">
        <v>1835</v>
      </c>
      <c r="D261" s="2">
        <v>4</v>
      </c>
      <c r="E261" s="2" t="s">
        <v>1886</v>
      </c>
    </row>
    <row r="262" spans="1:5" ht="25.5" x14ac:dyDescent="0.25">
      <c r="A262" s="2" t="s">
        <v>1887</v>
      </c>
      <c r="B262" s="2" t="s">
        <v>1882</v>
      </c>
      <c r="C262" s="2" t="s">
        <v>1888</v>
      </c>
      <c r="D262" s="2">
        <v>2</v>
      </c>
      <c r="E262" s="2" t="s">
        <v>1889</v>
      </c>
    </row>
    <row r="263" spans="1:5" ht="25.5" x14ac:dyDescent="0.25">
      <c r="A263" s="2" t="s">
        <v>1890</v>
      </c>
      <c r="B263" s="2" t="s">
        <v>1882</v>
      </c>
      <c r="C263" s="2" t="s">
        <v>1891</v>
      </c>
      <c r="D263" s="2">
        <v>1</v>
      </c>
      <c r="E263" s="2"/>
    </row>
    <row r="264" spans="1:5" ht="38.25" x14ac:dyDescent="0.25">
      <c r="A264" s="2" t="s">
        <v>1892</v>
      </c>
      <c r="B264" s="2" t="s">
        <v>1882</v>
      </c>
      <c r="C264" s="2" t="s">
        <v>1893</v>
      </c>
      <c r="D264" s="2">
        <v>1.5</v>
      </c>
      <c r="E264" s="2" t="s">
        <v>1894</v>
      </c>
    </row>
    <row r="265" spans="1:5" ht="25.5" x14ac:dyDescent="0.25">
      <c r="A265" s="2" t="s">
        <v>1895</v>
      </c>
      <c r="B265" s="2" t="s">
        <v>1882</v>
      </c>
      <c r="C265" s="2" t="s">
        <v>1896</v>
      </c>
      <c r="D265" s="2">
        <v>0.75</v>
      </c>
      <c r="E265" s="2"/>
    </row>
    <row r="266" spans="1:5" x14ac:dyDescent="0.25">
      <c r="A266" s="2" t="s">
        <v>1897</v>
      </c>
      <c r="B266" s="2" t="s">
        <v>1882</v>
      </c>
      <c r="C266" s="2" t="s">
        <v>1898</v>
      </c>
      <c r="D266" s="2">
        <v>1.5</v>
      </c>
      <c r="E266" s="2" t="s">
        <v>1899</v>
      </c>
    </row>
    <row r="267" spans="1:5" ht="25.5" x14ac:dyDescent="0.25">
      <c r="A267" s="2" t="s">
        <v>1900</v>
      </c>
      <c r="B267" s="2" t="s">
        <v>1882</v>
      </c>
      <c r="C267" s="2" t="s">
        <v>1901</v>
      </c>
      <c r="D267" s="2">
        <v>0.5</v>
      </c>
      <c r="E267" s="2"/>
    </row>
    <row r="268" spans="1:5" ht="25.5" x14ac:dyDescent="0.25">
      <c r="A268" s="2" t="s">
        <v>1902</v>
      </c>
      <c r="B268" s="2" t="s">
        <v>1882</v>
      </c>
      <c r="C268" s="2" t="s">
        <v>1903</v>
      </c>
      <c r="D268" s="2">
        <v>0.5</v>
      </c>
      <c r="E268" s="2" t="s">
        <v>1904</v>
      </c>
    </row>
    <row r="269" spans="1:5" ht="25.5" x14ac:dyDescent="0.25">
      <c r="A269" s="2" t="s">
        <v>1905</v>
      </c>
      <c r="B269" s="2" t="s">
        <v>1882</v>
      </c>
      <c r="C269" s="2" t="s">
        <v>1906</v>
      </c>
      <c r="D269" s="2">
        <v>0.5</v>
      </c>
      <c r="E269" s="2" t="s">
        <v>1907</v>
      </c>
    </row>
    <row r="270" spans="1:5" ht="25.5" x14ac:dyDescent="0.25">
      <c r="A270" s="2" t="s">
        <v>1908</v>
      </c>
      <c r="B270" s="2" t="s">
        <v>1882</v>
      </c>
      <c r="C270" s="2" t="s">
        <v>1909</v>
      </c>
      <c r="D270" s="2">
        <v>0.5</v>
      </c>
      <c r="E270" s="2" t="s">
        <v>1910</v>
      </c>
    </row>
    <row r="271" spans="1:5" ht="25.5" x14ac:dyDescent="0.25">
      <c r="A271" s="2" t="s">
        <v>1911</v>
      </c>
      <c r="B271" s="2" t="s">
        <v>1882</v>
      </c>
      <c r="C271" s="2" t="s">
        <v>1912</v>
      </c>
      <c r="D271" s="2">
        <v>0.5</v>
      </c>
      <c r="E271" s="2" t="s">
        <v>1913</v>
      </c>
    </row>
    <row r="272" spans="1:5" x14ac:dyDescent="0.25">
      <c r="A272" s="2" t="s">
        <v>1914</v>
      </c>
      <c r="B272" s="2" t="s">
        <v>1915</v>
      </c>
      <c r="C272" s="2" t="s">
        <v>1821</v>
      </c>
      <c r="D272" s="2">
        <v>3</v>
      </c>
      <c r="E272" s="2" t="s">
        <v>1916</v>
      </c>
    </row>
    <row r="273" spans="1:7" x14ac:dyDescent="0.25">
      <c r="A273" s="2" t="s">
        <v>1917</v>
      </c>
      <c r="B273" s="2" t="s">
        <v>1915</v>
      </c>
      <c r="C273" s="2" t="s">
        <v>1918</v>
      </c>
      <c r="D273" s="2">
        <v>2</v>
      </c>
      <c r="E273" s="2" t="s">
        <v>1916</v>
      </c>
    </row>
    <row r="274" spans="1:7" x14ac:dyDescent="0.25">
      <c r="A274" s="2" t="s">
        <v>1919</v>
      </c>
      <c r="B274" s="2" t="s">
        <v>1920</v>
      </c>
      <c r="C274" s="2" t="s">
        <v>1921</v>
      </c>
      <c r="D274" s="2">
        <v>1</v>
      </c>
      <c r="E274" s="2" t="s">
        <v>1916</v>
      </c>
    </row>
    <row r="275" spans="1:7" ht="25.5" x14ac:dyDescent="0.25">
      <c r="A275" s="2" t="s">
        <v>1922</v>
      </c>
      <c r="B275" s="2" t="s">
        <v>1920</v>
      </c>
      <c r="C275" s="2" t="s">
        <v>1923</v>
      </c>
      <c r="D275" s="2">
        <v>0.5</v>
      </c>
      <c r="E275" s="2"/>
    </row>
    <row r="276" spans="1:7" x14ac:dyDescent="0.25">
      <c r="A276" s="2" t="s">
        <v>1924</v>
      </c>
      <c r="B276" s="2" t="s">
        <v>1920</v>
      </c>
      <c r="C276" s="2" t="s">
        <v>1925</v>
      </c>
      <c r="D276" s="2">
        <v>0.5</v>
      </c>
      <c r="E276" s="2"/>
    </row>
    <row r="277" spans="1:7" x14ac:dyDescent="0.25">
      <c r="A277" s="2" t="s">
        <v>1926</v>
      </c>
      <c r="B277" s="2" t="s">
        <v>1920</v>
      </c>
      <c r="C277" s="2" t="s">
        <v>1927</v>
      </c>
      <c r="D277" s="2">
        <v>0.5</v>
      </c>
      <c r="E277" s="2"/>
    </row>
    <row r="278" spans="1:7" x14ac:dyDescent="0.25">
      <c r="A278" s="2" t="s">
        <v>1928</v>
      </c>
      <c r="B278" s="2" t="s">
        <v>1929</v>
      </c>
      <c r="C278" s="2" t="s">
        <v>1930</v>
      </c>
      <c r="D278" s="2">
        <v>25</v>
      </c>
      <c r="E278" s="2"/>
    </row>
    <row r="280" spans="1:7" x14ac:dyDescent="0.25">
      <c r="A280" s="3" t="s">
        <v>1931</v>
      </c>
      <c r="B280" s="3" t="s">
        <v>1932</v>
      </c>
      <c r="C280" s="4"/>
      <c r="D280" s="4"/>
      <c r="E280" s="4"/>
      <c r="F280" s="4"/>
      <c r="G280" s="4"/>
    </row>
    <row r="281" spans="1:7" x14ac:dyDescent="0.25">
      <c r="A281" s="6" t="s">
        <v>871</v>
      </c>
      <c r="B281" s="6" t="s">
        <v>739</v>
      </c>
      <c r="C281" s="6" t="s">
        <v>57</v>
      </c>
    </row>
    <row r="282" spans="1:7" ht="63.75" x14ac:dyDescent="0.25">
      <c r="A282" s="2" t="s">
        <v>1933</v>
      </c>
      <c r="B282" s="2" t="s">
        <v>1934</v>
      </c>
      <c r="C282" s="2" t="s">
        <v>1935</v>
      </c>
    </row>
    <row r="283" spans="1:7" ht="25.5" x14ac:dyDescent="0.25">
      <c r="A283" s="2" t="s">
        <v>1936</v>
      </c>
      <c r="B283" s="2" t="s">
        <v>1937</v>
      </c>
      <c r="C283" s="2" t="s">
        <v>1938</v>
      </c>
    </row>
    <row r="284" spans="1:7" ht="51" x14ac:dyDescent="0.25">
      <c r="A284" s="2" t="s">
        <v>1939</v>
      </c>
      <c r="B284" s="2">
        <v>3.5</v>
      </c>
      <c r="C284" s="2" t="s">
        <v>1940</v>
      </c>
    </row>
    <row r="285" spans="1:7" ht="25.5" x14ac:dyDescent="0.25">
      <c r="A285" s="2" t="s">
        <v>1941</v>
      </c>
      <c r="B285" s="2">
        <v>12</v>
      </c>
      <c r="C285" s="2" t="s">
        <v>1942</v>
      </c>
    </row>
    <row r="287" spans="1:7" x14ac:dyDescent="0.25">
      <c r="A287" s="3" t="s">
        <v>1943</v>
      </c>
      <c r="B287" s="3" t="s">
        <v>1944</v>
      </c>
      <c r="C287" s="4"/>
      <c r="D287" s="4"/>
      <c r="E287" s="4"/>
      <c r="F287" s="4"/>
      <c r="G287" s="4"/>
    </row>
    <row r="288" spans="1:7" x14ac:dyDescent="0.25">
      <c r="A288" s="6" t="s">
        <v>1945</v>
      </c>
      <c r="B288" s="6" t="s">
        <v>1946</v>
      </c>
      <c r="C288" s="6" t="s">
        <v>1947</v>
      </c>
      <c r="D288" s="6" t="s">
        <v>57</v>
      </c>
    </row>
    <row r="289" spans="1:4" x14ac:dyDescent="0.25">
      <c r="A289" s="2" t="s">
        <v>1948</v>
      </c>
      <c r="B289" s="2">
        <v>0</v>
      </c>
      <c r="C289" s="2">
        <v>0</v>
      </c>
      <c r="D289" s="2" t="s">
        <v>1949</v>
      </c>
    </row>
    <row r="290" spans="1:4" ht="25.5" x14ac:dyDescent="0.25">
      <c r="A290" s="2" t="s">
        <v>2014</v>
      </c>
      <c r="B290" s="2">
        <v>-3</v>
      </c>
      <c r="C290" s="2">
        <v>2</v>
      </c>
      <c r="D290" s="2" t="s">
        <v>1950</v>
      </c>
    </row>
    <row r="291" spans="1:4" ht="25.5" x14ac:dyDescent="0.25">
      <c r="A291" s="2" t="s">
        <v>2015</v>
      </c>
      <c r="B291" s="2">
        <v>-1.5</v>
      </c>
      <c r="C291" s="2">
        <v>1</v>
      </c>
      <c r="D291" s="2" t="s">
        <v>1951</v>
      </c>
    </row>
    <row r="292" spans="1:4" ht="38.25" x14ac:dyDescent="0.25">
      <c r="A292" s="2" t="s">
        <v>2016</v>
      </c>
      <c r="B292" s="2">
        <v>0</v>
      </c>
      <c r="C292" s="2">
        <v>0</v>
      </c>
      <c r="D292" s="2" t="s">
        <v>1952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9D79-821F-4989-B419-81F8F58157F8}">
  <dimension ref="A1:P237"/>
  <sheetViews>
    <sheetView showGridLines="0" workbookViewId="0">
      <selection activeCell="B6" sqref="B6"/>
    </sheetView>
  </sheetViews>
  <sheetFormatPr defaultRowHeight="12.75" x14ac:dyDescent="0.2"/>
  <cols>
    <col min="1" max="1" width="12.7109375" style="8" customWidth="1"/>
    <col min="2" max="2" width="10.7109375" style="8" customWidth="1"/>
    <col min="3" max="3" width="24.7109375" style="8" customWidth="1"/>
    <col min="4" max="4" width="30.7109375" style="8" customWidth="1"/>
    <col min="5" max="6" width="16.7109375" style="8" customWidth="1"/>
    <col min="7" max="7" width="30.7109375" style="8" customWidth="1"/>
    <col min="8" max="10" width="16.7109375" style="8" customWidth="1"/>
    <col min="11" max="11" width="24.7109375" style="8" customWidth="1"/>
    <col min="12" max="12" width="30.7109375" style="8" customWidth="1"/>
    <col min="13" max="13" width="40.7109375" style="8" customWidth="1"/>
    <col min="14" max="16" width="16.7109375" style="8" customWidth="1"/>
    <col min="17" max="16384" width="9.140625" style="8"/>
  </cols>
  <sheetData>
    <row r="1" spans="1:16" ht="18" x14ac:dyDescent="0.25">
      <c r="A1" s="9" t="s">
        <v>1499</v>
      </c>
    </row>
    <row r="2" spans="1:16" x14ac:dyDescent="0.2">
      <c r="A2" s="10" t="s">
        <v>1500</v>
      </c>
    </row>
    <row r="4" spans="1:16" x14ac:dyDescent="0.2">
      <c r="A4" s="11" t="s">
        <v>1501</v>
      </c>
    </row>
    <row r="5" spans="1:16" ht="42" customHeight="1" x14ac:dyDescent="0.2">
      <c r="A5" s="28" t="s">
        <v>34</v>
      </c>
      <c r="B5" s="28" t="s">
        <v>747</v>
      </c>
      <c r="C5" s="28" t="s">
        <v>1502</v>
      </c>
      <c r="D5" s="28" t="s">
        <v>35</v>
      </c>
      <c r="E5" s="28" t="s">
        <v>36</v>
      </c>
      <c r="F5" s="28" t="s">
        <v>5</v>
      </c>
      <c r="G5" s="28" t="s">
        <v>43</v>
      </c>
      <c r="H5" s="28" t="s">
        <v>48</v>
      </c>
      <c r="I5" s="28" t="s">
        <v>49</v>
      </c>
      <c r="J5" s="28" t="s">
        <v>50</v>
      </c>
      <c r="K5" s="28" t="s">
        <v>4</v>
      </c>
      <c r="L5" s="28" t="s">
        <v>52</v>
      </c>
      <c r="M5" s="28" t="s">
        <v>53</v>
      </c>
      <c r="N5" s="28" t="s">
        <v>54</v>
      </c>
      <c r="O5" s="28" t="s">
        <v>55</v>
      </c>
      <c r="P5" s="28" t="s">
        <v>56</v>
      </c>
    </row>
    <row r="6" spans="1:16" x14ac:dyDescent="0.2">
      <c r="A6" s="15" t="s">
        <v>59</v>
      </c>
      <c r="B6" s="14" t="s">
        <v>71</v>
      </c>
      <c r="C6" s="15" t="s">
        <v>62</v>
      </c>
      <c r="D6" s="15" t="s">
        <v>60</v>
      </c>
      <c r="E6" s="15" t="s">
        <v>61</v>
      </c>
      <c r="F6" s="15" t="s">
        <v>63</v>
      </c>
      <c r="G6" s="15" t="s">
        <v>1960</v>
      </c>
      <c r="H6" s="15" t="s">
        <v>69</v>
      </c>
      <c r="I6" s="15" t="s">
        <v>61</v>
      </c>
      <c r="J6" s="15" t="s">
        <v>65</v>
      </c>
      <c r="K6" s="15" t="s">
        <v>70</v>
      </c>
      <c r="L6" s="14" t="s">
        <v>71</v>
      </c>
      <c r="M6" s="15">
        <v>1</v>
      </c>
      <c r="N6" s="15"/>
      <c r="O6" s="15"/>
      <c r="P6" s="14" t="s">
        <v>71</v>
      </c>
    </row>
    <row r="7" spans="1:16" x14ac:dyDescent="0.2">
      <c r="A7" s="15" t="s">
        <v>73</v>
      </c>
      <c r="B7" s="14" t="s">
        <v>81</v>
      </c>
      <c r="C7" s="15" t="s">
        <v>74</v>
      </c>
      <c r="D7" s="15" t="s">
        <v>60</v>
      </c>
      <c r="E7" s="15" t="s">
        <v>61</v>
      </c>
      <c r="F7" s="15" t="s">
        <v>63</v>
      </c>
      <c r="G7" s="15" t="s">
        <v>76</v>
      </c>
      <c r="H7" s="15" t="s">
        <v>78</v>
      </c>
      <c r="I7" s="15" t="s">
        <v>79</v>
      </c>
      <c r="J7" s="15" t="s">
        <v>65</v>
      </c>
      <c r="K7" s="15"/>
      <c r="L7" s="14" t="s">
        <v>81</v>
      </c>
      <c r="M7" s="15">
        <v>1</v>
      </c>
      <c r="N7" s="15"/>
      <c r="O7" s="15"/>
      <c r="P7" s="14" t="s">
        <v>81</v>
      </c>
    </row>
    <row r="8" spans="1:16" x14ac:dyDescent="0.2">
      <c r="A8" s="15" t="s">
        <v>83</v>
      </c>
      <c r="B8" s="14" t="s">
        <v>94</v>
      </c>
      <c r="C8" s="15" t="s">
        <v>84</v>
      </c>
      <c r="D8" s="15" t="s">
        <v>60</v>
      </c>
      <c r="E8" s="15" t="s">
        <v>61</v>
      </c>
      <c r="F8" s="15" t="s">
        <v>63</v>
      </c>
      <c r="G8" s="15" t="s">
        <v>85</v>
      </c>
      <c r="H8" s="15" t="s">
        <v>87</v>
      </c>
      <c r="I8" s="15" t="s">
        <v>61</v>
      </c>
      <c r="J8" s="15" t="s">
        <v>65</v>
      </c>
      <c r="K8" s="15"/>
      <c r="L8" s="14" t="s">
        <v>81</v>
      </c>
      <c r="M8" s="15">
        <v>1</v>
      </c>
      <c r="N8" s="15"/>
      <c r="O8" s="15"/>
      <c r="P8" s="14" t="s">
        <v>88</v>
      </c>
    </row>
    <row r="9" spans="1:16" x14ac:dyDescent="0.2">
      <c r="A9" s="15" t="s">
        <v>90</v>
      </c>
      <c r="B9" s="14" t="s">
        <v>100</v>
      </c>
      <c r="C9" s="15" t="s">
        <v>91</v>
      </c>
      <c r="D9" s="15" t="s">
        <v>60</v>
      </c>
      <c r="E9" s="15" t="s">
        <v>61</v>
      </c>
      <c r="F9" s="15" t="s">
        <v>63</v>
      </c>
      <c r="G9" s="15" t="s">
        <v>92</v>
      </c>
      <c r="H9" s="15" t="s">
        <v>99</v>
      </c>
      <c r="I9" s="15" t="s">
        <v>61</v>
      </c>
      <c r="J9" s="15" t="s">
        <v>65</v>
      </c>
      <c r="K9" s="15"/>
      <c r="L9" s="14" t="s">
        <v>71</v>
      </c>
      <c r="M9" s="15">
        <v>1</v>
      </c>
      <c r="N9" s="15"/>
      <c r="O9" s="15"/>
      <c r="P9" s="14" t="s">
        <v>94</v>
      </c>
    </row>
    <row r="10" spans="1:16" x14ac:dyDescent="0.2">
      <c r="A10" s="15" t="s">
        <v>96</v>
      </c>
      <c r="B10" s="14" t="s">
        <v>88</v>
      </c>
      <c r="C10" s="15" t="s">
        <v>97</v>
      </c>
      <c r="D10" s="15" t="s">
        <v>60</v>
      </c>
      <c r="E10" s="15" t="s">
        <v>61</v>
      </c>
      <c r="F10" s="15" t="s">
        <v>63</v>
      </c>
      <c r="G10" s="15" t="s">
        <v>98</v>
      </c>
      <c r="H10" s="15" t="s">
        <v>99</v>
      </c>
      <c r="I10" s="15" t="s">
        <v>61</v>
      </c>
      <c r="J10" s="15" t="s">
        <v>65</v>
      </c>
      <c r="K10" s="15"/>
      <c r="L10" s="14" t="s">
        <v>100</v>
      </c>
      <c r="M10" s="15">
        <v>1</v>
      </c>
      <c r="N10" s="15"/>
      <c r="O10" s="15"/>
      <c r="P10" s="14" t="s">
        <v>100</v>
      </c>
    </row>
    <row r="11" spans="1:16" x14ac:dyDescent="0.2">
      <c r="A11" s="15" t="s">
        <v>102</v>
      </c>
      <c r="B11" s="14" t="s">
        <v>110</v>
      </c>
      <c r="C11" s="15" t="s">
        <v>103</v>
      </c>
      <c r="D11" s="15" t="s">
        <v>60</v>
      </c>
      <c r="E11" s="15" t="s">
        <v>61</v>
      </c>
      <c r="F11" s="15" t="s">
        <v>63</v>
      </c>
      <c r="G11" s="15" t="s">
        <v>106</v>
      </c>
      <c r="H11" s="15" t="s">
        <v>78</v>
      </c>
      <c r="I11" s="15" t="s">
        <v>61</v>
      </c>
      <c r="J11" s="15" t="s">
        <v>65</v>
      </c>
      <c r="K11" s="15"/>
      <c r="L11" s="14" t="s">
        <v>109</v>
      </c>
      <c r="M11" s="15">
        <v>1</v>
      </c>
      <c r="N11" s="15"/>
      <c r="O11" s="15"/>
      <c r="P11" s="14" t="s">
        <v>110</v>
      </c>
    </row>
    <row r="12" spans="1:16" x14ac:dyDescent="0.2">
      <c r="A12" s="15" t="s">
        <v>112</v>
      </c>
      <c r="B12" s="14" t="s">
        <v>117</v>
      </c>
      <c r="C12" s="15" t="s">
        <v>113</v>
      </c>
      <c r="D12" s="15" t="s">
        <v>60</v>
      </c>
      <c r="E12" s="15" t="s">
        <v>61</v>
      </c>
      <c r="F12" s="15" t="s">
        <v>63</v>
      </c>
      <c r="G12" s="15" t="s">
        <v>1503</v>
      </c>
      <c r="H12" s="15" t="s">
        <v>78</v>
      </c>
      <c r="I12" s="15" t="s">
        <v>61</v>
      </c>
      <c r="J12" s="15" t="s">
        <v>65</v>
      </c>
      <c r="K12" s="15"/>
      <c r="L12" s="14" t="s">
        <v>88</v>
      </c>
      <c r="M12" s="15">
        <v>1</v>
      </c>
      <c r="N12" s="15"/>
      <c r="O12" s="15"/>
      <c r="P12" s="14" t="s">
        <v>117</v>
      </c>
    </row>
    <row r="13" spans="1:16" x14ac:dyDescent="0.2">
      <c r="A13" s="15" t="s">
        <v>121</v>
      </c>
      <c r="B13" s="14" t="s">
        <v>129</v>
      </c>
      <c r="C13" s="15" t="s">
        <v>123</v>
      </c>
      <c r="D13" s="15" t="s">
        <v>122</v>
      </c>
      <c r="E13" s="15" t="s">
        <v>61</v>
      </c>
      <c r="F13" s="15" t="s">
        <v>63</v>
      </c>
      <c r="G13" s="15" t="s">
        <v>98</v>
      </c>
      <c r="H13" s="15" t="s">
        <v>127</v>
      </c>
      <c r="I13" s="15" t="s">
        <v>128</v>
      </c>
      <c r="J13" s="15" t="s">
        <v>65</v>
      </c>
      <c r="K13" s="15"/>
      <c r="L13" s="14" t="s">
        <v>129</v>
      </c>
      <c r="M13" s="15">
        <v>1</v>
      </c>
      <c r="N13" s="15"/>
      <c r="O13" s="15"/>
      <c r="P13" s="15" t="s">
        <v>130</v>
      </c>
    </row>
    <row r="14" spans="1:16" x14ac:dyDescent="0.2">
      <c r="A14" s="15" t="s">
        <v>139</v>
      </c>
      <c r="B14" s="14" t="s">
        <v>1096</v>
      </c>
      <c r="C14" s="15" t="s">
        <v>140</v>
      </c>
      <c r="D14" s="15" t="s">
        <v>122</v>
      </c>
      <c r="E14" s="15" t="s">
        <v>61</v>
      </c>
      <c r="F14" s="15" t="s">
        <v>63</v>
      </c>
      <c r="G14" s="15" t="s">
        <v>98</v>
      </c>
      <c r="H14" s="15" t="s">
        <v>127</v>
      </c>
      <c r="I14" s="15" t="s">
        <v>128</v>
      </c>
      <c r="J14" s="15" t="s">
        <v>65</v>
      </c>
      <c r="K14" s="15"/>
      <c r="L14" s="14" t="s">
        <v>129</v>
      </c>
      <c r="M14" s="15">
        <v>1</v>
      </c>
      <c r="N14" s="15"/>
      <c r="O14" s="15"/>
      <c r="P14" s="14" t="s">
        <v>142</v>
      </c>
    </row>
    <row r="15" spans="1:16" x14ac:dyDescent="0.2">
      <c r="A15" s="15" t="s">
        <v>144</v>
      </c>
      <c r="B15" s="14" t="s">
        <v>142</v>
      </c>
      <c r="C15" s="15" t="s">
        <v>145</v>
      </c>
      <c r="D15" s="15" t="s">
        <v>122</v>
      </c>
      <c r="E15" s="15" t="s">
        <v>61</v>
      </c>
      <c r="F15" s="15" t="s">
        <v>63</v>
      </c>
      <c r="G15" s="15" t="s">
        <v>98</v>
      </c>
      <c r="H15" s="15" t="s">
        <v>127</v>
      </c>
      <c r="I15" s="15" t="s">
        <v>61</v>
      </c>
      <c r="J15" s="15" t="s">
        <v>65</v>
      </c>
      <c r="K15" s="15"/>
      <c r="L15" s="14" t="s">
        <v>129</v>
      </c>
      <c r="M15" s="15">
        <v>1</v>
      </c>
      <c r="N15" s="15"/>
      <c r="O15" s="15"/>
      <c r="P15" s="15" t="s">
        <v>149</v>
      </c>
    </row>
    <row r="16" spans="1:16" x14ac:dyDescent="0.2">
      <c r="A16" s="15" t="s">
        <v>151</v>
      </c>
      <c r="B16" s="14" t="s">
        <v>156</v>
      </c>
      <c r="C16" s="15" t="s">
        <v>154</v>
      </c>
      <c r="D16" s="15" t="s">
        <v>152</v>
      </c>
      <c r="E16" s="15" t="s">
        <v>153</v>
      </c>
      <c r="F16" s="15" t="s">
        <v>63</v>
      </c>
      <c r="G16" s="15" t="s">
        <v>85</v>
      </c>
      <c r="H16" s="15" t="s">
        <v>127</v>
      </c>
      <c r="I16" s="15" t="s">
        <v>128</v>
      </c>
      <c r="J16" s="15" t="s">
        <v>65</v>
      </c>
      <c r="K16" s="15"/>
      <c r="L16" s="14" t="s">
        <v>156</v>
      </c>
      <c r="M16" s="15">
        <v>1</v>
      </c>
      <c r="N16" s="15"/>
      <c r="O16" s="15"/>
      <c r="P16" s="14" t="s">
        <v>156</v>
      </c>
    </row>
    <row r="17" spans="1:16" x14ac:dyDescent="0.2">
      <c r="A17" s="15" t="s">
        <v>158</v>
      </c>
      <c r="B17" s="14" t="s">
        <v>164</v>
      </c>
      <c r="C17" s="15" t="s">
        <v>159</v>
      </c>
      <c r="D17" s="15" t="s">
        <v>152</v>
      </c>
      <c r="E17" s="15" t="s">
        <v>153</v>
      </c>
      <c r="F17" s="15" t="s">
        <v>63</v>
      </c>
      <c r="G17" s="15" t="s">
        <v>161</v>
      </c>
      <c r="H17" s="15" t="s">
        <v>127</v>
      </c>
      <c r="I17" s="15" t="s">
        <v>128</v>
      </c>
      <c r="J17" s="15" t="s">
        <v>65</v>
      </c>
      <c r="K17" s="15" t="s">
        <v>163</v>
      </c>
      <c r="L17" s="14" t="s">
        <v>164</v>
      </c>
      <c r="M17" s="15">
        <v>1</v>
      </c>
      <c r="N17" s="15"/>
      <c r="O17" s="15"/>
      <c r="P17" s="14" t="s">
        <v>164</v>
      </c>
    </row>
    <row r="18" spans="1:16" x14ac:dyDescent="0.2">
      <c r="A18" s="15" t="s">
        <v>166</v>
      </c>
      <c r="B18" s="14" t="s">
        <v>184</v>
      </c>
      <c r="C18" s="15" t="s">
        <v>167</v>
      </c>
      <c r="D18" s="15" t="s">
        <v>152</v>
      </c>
      <c r="E18" s="15" t="s">
        <v>153</v>
      </c>
      <c r="F18" s="15" t="s">
        <v>63</v>
      </c>
      <c r="G18" s="15" t="s">
        <v>85</v>
      </c>
      <c r="H18" s="15" t="s">
        <v>169</v>
      </c>
      <c r="I18" s="15" t="s">
        <v>128</v>
      </c>
      <c r="J18" s="15" t="s">
        <v>65</v>
      </c>
      <c r="K18" s="15" t="s">
        <v>163</v>
      </c>
      <c r="L18" s="14" t="s">
        <v>170</v>
      </c>
      <c r="M18" s="15">
        <v>1</v>
      </c>
      <c r="N18" s="15"/>
      <c r="O18" s="15"/>
      <c r="P18" s="14" t="s">
        <v>170</v>
      </c>
    </row>
    <row r="19" spans="1:16" x14ac:dyDescent="0.2">
      <c r="A19" s="15" t="s">
        <v>172</v>
      </c>
      <c r="B19" s="14" t="s">
        <v>170</v>
      </c>
      <c r="C19" s="15" t="s">
        <v>173</v>
      </c>
      <c r="D19" s="15" t="s">
        <v>152</v>
      </c>
      <c r="E19" s="15" t="s">
        <v>153</v>
      </c>
      <c r="F19" s="15" t="s">
        <v>63</v>
      </c>
      <c r="G19" s="15" t="s">
        <v>106</v>
      </c>
      <c r="H19" s="15" t="s">
        <v>1613</v>
      </c>
      <c r="I19" s="15" t="s">
        <v>61</v>
      </c>
      <c r="J19" s="15" t="s">
        <v>178</v>
      </c>
      <c r="K19" s="15"/>
      <c r="L19" s="14" t="s">
        <v>164</v>
      </c>
      <c r="M19" s="15">
        <v>1</v>
      </c>
      <c r="N19" s="15"/>
      <c r="O19" s="15"/>
      <c r="P19" s="15" t="s">
        <v>179</v>
      </c>
    </row>
    <row r="20" spans="1:16" x14ac:dyDescent="0.2">
      <c r="A20" s="15" t="s">
        <v>181</v>
      </c>
      <c r="B20" s="14" t="s">
        <v>188</v>
      </c>
      <c r="C20" s="15" t="s">
        <v>183</v>
      </c>
      <c r="D20" s="15" t="s">
        <v>152</v>
      </c>
      <c r="E20" s="15" t="s">
        <v>182</v>
      </c>
      <c r="F20" s="15" t="s">
        <v>63</v>
      </c>
      <c r="G20" s="15" t="s">
        <v>98</v>
      </c>
      <c r="H20" s="15" t="s">
        <v>169</v>
      </c>
      <c r="I20" s="15" t="s">
        <v>128</v>
      </c>
      <c r="J20" s="15" t="s">
        <v>65</v>
      </c>
      <c r="K20" s="15"/>
      <c r="L20" s="14" t="s">
        <v>184</v>
      </c>
      <c r="M20" s="15">
        <v>1</v>
      </c>
      <c r="N20" s="15"/>
      <c r="O20" s="15"/>
      <c r="P20" s="14" t="s">
        <v>184</v>
      </c>
    </row>
    <row r="21" spans="1:16" x14ac:dyDescent="0.2">
      <c r="A21" s="15" t="s">
        <v>186</v>
      </c>
      <c r="B21" s="14" t="s">
        <v>193</v>
      </c>
      <c r="C21" s="15" t="s">
        <v>187</v>
      </c>
      <c r="D21" s="15" t="s">
        <v>152</v>
      </c>
      <c r="E21" s="15" t="s">
        <v>182</v>
      </c>
      <c r="F21" s="15" t="s">
        <v>63</v>
      </c>
      <c r="G21" s="15" t="s">
        <v>85</v>
      </c>
      <c r="H21" s="15" t="s">
        <v>169</v>
      </c>
      <c r="I21" s="15" t="s">
        <v>128</v>
      </c>
      <c r="J21" s="15" t="s">
        <v>65</v>
      </c>
      <c r="K21" s="15"/>
      <c r="L21" s="14" t="s">
        <v>188</v>
      </c>
      <c r="M21" s="15">
        <v>1</v>
      </c>
      <c r="N21" s="15"/>
      <c r="O21" s="15"/>
      <c r="P21" s="14" t="s">
        <v>188</v>
      </c>
    </row>
    <row r="22" spans="1:16" x14ac:dyDescent="0.2">
      <c r="A22" s="15" t="s">
        <v>190</v>
      </c>
      <c r="B22" s="14" t="s">
        <v>199</v>
      </c>
      <c r="C22" s="15" t="s">
        <v>191</v>
      </c>
      <c r="D22" s="15" t="s">
        <v>152</v>
      </c>
      <c r="E22" s="15" t="s">
        <v>182</v>
      </c>
      <c r="F22" s="15" t="s">
        <v>63</v>
      </c>
      <c r="G22" s="15" t="s">
        <v>85</v>
      </c>
      <c r="H22" s="15" t="s">
        <v>169</v>
      </c>
      <c r="I22" s="15" t="s">
        <v>128</v>
      </c>
      <c r="J22" s="15" t="s">
        <v>65</v>
      </c>
      <c r="K22" s="15"/>
      <c r="L22" s="14" t="s">
        <v>193</v>
      </c>
      <c r="M22" s="15">
        <v>1</v>
      </c>
      <c r="N22" s="15"/>
      <c r="O22" s="15"/>
      <c r="P22" s="14" t="s">
        <v>193</v>
      </c>
    </row>
    <row r="23" spans="1:16" x14ac:dyDescent="0.2">
      <c r="A23" s="15" t="s">
        <v>195</v>
      </c>
      <c r="B23" s="14" t="s">
        <v>204</v>
      </c>
      <c r="C23" s="15" t="s">
        <v>197</v>
      </c>
      <c r="D23" s="15" t="s">
        <v>152</v>
      </c>
      <c r="E23" s="15" t="s">
        <v>196</v>
      </c>
      <c r="F23" s="15" t="s">
        <v>63</v>
      </c>
      <c r="G23" s="15" t="s">
        <v>1994</v>
      </c>
      <c r="H23" s="15" t="s">
        <v>177</v>
      </c>
      <c r="I23" s="15" t="s">
        <v>128</v>
      </c>
      <c r="J23" s="15" t="s">
        <v>65</v>
      </c>
      <c r="K23" s="15"/>
      <c r="L23" s="14" t="s">
        <v>199</v>
      </c>
      <c r="M23" s="15">
        <v>1</v>
      </c>
      <c r="N23" s="15"/>
      <c r="O23" s="15"/>
      <c r="P23" s="14" t="s">
        <v>199</v>
      </c>
    </row>
    <row r="24" spans="1:16" x14ac:dyDescent="0.2">
      <c r="A24" s="15" t="s">
        <v>201</v>
      </c>
      <c r="B24" s="14" t="s">
        <v>1130</v>
      </c>
      <c r="C24" s="15" t="s">
        <v>202</v>
      </c>
      <c r="D24" s="15" t="s">
        <v>152</v>
      </c>
      <c r="E24" s="15" t="s">
        <v>196</v>
      </c>
      <c r="F24" s="15" t="s">
        <v>63</v>
      </c>
      <c r="G24" s="15" t="s">
        <v>1994</v>
      </c>
      <c r="H24" s="15" t="s">
        <v>177</v>
      </c>
      <c r="I24" s="15" t="s">
        <v>128</v>
      </c>
      <c r="J24" s="15" t="s">
        <v>65</v>
      </c>
      <c r="K24" s="15"/>
      <c r="L24" s="14" t="s">
        <v>204</v>
      </c>
      <c r="M24" s="15">
        <v>1</v>
      </c>
      <c r="N24" s="15"/>
      <c r="O24" s="15"/>
      <c r="P24" s="14" t="s">
        <v>204</v>
      </c>
    </row>
    <row r="25" spans="1:16" x14ac:dyDescent="0.2">
      <c r="A25" s="15" t="s">
        <v>206</v>
      </c>
      <c r="B25" s="14" t="s">
        <v>1134</v>
      </c>
      <c r="C25" s="15" t="s">
        <v>207</v>
      </c>
      <c r="D25" s="15" t="s">
        <v>152</v>
      </c>
      <c r="E25" s="15" t="s">
        <v>196</v>
      </c>
      <c r="F25" s="15" t="s">
        <v>63</v>
      </c>
      <c r="G25" s="15" t="s">
        <v>85</v>
      </c>
      <c r="H25" s="15" t="s">
        <v>210</v>
      </c>
      <c r="I25" s="15" t="s">
        <v>61</v>
      </c>
      <c r="J25" s="15" t="s">
        <v>65</v>
      </c>
      <c r="K25" s="15"/>
      <c r="L25" s="14" t="s">
        <v>199</v>
      </c>
      <c r="M25" s="15">
        <v>1</v>
      </c>
      <c r="N25" s="15"/>
      <c r="O25" s="15"/>
      <c r="P25" s="14" t="s">
        <v>211</v>
      </c>
    </row>
    <row r="26" spans="1:16" x14ac:dyDescent="0.2">
      <c r="A26" s="15" t="s">
        <v>213</v>
      </c>
      <c r="B26" s="14" t="s">
        <v>217</v>
      </c>
      <c r="C26" s="15" t="s">
        <v>215</v>
      </c>
      <c r="D26" s="15" t="s">
        <v>214</v>
      </c>
      <c r="E26" s="15" t="s">
        <v>61</v>
      </c>
      <c r="F26" s="15" t="s">
        <v>63</v>
      </c>
      <c r="G26" s="15" t="s">
        <v>1994</v>
      </c>
      <c r="H26" s="15" t="s">
        <v>177</v>
      </c>
      <c r="I26" s="15" t="s">
        <v>128</v>
      </c>
      <c r="J26" s="15" t="s">
        <v>65</v>
      </c>
      <c r="K26" s="15"/>
      <c r="L26" s="14" t="s">
        <v>217</v>
      </c>
      <c r="M26" s="15">
        <v>1</v>
      </c>
      <c r="N26" s="15"/>
      <c r="O26" s="15"/>
      <c r="P26" s="15" t="s">
        <v>218</v>
      </c>
    </row>
    <row r="27" spans="1:16" x14ac:dyDescent="0.2">
      <c r="A27" s="15" t="s">
        <v>220</v>
      </c>
      <c r="B27" s="14" t="s">
        <v>224</v>
      </c>
      <c r="C27" s="15" t="s">
        <v>221</v>
      </c>
      <c r="D27" s="15" t="s">
        <v>214</v>
      </c>
      <c r="E27" s="15" t="s">
        <v>61</v>
      </c>
      <c r="F27" s="15" t="s">
        <v>63</v>
      </c>
      <c r="G27" s="15" t="s">
        <v>1994</v>
      </c>
      <c r="H27" s="15" t="s">
        <v>177</v>
      </c>
      <c r="I27" s="15" t="s">
        <v>128</v>
      </c>
      <c r="J27" s="15" t="s">
        <v>65</v>
      </c>
      <c r="K27" s="15"/>
      <c r="L27" s="14" t="s">
        <v>224</v>
      </c>
      <c r="M27" s="15">
        <v>1</v>
      </c>
      <c r="N27" s="15"/>
      <c r="O27" s="15"/>
      <c r="P27" s="15" t="s">
        <v>225</v>
      </c>
    </row>
    <row r="28" spans="1:16" x14ac:dyDescent="0.2">
      <c r="A28" s="15" t="s">
        <v>230</v>
      </c>
      <c r="B28" s="14" t="s">
        <v>233</v>
      </c>
      <c r="C28" s="15" t="s">
        <v>231</v>
      </c>
      <c r="D28" s="15" t="s">
        <v>214</v>
      </c>
      <c r="E28" s="15" t="s">
        <v>61</v>
      </c>
      <c r="F28" s="15" t="s">
        <v>63</v>
      </c>
      <c r="G28" s="15" t="s">
        <v>1994</v>
      </c>
      <c r="H28" s="15" t="s">
        <v>177</v>
      </c>
      <c r="I28" s="15" t="s">
        <v>128</v>
      </c>
      <c r="J28" s="15" t="s">
        <v>65</v>
      </c>
      <c r="K28" s="15"/>
      <c r="L28" s="14" t="s">
        <v>233</v>
      </c>
      <c r="M28" s="15">
        <v>1</v>
      </c>
      <c r="N28" s="15"/>
      <c r="O28" s="15"/>
      <c r="P28" s="14" t="s">
        <v>233</v>
      </c>
    </row>
    <row r="29" spans="1:16" x14ac:dyDescent="0.2">
      <c r="A29" s="15" t="s">
        <v>235</v>
      </c>
      <c r="B29" s="14" t="s">
        <v>280</v>
      </c>
      <c r="C29" s="15" t="s">
        <v>238</v>
      </c>
      <c r="D29" s="15" t="s">
        <v>236</v>
      </c>
      <c r="E29" s="15" t="s">
        <v>237</v>
      </c>
      <c r="F29" s="15" t="s">
        <v>239</v>
      </c>
      <c r="G29" s="15" t="s">
        <v>241</v>
      </c>
      <c r="H29" s="15" t="s">
        <v>177</v>
      </c>
      <c r="I29" s="15" t="s">
        <v>128</v>
      </c>
      <c r="J29" s="15" t="s">
        <v>242</v>
      </c>
      <c r="K29" s="15"/>
      <c r="L29" s="14" t="s">
        <v>243</v>
      </c>
      <c r="M29" s="15">
        <v>0.8</v>
      </c>
      <c r="N29" s="14" t="s">
        <v>199</v>
      </c>
      <c r="O29" s="15">
        <v>0.2</v>
      </c>
      <c r="P29" s="15" t="s">
        <v>244</v>
      </c>
    </row>
    <row r="30" spans="1:16" x14ac:dyDescent="0.2">
      <c r="A30" s="15" t="s">
        <v>254</v>
      </c>
      <c r="B30" s="14" t="s">
        <v>271</v>
      </c>
      <c r="C30" s="15" t="s">
        <v>255</v>
      </c>
      <c r="D30" s="15" t="s">
        <v>236</v>
      </c>
      <c r="E30" s="15" t="s">
        <v>237</v>
      </c>
      <c r="F30" s="15" t="s">
        <v>63</v>
      </c>
      <c r="G30" s="15" t="s">
        <v>256</v>
      </c>
      <c r="H30" s="15" t="s">
        <v>177</v>
      </c>
      <c r="I30" s="15" t="s">
        <v>128</v>
      </c>
      <c r="J30" s="15" t="s">
        <v>257</v>
      </c>
      <c r="K30" s="15"/>
      <c r="L30" s="14" t="s">
        <v>243</v>
      </c>
      <c r="M30" s="15">
        <v>1</v>
      </c>
      <c r="N30" s="15"/>
      <c r="O30" s="15"/>
      <c r="P30" s="15" t="s">
        <v>258</v>
      </c>
    </row>
    <row r="31" spans="1:16" x14ac:dyDescent="0.2">
      <c r="A31" s="15" t="s">
        <v>262</v>
      </c>
      <c r="B31" s="14" t="s">
        <v>323</v>
      </c>
      <c r="C31" s="15" t="s">
        <v>263</v>
      </c>
      <c r="D31" s="15" t="s">
        <v>236</v>
      </c>
      <c r="E31" s="15" t="s">
        <v>237</v>
      </c>
      <c r="F31" s="15" t="s">
        <v>63</v>
      </c>
      <c r="G31" s="15" t="s">
        <v>106</v>
      </c>
      <c r="H31" s="15" t="s">
        <v>177</v>
      </c>
      <c r="I31" s="15" t="s">
        <v>61</v>
      </c>
      <c r="J31" s="15" t="s">
        <v>242</v>
      </c>
      <c r="K31" s="15"/>
      <c r="L31" s="14" t="s">
        <v>243</v>
      </c>
      <c r="M31" s="15">
        <v>1</v>
      </c>
      <c r="N31" s="15"/>
      <c r="O31" s="15"/>
      <c r="P31" s="14" t="s">
        <v>265</v>
      </c>
    </row>
    <row r="32" spans="1:16" x14ac:dyDescent="0.2">
      <c r="A32" s="15" t="s">
        <v>267</v>
      </c>
      <c r="B32" s="14" t="s">
        <v>285</v>
      </c>
      <c r="C32" s="15" t="s">
        <v>268</v>
      </c>
      <c r="D32" s="15" t="s">
        <v>236</v>
      </c>
      <c r="E32" s="15" t="s">
        <v>237</v>
      </c>
      <c r="F32" s="15" t="s">
        <v>63</v>
      </c>
      <c r="G32" s="15" t="s">
        <v>270</v>
      </c>
      <c r="H32" s="15" t="s">
        <v>177</v>
      </c>
      <c r="I32" s="15" t="s">
        <v>128</v>
      </c>
      <c r="J32" s="15" t="s">
        <v>65</v>
      </c>
      <c r="K32" s="15"/>
      <c r="L32" s="14" t="s">
        <v>271</v>
      </c>
      <c r="M32" s="15">
        <v>1</v>
      </c>
      <c r="N32" s="15"/>
      <c r="O32" s="15"/>
      <c r="P32" s="15" t="s">
        <v>272</v>
      </c>
    </row>
    <row r="33" spans="1:16" x14ac:dyDescent="0.2">
      <c r="A33" s="15" t="s">
        <v>276</v>
      </c>
      <c r="B33" s="14" t="s">
        <v>286</v>
      </c>
      <c r="C33" s="15" t="s">
        <v>278</v>
      </c>
      <c r="D33" s="15" t="s">
        <v>236</v>
      </c>
      <c r="E33" s="15" t="s">
        <v>277</v>
      </c>
      <c r="F33" s="15" t="s">
        <v>63</v>
      </c>
      <c r="G33" s="15" t="s">
        <v>85</v>
      </c>
      <c r="H33" s="15" t="s">
        <v>177</v>
      </c>
      <c r="I33" s="15" t="s">
        <v>61</v>
      </c>
      <c r="J33" s="15" t="s">
        <v>65</v>
      </c>
      <c r="K33" s="15"/>
      <c r="L33" s="14" t="s">
        <v>280</v>
      </c>
      <c r="M33" s="15">
        <v>1</v>
      </c>
      <c r="N33" s="15"/>
      <c r="O33" s="15"/>
      <c r="P33" s="14" t="s">
        <v>280</v>
      </c>
    </row>
    <row r="34" spans="1:16" x14ac:dyDescent="0.2">
      <c r="A34" s="15" t="s">
        <v>282</v>
      </c>
      <c r="B34" s="14" t="s">
        <v>1187</v>
      </c>
      <c r="C34" s="15" t="s">
        <v>283</v>
      </c>
      <c r="D34" s="15" t="s">
        <v>236</v>
      </c>
      <c r="E34" s="15" t="s">
        <v>277</v>
      </c>
      <c r="F34" s="15" t="s">
        <v>63</v>
      </c>
      <c r="G34" s="15" t="s">
        <v>1994</v>
      </c>
      <c r="H34" s="15" t="s">
        <v>177</v>
      </c>
      <c r="I34" s="15" t="s">
        <v>128</v>
      </c>
      <c r="J34" s="15" t="s">
        <v>65</v>
      </c>
      <c r="K34" s="15"/>
      <c r="L34" s="14" t="s">
        <v>285</v>
      </c>
      <c r="M34" s="15">
        <v>1</v>
      </c>
      <c r="N34" s="15"/>
      <c r="O34" s="15"/>
      <c r="P34" s="14" t="s">
        <v>286</v>
      </c>
    </row>
    <row r="35" spans="1:16" x14ac:dyDescent="0.2">
      <c r="A35" s="15" t="s">
        <v>288</v>
      </c>
      <c r="B35" s="14" t="s">
        <v>1191</v>
      </c>
      <c r="C35" s="15" t="s">
        <v>289</v>
      </c>
      <c r="D35" s="15" t="s">
        <v>236</v>
      </c>
      <c r="E35" s="15" t="s">
        <v>277</v>
      </c>
      <c r="F35" s="15" t="s">
        <v>63</v>
      </c>
      <c r="G35" s="15" t="s">
        <v>85</v>
      </c>
      <c r="H35" s="15" t="s">
        <v>177</v>
      </c>
      <c r="I35" s="15" t="s">
        <v>61</v>
      </c>
      <c r="J35" s="15" t="s">
        <v>291</v>
      </c>
      <c r="K35" s="15"/>
      <c r="L35" s="14" t="s">
        <v>292</v>
      </c>
      <c r="M35" s="15">
        <v>1</v>
      </c>
      <c r="N35" s="15"/>
      <c r="O35" s="15"/>
      <c r="P35" s="14" t="s">
        <v>293</v>
      </c>
    </row>
    <row r="36" spans="1:16" x14ac:dyDescent="0.2">
      <c r="A36" s="15" t="s">
        <v>295</v>
      </c>
      <c r="B36" s="14" t="s">
        <v>1504</v>
      </c>
      <c r="C36" s="15" t="s">
        <v>296</v>
      </c>
      <c r="D36" s="15" t="s">
        <v>236</v>
      </c>
      <c r="E36" s="15" t="s">
        <v>277</v>
      </c>
      <c r="F36" s="15" t="s">
        <v>63</v>
      </c>
      <c r="G36" s="15" t="s">
        <v>85</v>
      </c>
      <c r="H36" s="15" t="s">
        <v>177</v>
      </c>
      <c r="I36" s="15" t="s">
        <v>61</v>
      </c>
      <c r="J36" s="15" t="s">
        <v>65</v>
      </c>
      <c r="K36" s="15"/>
      <c r="L36" s="14" t="s">
        <v>280</v>
      </c>
      <c r="M36" s="15">
        <v>1</v>
      </c>
      <c r="N36" s="15"/>
      <c r="O36" s="15"/>
      <c r="P36" s="15" t="s">
        <v>297</v>
      </c>
    </row>
    <row r="37" spans="1:16" x14ac:dyDescent="0.2">
      <c r="A37" s="15" t="s">
        <v>307</v>
      </c>
      <c r="B37" s="14" t="s">
        <v>1204</v>
      </c>
      <c r="C37" s="15" t="s">
        <v>309</v>
      </c>
      <c r="D37" s="15" t="s">
        <v>236</v>
      </c>
      <c r="E37" s="15" t="s">
        <v>308</v>
      </c>
      <c r="F37" s="15" t="s">
        <v>63</v>
      </c>
      <c r="G37" s="15" t="s">
        <v>310</v>
      </c>
      <c r="H37" s="15" t="s">
        <v>177</v>
      </c>
      <c r="I37" s="15" t="s">
        <v>61</v>
      </c>
      <c r="J37" s="15" t="s">
        <v>312</v>
      </c>
      <c r="K37" s="15"/>
      <c r="L37" s="14" t="s">
        <v>314</v>
      </c>
      <c r="M37" s="15">
        <v>1</v>
      </c>
      <c r="N37" s="15"/>
      <c r="O37" s="15"/>
      <c r="P37" s="15" t="s">
        <v>315</v>
      </c>
    </row>
    <row r="38" spans="1:16" x14ac:dyDescent="0.2">
      <c r="A38" s="15" t="s">
        <v>317</v>
      </c>
      <c r="B38" s="14" t="s">
        <v>1208</v>
      </c>
      <c r="C38" s="15" t="s">
        <v>318</v>
      </c>
      <c r="D38" s="15" t="s">
        <v>236</v>
      </c>
      <c r="E38" s="15" t="s">
        <v>308</v>
      </c>
      <c r="F38" s="15" t="s">
        <v>63</v>
      </c>
      <c r="G38" s="15" t="s">
        <v>320</v>
      </c>
      <c r="H38" s="15" t="s">
        <v>177</v>
      </c>
      <c r="I38" s="15" t="s">
        <v>61</v>
      </c>
      <c r="J38" s="15" t="s">
        <v>321</v>
      </c>
      <c r="K38" s="15"/>
      <c r="L38" s="14" t="s">
        <v>323</v>
      </c>
      <c r="M38" s="15">
        <v>1</v>
      </c>
      <c r="N38" s="15"/>
      <c r="O38" s="15"/>
      <c r="P38" s="15" t="s">
        <v>324</v>
      </c>
    </row>
    <row r="39" spans="1:16" x14ac:dyDescent="0.2">
      <c r="A39" s="15" t="s">
        <v>326</v>
      </c>
      <c r="B39" s="14" t="s">
        <v>1211</v>
      </c>
      <c r="C39" s="15" t="s">
        <v>327</v>
      </c>
      <c r="D39" s="15" t="s">
        <v>236</v>
      </c>
      <c r="E39" s="15" t="s">
        <v>308</v>
      </c>
      <c r="F39" s="15" t="s">
        <v>63</v>
      </c>
      <c r="G39" s="15" t="s">
        <v>329</v>
      </c>
      <c r="H39" s="15" t="s">
        <v>177</v>
      </c>
      <c r="I39" s="15" t="s">
        <v>61</v>
      </c>
      <c r="J39" s="15" t="s">
        <v>246</v>
      </c>
      <c r="K39" s="15"/>
      <c r="L39" s="14" t="s">
        <v>323</v>
      </c>
      <c r="M39" s="15">
        <v>1</v>
      </c>
      <c r="N39" s="15"/>
      <c r="O39" s="15"/>
      <c r="P39" s="15" t="s">
        <v>331</v>
      </c>
    </row>
    <row r="40" spans="1:16" x14ac:dyDescent="0.2">
      <c r="A40" s="15" t="s">
        <v>333</v>
      </c>
      <c r="B40" s="14" t="s">
        <v>1214</v>
      </c>
      <c r="C40" s="15" t="s">
        <v>334</v>
      </c>
      <c r="D40" s="15" t="s">
        <v>236</v>
      </c>
      <c r="E40" s="15" t="s">
        <v>308</v>
      </c>
      <c r="F40" s="15" t="s">
        <v>63</v>
      </c>
      <c r="G40" s="15" t="s">
        <v>336</v>
      </c>
      <c r="H40" s="15" t="s">
        <v>177</v>
      </c>
      <c r="I40" s="15" t="s">
        <v>61</v>
      </c>
      <c r="J40" s="15" t="s">
        <v>338</v>
      </c>
      <c r="K40" s="15"/>
      <c r="L40" s="14" t="s">
        <v>323</v>
      </c>
      <c r="M40" s="15">
        <v>1</v>
      </c>
      <c r="N40" s="15"/>
      <c r="O40" s="15"/>
      <c r="P40" s="15" t="s">
        <v>339</v>
      </c>
    </row>
    <row r="41" spans="1:16" x14ac:dyDescent="0.2">
      <c r="A41" s="15" t="s">
        <v>341</v>
      </c>
      <c r="B41" s="14" t="s">
        <v>1217</v>
      </c>
      <c r="C41" s="15" t="s">
        <v>342</v>
      </c>
      <c r="D41" s="15" t="s">
        <v>236</v>
      </c>
      <c r="E41" s="15" t="s">
        <v>308</v>
      </c>
      <c r="F41" s="15" t="s">
        <v>63</v>
      </c>
      <c r="G41" s="15" t="s">
        <v>343</v>
      </c>
      <c r="H41" s="15" t="s">
        <v>177</v>
      </c>
      <c r="I41" s="15" t="s">
        <v>61</v>
      </c>
      <c r="J41" s="15" t="s">
        <v>345</v>
      </c>
      <c r="K41" s="15"/>
      <c r="L41" s="14" t="s">
        <v>323</v>
      </c>
      <c r="M41" s="15">
        <v>1</v>
      </c>
      <c r="N41" s="15"/>
      <c r="O41" s="15"/>
      <c r="P41" s="15" t="s">
        <v>346</v>
      </c>
    </row>
    <row r="42" spans="1:16" x14ac:dyDescent="0.2">
      <c r="A42" s="15" t="s">
        <v>348</v>
      </c>
      <c r="B42" s="14" t="s">
        <v>1221</v>
      </c>
      <c r="C42" s="15" t="s">
        <v>349</v>
      </c>
      <c r="D42" s="15" t="s">
        <v>236</v>
      </c>
      <c r="E42" s="15" t="s">
        <v>308</v>
      </c>
      <c r="F42" s="15" t="s">
        <v>63</v>
      </c>
      <c r="G42" s="15" t="s">
        <v>106</v>
      </c>
      <c r="H42" s="15" t="s">
        <v>177</v>
      </c>
      <c r="I42" s="15" t="s">
        <v>61</v>
      </c>
      <c r="J42" s="15" t="s">
        <v>352</v>
      </c>
      <c r="K42" s="15"/>
      <c r="L42" s="14" t="s">
        <v>323</v>
      </c>
      <c r="M42" s="15">
        <v>1</v>
      </c>
      <c r="N42" s="15"/>
      <c r="O42" s="15"/>
      <c r="P42" s="15" t="s">
        <v>353</v>
      </c>
    </row>
    <row r="43" spans="1:16" x14ac:dyDescent="0.2">
      <c r="A43" s="15" t="s">
        <v>355</v>
      </c>
      <c r="B43" s="14" t="s">
        <v>1224</v>
      </c>
      <c r="C43" s="15" t="s">
        <v>356</v>
      </c>
      <c r="D43" s="15" t="s">
        <v>236</v>
      </c>
      <c r="E43" s="15" t="s">
        <v>308</v>
      </c>
      <c r="F43" s="15" t="s">
        <v>63</v>
      </c>
      <c r="G43" s="15" t="s">
        <v>106</v>
      </c>
      <c r="H43" s="15" t="s">
        <v>177</v>
      </c>
      <c r="I43" s="15" t="s">
        <v>61</v>
      </c>
      <c r="J43" s="15" t="s">
        <v>321</v>
      </c>
      <c r="K43" s="15"/>
      <c r="L43" s="14" t="s">
        <v>359</v>
      </c>
      <c r="M43" s="15">
        <v>1</v>
      </c>
      <c r="N43" s="15"/>
      <c r="O43" s="15"/>
      <c r="P43" s="15" t="s">
        <v>360</v>
      </c>
    </row>
    <row r="44" spans="1:16" x14ac:dyDescent="0.2">
      <c r="A44" s="15" t="s">
        <v>362</v>
      </c>
      <c r="B44" s="14" t="s">
        <v>243</v>
      </c>
      <c r="C44" s="15" t="s">
        <v>365</v>
      </c>
      <c r="D44" s="15" t="s">
        <v>363</v>
      </c>
      <c r="E44" s="15" t="s">
        <v>364</v>
      </c>
      <c r="F44" s="15" t="s">
        <v>63</v>
      </c>
      <c r="G44" s="15" t="s">
        <v>1995</v>
      </c>
      <c r="H44" s="15" t="s">
        <v>177</v>
      </c>
      <c r="I44" s="15" t="s">
        <v>128</v>
      </c>
      <c r="J44" s="15" t="s">
        <v>65</v>
      </c>
      <c r="K44" s="15"/>
      <c r="L44" s="14" t="s">
        <v>367</v>
      </c>
      <c r="M44" s="15">
        <v>0.4</v>
      </c>
      <c r="N44" s="14" t="s">
        <v>368</v>
      </c>
      <c r="O44" s="15">
        <v>0.6</v>
      </c>
      <c r="P44" s="15" t="s">
        <v>369</v>
      </c>
    </row>
    <row r="45" spans="1:16" x14ac:dyDescent="0.2">
      <c r="A45" s="15" t="s">
        <v>410</v>
      </c>
      <c r="B45" s="14" t="s">
        <v>314</v>
      </c>
      <c r="C45" s="15" t="s">
        <v>411</v>
      </c>
      <c r="D45" s="15" t="s">
        <v>363</v>
      </c>
      <c r="E45" s="15" t="s">
        <v>364</v>
      </c>
      <c r="F45" s="15" t="s">
        <v>63</v>
      </c>
      <c r="G45" s="15" t="s">
        <v>1995</v>
      </c>
      <c r="H45" s="15" t="s">
        <v>177</v>
      </c>
      <c r="I45" s="15" t="s">
        <v>128</v>
      </c>
      <c r="J45" s="15" t="s">
        <v>65</v>
      </c>
      <c r="K45" s="15"/>
      <c r="L45" s="14" t="s">
        <v>413</v>
      </c>
      <c r="M45" s="15">
        <v>0.5</v>
      </c>
      <c r="N45" s="14" t="s">
        <v>414</v>
      </c>
      <c r="O45" s="15">
        <v>0.5</v>
      </c>
      <c r="P45" s="14" t="s">
        <v>243</v>
      </c>
    </row>
    <row r="46" spans="1:16" x14ac:dyDescent="0.2">
      <c r="A46" s="15" t="s">
        <v>419</v>
      </c>
      <c r="B46" s="14" t="s">
        <v>413</v>
      </c>
      <c r="C46" s="15" t="s">
        <v>420</v>
      </c>
      <c r="D46" s="15" t="s">
        <v>363</v>
      </c>
      <c r="E46" s="15" t="s">
        <v>364</v>
      </c>
      <c r="F46" s="15" t="s">
        <v>63</v>
      </c>
      <c r="G46" s="15" t="s">
        <v>1995</v>
      </c>
      <c r="H46" s="15" t="s">
        <v>177</v>
      </c>
      <c r="I46" s="15" t="s">
        <v>128</v>
      </c>
      <c r="J46" s="15" t="s">
        <v>65</v>
      </c>
      <c r="K46" s="15"/>
      <c r="L46" s="14" t="s">
        <v>422</v>
      </c>
      <c r="M46" s="15">
        <v>1</v>
      </c>
      <c r="N46" s="15"/>
      <c r="O46" s="15"/>
      <c r="P46" s="14" t="s">
        <v>413</v>
      </c>
    </row>
    <row r="47" spans="1:16" x14ac:dyDescent="0.2">
      <c r="A47" s="15" t="s">
        <v>424</v>
      </c>
      <c r="B47" s="14" t="s">
        <v>414</v>
      </c>
      <c r="C47" s="15" t="s">
        <v>425</v>
      </c>
      <c r="D47" s="15" t="s">
        <v>363</v>
      </c>
      <c r="E47" s="15" t="s">
        <v>364</v>
      </c>
      <c r="F47" s="15" t="s">
        <v>63</v>
      </c>
      <c r="G47" s="15" t="s">
        <v>85</v>
      </c>
      <c r="H47" s="15" t="s">
        <v>177</v>
      </c>
      <c r="I47" s="15" t="s">
        <v>61</v>
      </c>
      <c r="J47" s="15" t="s">
        <v>65</v>
      </c>
      <c r="K47" s="15"/>
      <c r="L47" s="14" t="s">
        <v>368</v>
      </c>
      <c r="M47" s="15">
        <v>1</v>
      </c>
      <c r="N47" s="15"/>
      <c r="O47" s="15"/>
      <c r="P47" s="14" t="s">
        <v>414</v>
      </c>
    </row>
    <row r="48" spans="1:16" x14ac:dyDescent="0.2">
      <c r="A48" s="15" t="s">
        <v>428</v>
      </c>
      <c r="B48" s="14" t="s">
        <v>367</v>
      </c>
      <c r="C48" s="15" t="s">
        <v>429</v>
      </c>
      <c r="D48" s="15" t="s">
        <v>363</v>
      </c>
      <c r="E48" s="15" t="s">
        <v>364</v>
      </c>
      <c r="F48" s="15" t="s">
        <v>63</v>
      </c>
      <c r="G48" s="15" t="s">
        <v>85</v>
      </c>
      <c r="H48" s="15" t="s">
        <v>177</v>
      </c>
      <c r="I48" s="15" t="s">
        <v>61</v>
      </c>
      <c r="J48" s="15" t="s">
        <v>65</v>
      </c>
      <c r="K48" s="15"/>
      <c r="L48" s="14" t="s">
        <v>292</v>
      </c>
      <c r="M48" s="15">
        <v>1</v>
      </c>
      <c r="N48" s="15"/>
      <c r="O48" s="15"/>
      <c r="P48" s="14" t="s">
        <v>431</v>
      </c>
    </row>
    <row r="49" spans="1:16" x14ac:dyDescent="0.2">
      <c r="A49" s="15" t="s">
        <v>433</v>
      </c>
      <c r="B49" s="14" t="s">
        <v>368</v>
      </c>
      <c r="C49" s="15" t="s">
        <v>435</v>
      </c>
      <c r="D49" s="15" t="s">
        <v>363</v>
      </c>
      <c r="E49" s="15" t="s">
        <v>434</v>
      </c>
      <c r="F49" s="15" t="s">
        <v>63</v>
      </c>
      <c r="G49" s="14" t="s">
        <v>19</v>
      </c>
      <c r="H49" s="15" t="s">
        <v>437</v>
      </c>
      <c r="I49" s="15" t="s">
        <v>61</v>
      </c>
      <c r="J49" s="15" t="s">
        <v>65</v>
      </c>
      <c r="K49" s="15"/>
      <c r="L49" s="14" t="s">
        <v>438</v>
      </c>
      <c r="M49" s="15">
        <v>1</v>
      </c>
      <c r="N49" s="15"/>
      <c r="O49" s="15"/>
      <c r="P49" s="14" t="s">
        <v>359</v>
      </c>
    </row>
    <row r="50" spans="1:16" x14ac:dyDescent="0.2">
      <c r="A50" s="15" t="s">
        <v>444</v>
      </c>
      <c r="B50" s="14" t="s">
        <v>422</v>
      </c>
      <c r="C50" s="15" t="s">
        <v>445</v>
      </c>
      <c r="D50" s="15" t="s">
        <v>363</v>
      </c>
      <c r="E50" s="15" t="s">
        <v>434</v>
      </c>
      <c r="F50" s="15" t="s">
        <v>63</v>
      </c>
      <c r="G50" s="15" t="s">
        <v>1995</v>
      </c>
      <c r="H50" s="15" t="s">
        <v>177</v>
      </c>
      <c r="I50" s="15" t="s">
        <v>128</v>
      </c>
      <c r="J50" s="15" t="s">
        <v>65</v>
      </c>
      <c r="K50" s="15"/>
      <c r="L50" s="14" t="s">
        <v>447</v>
      </c>
      <c r="M50" s="15">
        <v>1</v>
      </c>
      <c r="N50" s="15"/>
      <c r="O50" s="15"/>
      <c r="P50" s="15" t="s">
        <v>448</v>
      </c>
    </row>
    <row r="51" spans="1:16" x14ac:dyDescent="0.2">
      <c r="A51" s="15" t="s">
        <v>455</v>
      </c>
      <c r="B51" s="14" t="s">
        <v>447</v>
      </c>
      <c r="C51" s="15" t="s">
        <v>456</v>
      </c>
      <c r="D51" s="15" t="s">
        <v>363</v>
      </c>
      <c r="E51" s="15" t="s">
        <v>434</v>
      </c>
      <c r="F51" s="15" t="s">
        <v>63</v>
      </c>
      <c r="G51" s="15" t="s">
        <v>85</v>
      </c>
      <c r="H51" s="15" t="s">
        <v>177</v>
      </c>
      <c r="I51" s="15" t="s">
        <v>128</v>
      </c>
      <c r="J51" s="15" t="s">
        <v>65</v>
      </c>
      <c r="K51" s="15"/>
      <c r="L51" s="14" t="s">
        <v>447</v>
      </c>
      <c r="M51" s="15">
        <v>1</v>
      </c>
      <c r="N51" s="15"/>
      <c r="O51" s="15"/>
      <c r="P51" s="15" t="s">
        <v>458</v>
      </c>
    </row>
    <row r="52" spans="1:16" x14ac:dyDescent="0.2">
      <c r="A52" s="15" t="s">
        <v>463</v>
      </c>
      <c r="B52" s="14" t="s">
        <v>1331</v>
      </c>
      <c r="C52" s="15" t="s">
        <v>464</v>
      </c>
      <c r="D52" s="15" t="s">
        <v>363</v>
      </c>
      <c r="E52" s="15" t="s">
        <v>434</v>
      </c>
      <c r="F52" s="15" t="s">
        <v>63</v>
      </c>
      <c r="G52" s="15" t="s">
        <v>85</v>
      </c>
      <c r="H52" s="15" t="s">
        <v>177</v>
      </c>
      <c r="I52" s="15" t="s">
        <v>128</v>
      </c>
      <c r="J52" s="15" t="s">
        <v>65</v>
      </c>
      <c r="K52" s="15"/>
      <c r="L52" s="14" t="s">
        <v>447</v>
      </c>
      <c r="M52" s="15">
        <v>1</v>
      </c>
      <c r="N52" s="15"/>
      <c r="O52" s="15"/>
      <c r="P52" s="15" t="s">
        <v>466</v>
      </c>
    </row>
    <row r="53" spans="1:16" x14ac:dyDescent="0.2">
      <c r="A53" s="15" t="s">
        <v>468</v>
      </c>
      <c r="B53" s="14" t="s">
        <v>528</v>
      </c>
      <c r="C53" s="15" t="s">
        <v>469</v>
      </c>
      <c r="D53" s="15" t="s">
        <v>363</v>
      </c>
      <c r="E53" s="15" t="s">
        <v>434</v>
      </c>
      <c r="F53" s="15" t="s">
        <v>239</v>
      </c>
      <c r="G53" s="14" t="s">
        <v>19</v>
      </c>
      <c r="H53" s="15" t="s">
        <v>177</v>
      </c>
      <c r="I53" s="15" t="s">
        <v>61</v>
      </c>
      <c r="J53" s="15" t="s">
        <v>242</v>
      </c>
      <c r="K53" s="15" t="s">
        <v>472</v>
      </c>
      <c r="L53" s="14" t="s">
        <v>447</v>
      </c>
      <c r="M53" s="15">
        <v>1</v>
      </c>
      <c r="N53" s="15"/>
      <c r="O53" s="15"/>
      <c r="P53" s="15" t="s">
        <v>473</v>
      </c>
    </row>
    <row r="54" spans="1:16" x14ac:dyDescent="0.2">
      <c r="A54" s="15" t="s">
        <v>490</v>
      </c>
      <c r="B54" s="14" t="s">
        <v>500</v>
      </c>
      <c r="C54" s="15" t="s">
        <v>492</v>
      </c>
      <c r="D54" s="15" t="s">
        <v>363</v>
      </c>
      <c r="E54" s="15" t="s">
        <v>491</v>
      </c>
      <c r="F54" s="15" t="s">
        <v>63</v>
      </c>
      <c r="G54" s="15" t="s">
        <v>85</v>
      </c>
      <c r="H54" s="15" t="s">
        <v>177</v>
      </c>
      <c r="I54" s="15" t="s">
        <v>128</v>
      </c>
      <c r="J54" s="15" t="s">
        <v>65</v>
      </c>
      <c r="K54" s="15"/>
      <c r="L54" s="14" t="s">
        <v>292</v>
      </c>
      <c r="M54" s="15">
        <v>1</v>
      </c>
      <c r="N54" s="15"/>
      <c r="O54" s="15"/>
      <c r="P54" s="15" t="s">
        <v>494</v>
      </c>
    </row>
    <row r="55" spans="1:16" x14ac:dyDescent="0.2">
      <c r="A55" s="15" t="s">
        <v>496</v>
      </c>
      <c r="B55" s="14" t="s">
        <v>292</v>
      </c>
      <c r="C55" s="15" t="s">
        <v>497</v>
      </c>
      <c r="D55" s="15" t="s">
        <v>363</v>
      </c>
      <c r="E55" s="15" t="s">
        <v>491</v>
      </c>
      <c r="F55" s="15" t="s">
        <v>63</v>
      </c>
      <c r="G55" s="15" t="s">
        <v>85</v>
      </c>
      <c r="H55" s="15" t="s">
        <v>177</v>
      </c>
      <c r="I55" s="15" t="s">
        <v>61</v>
      </c>
      <c r="J55" s="15" t="s">
        <v>65</v>
      </c>
      <c r="K55" s="15" t="s">
        <v>499</v>
      </c>
      <c r="L55" s="14" t="s">
        <v>500</v>
      </c>
      <c r="M55" s="15">
        <v>1</v>
      </c>
      <c r="N55" s="15"/>
      <c r="O55" s="15"/>
      <c r="P55" s="14" t="s">
        <v>368</v>
      </c>
    </row>
    <row r="56" spans="1:16" x14ac:dyDescent="0.2">
      <c r="A56" s="15" t="s">
        <v>502</v>
      </c>
      <c r="B56" s="14" t="s">
        <v>359</v>
      </c>
      <c r="C56" s="15" t="s">
        <v>503</v>
      </c>
      <c r="D56" s="15" t="s">
        <v>363</v>
      </c>
      <c r="E56" s="15" t="s">
        <v>491</v>
      </c>
      <c r="F56" s="15" t="s">
        <v>63</v>
      </c>
      <c r="G56" s="15" t="s">
        <v>505</v>
      </c>
      <c r="H56" s="15" t="s">
        <v>169</v>
      </c>
      <c r="I56" s="15" t="s">
        <v>61</v>
      </c>
      <c r="J56" s="15" t="s">
        <v>507</v>
      </c>
      <c r="K56" s="15" t="s">
        <v>508</v>
      </c>
      <c r="L56" s="14" t="s">
        <v>422</v>
      </c>
      <c r="M56" s="15">
        <v>1</v>
      </c>
      <c r="N56" s="15"/>
      <c r="O56" s="15"/>
      <c r="P56" s="14" t="s">
        <v>509</v>
      </c>
    </row>
    <row r="57" spans="1:16" x14ac:dyDescent="0.2">
      <c r="A57" s="15" t="s">
        <v>511</v>
      </c>
      <c r="B57" s="14" t="s">
        <v>431</v>
      </c>
      <c r="C57" s="15" t="s">
        <v>513</v>
      </c>
      <c r="D57" s="15" t="s">
        <v>363</v>
      </c>
      <c r="E57" s="15" t="s">
        <v>512</v>
      </c>
      <c r="F57" s="15" t="s">
        <v>63</v>
      </c>
      <c r="G57" s="15" t="s">
        <v>1994</v>
      </c>
      <c r="H57" s="15" t="s">
        <v>177</v>
      </c>
      <c r="I57" s="15" t="s">
        <v>515</v>
      </c>
      <c r="J57" s="15" t="s">
        <v>65</v>
      </c>
      <c r="K57" s="15"/>
      <c r="L57" s="14" t="s">
        <v>292</v>
      </c>
      <c r="M57" s="15">
        <v>1</v>
      </c>
      <c r="N57" s="15"/>
      <c r="O57" s="15"/>
      <c r="P57" s="14" t="s">
        <v>516</v>
      </c>
    </row>
    <row r="58" spans="1:16" x14ac:dyDescent="0.2">
      <c r="A58" s="15" t="s">
        <v>518</v>
      </c>
      <c r="B58" s="14" t="s">
        <v>556</v>
      </c>
      <c r="C58" s="15" t="s">
        <v>519</v>
      </c>
      <c r="D58" s="15" t="s">
        <v>363</v>
      </c>
      <c r="E58" s="15" t="s">
        <v>512</v>
      </c>
      <c r="F58" s="15" t="s">
        <v>63</v>
      </c>
      <c r="G58" s="15" t="s">
        <v>85</v>
      </c>
      <c r="H58" s="15" t="s">
        <v>177</v>
      </c>
      <c r="I58" s="15" t="s">
        <v>61</v>
      </c>
      <c r="J58" s="15" t="s">
        <v>65</v>
      </c>
      <c r="K58" s="15"/>
      <c r="L58" s="14" t="s">
        <v>292</v>
      </c>
      <c r="M58" s="15">
        <v>1</v>
      </c>
      <c r="N58" s="15"/>
      <c r="O58" s="15"/>
      <c r="P58" s="14" t="s">
        <v>521</v>
      </c>
    </row>
    <row r="59" spans="1:16" x14ac:dyDescent="0.2">
      <c r="A59" s="15" t="s">
        <v>523</v>
      </c>
      <c r="B59" s="14" t="s">
        <v>516</v>
      </c>
      <c r="C59" s="15" t="s">
        <v>524</v>
      </c>
      <c r="D59" s="15" t="s">
        <v>363</v>
      </c>
      <c r="E59" s="15" t="s">
        <v>524</v>
      </c>
      <c r="F59" s="15" t="s">
        <v>239</v>
      </c>
      <c r="G59" s="15" t="s">
        <v>526</v>
      </c>
      <c r="H59" s="15" t="s">
        <v>177</v>
      </c>
      <c r="I59" s="15" t="s">
        <v>515</v>
      </c>
      <c r="J59" s="15" t="s">
        <v>65</v>
      </c>
      <c r="K59" s="15" t="s">
        <v>163</v>
      </c>
      <c r="L59" s="14" t="s">
        <v>528</v>
      </c>
      <c r="M59" s="15">
        <v>1</v>
      </c>
      <c r="N59" s="15"/>
      <c r="O59" s="15"/>
      <c r="P59" s="14" t="s">
        <v>529</v>
      </c>
    </row>
    <row r="60" spans="1:16" x14ac:dyDescent="0.2">
      <c r="A60" s="15" t="s">
        <v>537</v>
      </c>
      <c r="B60" s="14" t="s">
        <v>1380</v>
      </c>
      <c r="C60" s="15" t="s">
        <v>539</v>
      </c>
      <c r="D60" s="15" t="s">
        <v>363</v>
      </c>
      <c r="E60" s="15" t="s">
        <v>538</v>
      </c>
      <c r="F60" s="15" t="s">
        <v>63</v>
      </c>
      <c r="G60" s="15" t="s">
        <v>542</v>
      </c>
      <c r="H60" s="15" t="s">
        <v>437</v>
      </c>
      <c r="I60" s="15" t="s">
        <v>61</v>
      </c>
      <c r="J60" s="15" t="s">
        <v>65</v>
      </c>
      <c r="K60" s="15"/>
      <c r="L60" s="14" t="s">
        <v>447</v>
      </c>
      <c r="M60" s="15">
        <v>1</v>
      </c>
      <c r="N60" s="15"/>
      <c r="O60" s="15"/>
      <c r="P60" s="14" t="s">
        <v>500</v>
      </c>
    </row>
    <row r="61" spans="1:16" x14ac:dyDescent="0.2">
      <c r="A61" s="15" t="s">
        <v>545</v>
      </c>
      <c r="B61" s="14" t="s">
        <v>521</v>
      </c>
      <c r="C61" s="15" t="s">
        <v>546</v>
      </c>
      <c r="D61" s="15" t="s">
        <v>363</v>
      </c>
      <c r="E61" s="15" t="s">
        <v>538</v>
      </c>
      <c r="F61" s="15" t="s">
        <v>63</v>
      </c>
      <c r="G61" s="15" t="s">
        <v>106</v>
      </c>
      <c r="H61" s="15" t="s">
        <v>437</v>
      </c>
      <c r="I61" s="15" t="s">
        <v>61</v>
      </c>
      <c r="J61" s="15" t="s">
        <v>65</v>
      </c>
      <c r="K61" s="15"/>
      <c r="L61" s="14" t="s">
        <v>447</v>
      </c>
      <c r="M61" s="15">
        <v>1</v>
      </c>
      <c r="N61" s="15"/>
      <c r="O61" s="15"/>
      <c r="P61" s="14" t="s">
        <v>292</v>
      </c>
    </row>
    <row r="62" spans="1:16" x14ac:dyDescent="0.2">
      <c r="A62" s="15" t="s">
        <v>550</v>
      </c>
      <c r="B62" s="14" t="s">
        <v>529</v>
      </c>
      <c r="C62" s="15" t="s">
        <v>551</v>
      </c>
      <c r="D62" s="15" t="s">
        <v>363</v>
      </c>
      <c r="E62" s="15" t="s">
        <v>538</v>
      </c>
      <c r="F62" s="15" t="s">
        <v>63</v>
      </c>
      <c r="G62" s="15" t="s">
        <v>553</v>
      </c>
      <c r="H62" s="15" t="s">
        <v>437</v>
      </c>
      <c r="I62" s="15" t="s">
        <v>61</v>
      </c>
      <c r="J62" s="15" t="s">
        <v>65</v>
      </c>
      <c r="K62" s="15"/>
      <c r="L62" s="14" t="s">
        <v>447</v>
      </c>
      <c r="M62" s="15">
        <v>1</v>
      </c>
      <c r="N62" s="15"/>
      <c r="O62" s="15"/>
      <c r="P62" s="14" t="s">
        <v>556</v>
      </c>
    </row>
    <row r="63" spans="1:16" x14ac:dyDescent="0.2">
      <c r="A63" s="15" t="s">
        <v>558</v>
      </c>
      <c r="B63" s="14" t="s">
        <v>733</v>
      </c>
      <c r="C63" s="15" t="s">
        <v>560</v>
      </c>
      <c r="D63" s="15" t="s">
        <v>363</v>
      </c>
      <c r="E63" s="15" t="s">
        <v>559</v>
      </c>
      <c r="F63" s="15" t="s">
        <v>63</v>
      </c>
      <c r="G63" s="14" t="s">
        <v>19</v>
      </c>
      <c r="H63" s="15" t="s">
        <v>177</v>
      </c>
      <c r="I63" s="15" t="s">
        <v>61</v>
      </c>
      <c r="J63" s="15" t="s">
        <v>562</v>
      </c>
      <c r="K63" s="15"/>
      <c r="L63" s="14" t="s">
        <v>359</v>
      </c>
      <c r="M63" s="15">
        <v>1</v>
      </c>
      <c r="N63" s="15"/>
      <c r="O63" s="15"/>
      <c r="P63" s="14" t="s">
        <v>563</v>
      </c>
    </row>
    <row r="64" spans="1:16" x14ac:dyDescent="0.2">
      <c r="A64" s="15" t="s">
        <v>569</v>
      </c>
      <c r="B64" s="14" t="s">
        <v>563</v>
      </c>
      <c r="C64" s="15" t="s">
        <v>570</v>
      </c>
      <c r="D64" s="15" t="s">
        <v>363</v>
      </c>
      <c r="E64" s="15" t="s">
        <v>559</v>
      </c>
      <c r="F64" s="15" t="s">
        <v>63</v>
      </c>
      <c r="G64" s="14" t="s">
        <v>19</v>
      </c>
      <c r="H64" s="15" t="s">
        <v>177</v>
      </c>
      <c r="I64" s="15" t="s">
        <v>61</v>
      </c>
      <c r="J64" s="15" t="s">
        <v>321</v>
      </c>
      <c r="K64" s="15"/>
      <c r="L64" s="14" t="s">
        <v>422</v>
      </c>
      <c r="M64" s="15">
        <v>1</v>
      </c>
      <c r="N64" s="15"/>
      <c r="O64" s="15"/>
      <c r="P64" s="14" t="s">
        <v>572</v>
      </c>
    </row>
    <row r="65" spans="1:16" x14ac:dyDescent="0.2">
      <c r="A65" s="15" t="s">
        <v>578</v>
      </c>
      <c r="B65" s="14" t="s">
        <v>1401</v>
      </c>
      <c r="C65" s="15" t="s">
        <v>579</v>
      </c>
      <c r="D65" s="15" t="s">
        <v>363</v>
      </c>
      <c r="E65" s="15" t="s">
        <v>559</v>
      </c>
      <c r="F65" s="15" t="s">
        <v>63</v>
      </c>
      <c r="G65" s="15" t="s">
        <v>106</v>
      </c>
      <c r="H65" s="15" t="s">
        <v>177</v>
      </c>
      <c r="I65" s="15" t="s">
        <v>61</v>
      </c>
      <c r="J65" s="15" t="s">
        <v>345</v>
      </c>
      <c r="K65" s="15"/>
      <c r="L65" s="14" t="s">
        <v>413</v>
      </c>
      <c r="M65" s="15">
        <v>1</v>
      </c>
      <c r="N65" s="15"/>
      <c r="O65" s="15"/>
      <c r="P65" s="14" t="s">
        <v>582</v>
      </c>
    </row>
    <row r="66" spans="1:16" x14ac:dyDescent="0.2">
      <c r="A66" s="15" t="s">
        <v>584</v>
      </c>
      <c r="B66" s="14" t="s">
        <v>582</v>
      </c>
      <c r="C66" s="15" t="s">
        <v>585</v>
      </c>
      <c r="D66" s="15" t="s">
        <v>363</v>
      </c>
      <c r="E66" s="15" t="s">
        <v>559</v>
      </c>
      <c r="F66" s="15" t="s">
        <v>63</v>
      </c>
      <c r="G66" s="15" t="s">
        <v>587</v>
      </c>
      <c r="H66" s="15" t="s">
        <v>177</v>
      </c>
      <c r="I66" s="15" t="s">
        <v>61</v>
      </c>
      <c r="J66" s="15" t="s">
        <v>246</v>
      </c>
      <c r="K66" s="15"/>
      <c r="L66" s="14" t="s">
        <v>359</v>
      </c>
      <c r="M66" s="15">
        <v>1</v>
      </c>
      <c r="N66" s="15"/>
      <c r="O66" s="15"/>
      <c r="P66" s="15" t="s">
        <v>589</v>
      </c>
    </row>
    <row r="67" spans="1:16" x14ac:dyDescent="0.2">
      <c r="A67" s="15" t="s">
        <v>591</v>
      </c>
      <c r="B67" s="14" t="s">
        <v>572</v>
      </c>
      <c r="C67" s="15" t="s">
        <v>592</v>
      </c>
      <c r="D67" s="15" t="s">
        <v>363</v>
      </c>
      <c r="E67" s="15" t="s">
        <v>559</v>
      </c>
      <c r="F67" s="15" t="s">
        <v>63</v>
      </c>
      <c r="G67" s="15" t="s">
        <v>593</v>
      </c>
      <c r="H67" s="15" t="s">
        <v>177</v>
      </c>
      <c r="I67" s="15" t="s">
        <v>61</v>
      </c>
      <c r="J67" s="15" t="s">
        <v>595</v>
      </c>
      <c r="K67" s="15"/>
      <c r="L67" s="14" t="s">
        <v>292</v>
      </c>
      <c r="M67" s="15">
        <v>1</v>
      </c>
      <c r="N67" s="15"/>
      <c r="O67" s="15"/>
      <c r="P67" s="14" t="s">
        <v>596</v>
      </c>
    </row>
    <row r="68" spans="1:16" x14ac:dyDescent="0.2">
      <c r="A68" s="15" t="s">
        <v>598</v>
      </c>
      <c r="B68" s="14" t="s">
        <v>1505</v>
      </c>
      <c r="C68" s="15" t="s">
        <v>599</v>
      </c>
      <c r="D68" s="15" t="s">
        <v>363</v>
      </c>
      <c r="E68" s="15" t="s">
        <v>559</v>
      </c>
      <c r="F68" s="15" t="s">
        <v>63</v>
      </c>
      <c r="G68" s="14" t="s">
        <v>19</v>
      </c>
      <c r="H68" s="15" t="s">
        <v>177</v>
      </c>
      <c r="I68" s="15" t="s">
        <v>61</v>
      </c>
      <c r="J68" s="15" t="s">
        <v>242</v>
      </c>
      <c r="K68" s="15"/>
      <c r="L68" s="14" t="s">
        <v>368</v>
      </c>
      <c r="M68" s="15">
        <v>1</v>
      </c>
      <c r="N68" s="15"/>
      <c r="O68" s="15"/>
      <c r="P68" s="14" t="s">
        <v>601</v>
      </c>
    </row>
    <row r="69" spans="1:16" x14ac:dyDescent="0.2">
      <c r="A69" s="15" t="s">
        <v>728</v>
      </c>
      <c r="B69" s="14" t="s">
        <v>1416</v>
      </c>
      <c r="C69" s="15" t="s">
        <v>730</v>
      </c>
      <c r="D69" s="15" t="s">
        <v>363</v>
      </c>
      <c r="E69" s="15" t="s">
        <v>729</v>
      </c>
      <c r="F69" s="15" t="s">
        <v>63</v>
      </c>
      <c r="G69" s="15" t="s">
        <v>1995</v>
      </c>
      <c r="H69" s="15" t="s">
        <v>61</v>
      </c>
      <c r="I69" s="15" t="s">
        <v>61</v>
      </c>
      <c r="J69" s="15" t="s">
        <v>65</v>
      </c>
      <c r="K69" s="15" t="s">
        <v>732</v>
      </c>
      <c r="L69" s="14" t="s">
        <v>431</v>
      </c>
      <c r="M69" s="15">
        <v>1</v>
      </c>
      <c r="N69" s="15"/>
      <c r="O69" s="15"/>
      <c r="P69" s="14" t="s">
        <v>733</v>
      </c>
    </row>
    <row r="70" spans="1:16" x14ac:dyDescent="0.2">
      <c r="A70" s="15" t="s">
        <v>607</v>
      </c>
      <c r="B70" s="14" t="s">
        <v>625</v>
      </c>
      <c r="C70" s="15" t="s">
        <v>609</v>
      </c>
      <c r="D70" s="15" t="s">
        <v>608</v>
      </c>
      <c r="E70" s="15" t="s">
        <v>61</v>
      </c>
      <c r="F70" s="15" t="s">
        <v>63</v>
      </c>
      <c r="G70" s="15" t="s">
        <v>85</v>
      </c>
      <c r="H70" s="15" t="s">
        <v>612</v>
      </c>
      <c r="I70" s="15" t="s">
        <v>61</v>
      </c>
      <c r="J70" s="15" t="s">
        <v>65</v>
      </c>
      <c r="K70" s="15"/>
      <c r="L70" s="14" t="s">
        <v>613</v>
      </c>
      <c r="M70" s="15">
        <v>1</v>
      </c>
      <c r="N70" s="15"/>
      <c r="O70" s="15"/>
      <c r="P70" s="15" t="s">
        <v>614</v>
      </c>
    </row>
    <row r="71" spans="1:16" x14ac:dyDescent="0.2">
      <c r="A71" s="15" t="s">
        <v>622</v>
      </c>
      <c r="B71" s="14" t="s">
        <v>1432</v>
      </c>
      <c r="C71" s="15" t="s">
        <v>623</v>
      </c>
      <c r="D71" s="15" t="s">
        <v>608</v>
      </c>
      <c r="E71" s="15" t="s">
        <v>61</v>
      </c>
      <c r="F71" s="15" t="s">
        <v>63</v>
      </c>
      <c r="G71" s="15" t="s">
        <v>85</v>
      </c>
      <c r="H71" s="15" t="s">
        <v>612</v>
      </c>
      <c r="I71" s="15" t="s">
        <v>61</v>
      </c>
      <c r="J71" s="15" t="s">
        <v>65</v>
      </c>
      <c r="K71" s="15"/>
      <c r="L71" s="14" t="s">
        <v>625</v>
      </c>
      <c r="M71" s="15">
        <v>1</v>
      </c>
      <c r="N71" s="15"/>
      <c r="O71" s="15"/>
      <c r="P71" s="15" t="s">
        <v>626</v>
      </c>
    </row>
    <row r="72" spans="1:16" x14ac:dyDescent="0.2">
      <c r="A72" s="15" t="s">
        <v>628</v>
      </c>
      <c r="B72" s="14" t="s">
        <v>632</v>
      </c>
      <c r="C72" s="15" t="s">
        <v>629</v>
      </c>
      <c r="D72" s="15" t="s">
        <v>608</v>
      </c>
      <c r="E72" s="15" t="s">
        <v>61</v>
      </c>
      <c r="F72" s="15" t="s">
        <v>63</v>
      </c>
      <c r="G72" s="15" t="s">
        <v>98</v>
      </c>
      <c r="H72" s="15" t="s">
        <v>612</v>
      </c>
      <c r="I72" s="15" t="s">
        <v>61</v>
      </c>
      <c r="J72" s="15" t="s">
        <v>65</v>
      </c>
      <c r="K72" s="15"/>
      <c r="L72" s="14" t="s">
        <v>632</v>
      </c>
      <c r="M72" s="15">
        <v>1</v>
      </c>
      <c r="N72" s="15"/>
      <c r="O72" s="15"/>
      <c r="P72" s="14" t="s">
        <v>632</v>
      </c>
    </row>
    <row r="73" spans="1:16" x14ac:dyDescent="0.2">
      <c r="A73" s="15" t="s">
        <v>634</v>
      </c>
      <c r="B73" s="14" t="s">
        <v>109</v>
      </c>
      <c r="C73" s="15" t="s">
        <v>637</v>
      </c>
      <c r="D73" s="15" t="s">
        <v>635</v>
      </c>
      <c r="E73" s="15" t="s">
        <v>636</v>
      </c>
      <c r="F73" s="15" t="s">
        <v>63</v>
      </c>
      <c r="G73" s="15" t="s">
        <v>640</v>
      </c>
      <c r="H73" s="15" t="s">
        <v>642</v>
      </c>
      <c r="I73" s="15" t="s">
        <v>1032</v>
      </c>
      <c r="J73" s="15" t="s">
        <v>65</v>
      </c>
      <c r="K73" s="15"/>
      <c r="L73" s="14" t="s">
        <v>109</v>
      </c>
      <c r="M73" s="15">
        <v>1</v>
      </c>
      <c r="N73" s="15"/>
      <c r="O73" s="15"/>
      <c r="P73" s="14" t="s">
        <v>109</v>
      </c>
    </row>
    <row r="74" spans="1:16" x14ac:dyDescent="0.2">
      <c r="A74" s="15" t="s">
        <v>644</v>
      </c>
      <c r="B74" s="14" t="s">
        <v>663</v>
      </c>
      <c r="C74" s="15" t="s">
        <v>645</v>
      </c>
      <c r="D74" s="15" t="s">
        <v>635</v>
      </c>
      <c r="E74" s="15" t="s">
        <v>636</v>
      </c>
      <c r="F74" s="15" t="s">
        <v>63</v>
      </c>
      <c r="G74" s="15" t="s">
        <v>640</v>
      </c>
      <c r="H74" s="15" t="s">
        <v>647</v>
      </c>
      <c r="I74" s="15" t="s">
        <v>1033</v>
      </c>
      <c r="J74" s="15" t="s">
        <v>65</v>
      </c>
      <c r="K74" s="15"/>
      <c r="L74" s="14" t="s">
        <v>648</v>
      </c>
      <c r="M74" s="15">
        <v>1</v>
      </c>
      <c r="N74" s="15"/>
      <c r="O74" s="15"/>
      <c r="P74" s="14" t="s">
        <v>649</v>
      </c>
    </row>
    <row r="75" spans="1:16" x14ac:dyDescent="0.2">
      <c r="A75" s="15" t="s">
        <v>651</v>
      </c>
      <c r="B75" s="14" t="s">
        <v>683</v>
      </c>
      <c r="C75" s="15" t="s">
        <v>652</v>
      </c>
      <c r="D75" s="15" t="s">
        <v>635</v>
      </c>
      <c r="E75" s="15" t="s">
        <v>636</v>
      </c>
      <c r="F75" s="15" t="s">
        <v>63</v>
      </c>
      <c r="G75" s="15" t="s">
        <v>1995</v>
      </c>
      <c r="H75" s="15" t="s">
        <v>169</v>
      </c>
      <c r="I75" s="15" t="s">
        <v>128</v>
      </c>
      <c r="J75" s="15" t="s">
        <v>65</v>
      </c>
      <c r="K75" s="15"/>
      <c r="L75" s="14" t="s">
        <v>648</v>
      </c>
      <c r="M75" s="15">
        <v>1</v>
      </c>
      <c r="N75" s="15"/>
      <c r="O75" s="15"/>
      <c r="P75" s="14" t="s">
        <v>654</v>
      </c>
    </row>
    <row r="76" spans="1:16" x14ac:dyDescent="0.2">
      <c r="A76" s="15" t="s">
        <v>656</v>
      </c>
      <c r="B76" s="14" t="s">
        <v>649</v>
      </c>
      <c r="C76" s="15" t="s">
        <v>657</v>
      </c>
      <c r="D76" s="15" t="s">
        <v>635</v>
      </c>
      <c r="E76" s="15" t="s">
        <v>636</v>
      </c>
      <c r="F76" s="15" t="s">
        <v>63</v>
      </c>
      <c r="G76" s="15" t="s">
        <v>85</v>
      </c>
      <c r="H76" s="15" t="s">
        <v>169</v>
      </c>
      <c r="I76" s="15" t="s">
        <v>515</v>
      </c>
      <c r="J76" s="15" t="s">
        <v>65</v>
      </c>
      <c r="K76" s="15"/>
      <c r="L76" s="14" t="s">
        <v>438</v>
      </c>
      <c r="M76" s="15">
        <v>1</v>
      </c>
      <c r="N76" s="15"/>
      <c r="O76" s="15"/>
      <c r="P76" s="14" t="s">
        <v>648</v>
      </c>
    </row>
    <row r="77" spans="1:16" x14ac:dyDescent="0.2">
      <c r="A77" s="15" t="s">
        <v>660</v>
      </c>
      <c r="B77" s="14" t="s">
        <v>654</v>
      </c>
      <c r="C77" s="15" t="s">
        <v>661</v>
      </c>
      <c r="D77" s="15" t="s">
        <v>635</v>
      </c>
      <c r="E77" s="15" t="s">
        <v>636</v>
      </c>
      <c r="F77" s="15" t="s">
        <v>63</v>
      </c>
      <c r="G77" s="14" t="s">
        <v>19</v>
      </c>
      <c r="H77" s="15" t="s">
        <v>99</v>
      </c>
      <c r="I77" s="15" t="s">
        <v>61</v>
      </c>
      <c r="J77" s="15" t="s">
        <v>65</v>
      </c>
      <c r="K77" s="15"/>
      <c r="L77" s="14" t="s">
        <v>663</v>
      </c>
      <c r="M77" s="15">
        <v>1</v>
      </c>
      <c r="N77" s="15"/>
      <c r="O77" s="15"/>
      <c r="P77" s="14" t="s">
        <v>664</v>
      </c>
    </row>
    <row r="78" spans="1:16" x14ac:dyDescent="0.2">
      <c r="A78" s="15" t="s">
        <v>668</v>
      </c>
      <c r="B78" s="14" t="s">
        <v>648</v>
      </c>
      <c r="C78" s="15" t="s">
        <v>669</v>
      </c>
      <c r="D78" s="15" t="s">
        <v>635</v>
      </c>
      <c r="E78" s="15" t="s">
        <v>636</v>
      </c>
      <c r="F78" s="15" t="s">
        <v>63</v>
      </c>
      <c r="G78" s="14" t="s">
        <v>19</v>
      </c>
      <c r="H78" s="15" t="s">
        <v>99</v>
      </c>
      <c r="I78" s="15" t="s">
        <v>61</v>
      </c>
      <c r="J78" s="15" t="s">
        <v>65</v>
      </c>
      <c r="K78" s="15"/>
      <c r="L78" s="14" t="s">
        <v>649</v>
      </c>
      <c r="M78" s="15">
        <v>1</v>
      </c>
      <c r="N78" s="15"/>
      <c r="O78" s="15"/>
      <c r="P78" s="14" t="s">
        <v>670</v>
      </c>
    </row>
    <row r="79" spans="1:16" x14ac:dyDescent="0.2">
      <c r="A79" s="15" t="s">
        <v>674</v>
      </c>
      <c r="B79" s="14" t="s">
        <v>438</v>
      </c>
      <c r="C79" s="15" t="s">
        <v>676</v>
      </c>
      <c r="D79" s="15" t="s">
        <v>635</v>
      </c>
      <c r="E79" s="15" t="s">
        <v>675</v>
      </c>
      <c r="F79" s="15" t="s">
        <v>63</v>
      </c>
      <c r="G79" s="15" t="s">
        <v>1961</v>
      </c>
      <c r="H79" s="15" t="s">
        <v>647</v>
      </c>
      <c r="I79" s="15" t="s">
        <v>1032</v>
      </c>
      <c r="J79" s="15" t="s">
        <v>65</v>
      </c>
      <c r="K79" s="15"/>
      <c r="L79" s="14" t="s">
        <v>663</v>
      </c>
      <c r="M79" s="15">
        <v>1</v>
      </c>
      <c r="N79" s="15"/>
      <c r="O79" s="15"/>
      <c r="P79" s="14" t="s">
        <v>663</v>
      </c>
    </row>
    <row r="80" spans="1:16" x14ac:dyDescent="0.2">
      <c r="A80" s="15" t="s">
        <v>680</v>
      </c>
      <c r="B80" s="14" t="s">
        <v>714</v>
      </c>
      <c r="C80" s="15" t="s">
        <v>681</v>
      </c>
      <c r="D80" s="15" t="s">
        <v>635</v>
      </c>
      <c r="E80" s="15" t="s">
        <v>675</v>
      </c>
      <c r="F80" s="15" t="s">
        <v>63</v>
      </c>
      <c r="G80" s="15" t="s">
        <v>106</v>
      </c>
      <c r="H80" s="15" t="s">
        <v>647</v>
      </c>
      <c r="I80" s="15" t="s">
        <v>61</v>
      </c>
      <c r="J80" s="15" t="s">
        <v>65</v>
      </c>
      <c r="K80" s="15"/>
      <c r="L80" s="14" t="s">
        <v>663</v>
      </c>
      <c r="M80" s="15">
        <v>1</v>
      </c>
      <c r="N80" s="15"/>
      <c r="O80" s="15"/>
      <c r="P80" s="14" t="s">
        <v>683</v>
      </c>
    </row>
    <row r="81" spans="1:16" x14ac:dyDescent="0.2">
      <c r="A81" s="15" t="s">
        <v>685</v>
      </c>
      <c r="B81" s="14" t="s">
        <v>719</v>
      </c>
      <c r="C81" s="15" t="s">
        <v>686</v>
      </c>
      <c r="D81" s="15" t="s">
        <v>635</v>
      </c>
      <c r="E81" s="15" t="s">
        <v>675</v>
      </c>
      <c r="F81" s="15" t="s">
        <v>63</v>
      </c>
      <c r="G81" s="15" t="s">
        <v>106</v>
      </c>
      <c r="H81" s="15" t="s">
        <v>99</v>
      </c>
      <c r="I81" s="15" t="s">
        <v>61</v>
      </c>
      <c r="J81" s="15" t="s">
        <v>345</v>
      </c>
      <c r="K81" s="15"/>
      <c r="L81" s="14" t="s">
        <v>663</v>
      </c>
      <c r="M81" s="15">
        <v>1</v>
      </c>
      <c r="N81" s="15"/>
      <c r="O81" s="15"/>
      <c r="P81" s="14" t="s">
        <v>688</v>
      </c>
    </row>
    <row r="82" spans="1:16" x14ac:dyDescent="0.2">
      <c r="A82" s="15" t="s">
        <v>690</v>
      </c>
      <c r="B82" s="14" t="s">
        <v>688</v>
      </c>
      <c r="C82" s="15" t="s">
        <v>691</v>
      </c>
      <c r="D82" s="15" t="s">
        <v>635</v>
      </c>
      <c r="E82" s="15" t="s">
        <v>675</v>
      </c>
      <c r="F82" s="15" t="s">
        <v>63</v>
      </c>
      <c r="G82" s="15" t="s">
        <v>2060</v>
      </c>
      <c r="H82" s="15" t="s">
        <v>647</v>
      </c>
      <c r="I82" s="15" t="s">
        <v>1032</v>
      </c>
      <c r="J82" s="15" t="s">
        <v>65</v>
      </c>
      <c r="K82" s="15"/>
      <c r="L82" s="14" t="s">
        <v>683</v>
      </c>
      <c r="M82" s="15">
        <v>1</v>
      </c>
      <c r="N82" s="15"/>
      <c r="O82" s="15"/>
      <c r="P82" s="14" t="s">
        <v>438</v>
      </c>
    </row>
    <row r="83" spans="1:16" x14ac:dyDescent="0.2">
      <c r="A83" s="15" t="s">
        <v>694</v>
      </c>
      <c r="B83" s="14" t="s">
        <v>724</v>
      </c>
      <c r="C83" s="15" t="s">
        <v>695</v>
      </c>
      <c r="D83" s="15" t="s">
        <v>635</v>
      </c>
      <c r="E83" s="15" t="s">
        <v>675</v>
      </c>
      <c r="F83" s="15" t="s">
        <v>63</v>
      </c>
      <c r="G83" s="15" t="s">
        <v>106</v>
      </c>
      <c r="H83" s="15" t="s">
        <v>169</v>
      </c>
      <c r="I83" s="15" t="s">
        <v>61</v>
      </c>
      <c r="J83" s="15" t="s">
        <v>65</v>
      </c>
      <c r="K83" s="15"/>
      <c r="L83" s="14" t="s">
        <v>184</v>
      </c>
      <c r="M83" s="15">
        <v>1</v>
      </c>
      <c r="N83" s="15"/>
      <c r="O83" s="15"/>
      <c r="P83" s="14" t="s">
        <v>698</v>
      </c>
    </row>
    <row r="84" spans="1:16" x14ac:dyDescent="0.2">
      <c r="A84" s="15" t="s">
        <v>700</v>
      </c>
      <c r="B84" s="14" t="s">
        <v>726</v>
      </c>
      <c r="C84" s="15" t="s">
        <v>701</v>
      </c>
      <c r="D84" s="15" t="s">
        <v>635</v>
      </c>
      <c r="E84" s="15" t="s">
        <v>675</v>
      </c>
      <c r="F84" s="15" t="s">
        <v>63</v>
      </c>
      <c r="G84" s="14" t="s">
        <v>19</v>
      </c>
      <c r="H84" s="15" t="s">
        <v>99</v>
      </c>
      <c r="I84" s="15" t="s">
        <v>61</v>
      </c>
      <c r="J84" s="15" t="s">
        <v>65</v>
      </c>
      <c r="K84" s="15"/>
      <c r="L84" s="14" t="s">
        <v>702</v>
      </c>
      <c r="M84" s="15">
        <v>1</v>
      </c>
      <c r="N84" s="15"/>
      <c r="O84" s="15"/>
      <c r="P84" s="14" t="s">
        <v>703</v>
      </c>
    </row>
    <row r="85" spans="1:16" x14ac:dyDescent="0.2">
      <c r="A85" s="15" t="s">
        <v>707</v>
      </c>
      <c r="B85" s="14" t="s">
        <v>698</v>
      </c>
      <c r="C85" s="15" t="s">
        <v>709</v>
      </c>
      <c r="D85" s="15" t="s">
        <v>635</v>
      </c>
      <c r="E85" s="15" t="s">
        <v>708</v>
      </c>
      <c r="F85" s="15" t="s">
        <v>63</v>
      </c>
      <c r="G85" s="15" t="s">
        <v>712</v>
      </c>
      <c r="H85" s="15" t="s">
        <v>642</v>
      </c>
      <c r="I85" s="15" t="s">
        <v>778</v>
      </c>
      <c r="J85" s="15" t="s">
        <v>65</v>
      </c>
      <c r="K85" s="15"/>
      <c r="L85" s="14" t="s">
        <v>649</v>
      </c>
      <c r="M85" s="15">
        <v>1</v>
      </c>
      <c r="N85" s="15"/>
      <c r="O85" s="15"/>
      <c r="P85" s="14" t="s">
        <v>714</v>
      </c>
    </row>
    <row r="86" spans="1:16" x14ac:dyDescent="0.2">
      <c r="A86" s="15" t="s">
        <v>716</v>
      </c>
      <c r="B86" s="14" t="s">
        <v>664</v>
      </c>
      <c r="C86" s="15" t="s">
        <v>717</v>
      </c>
      <c r="D86" s="15" t="s">
        <v>635</v>
      </c>
      <c r="E86" s="15" t="s">
        <v>708</v>
      </c>
      <c r="F86" s="15" t="s">
        <v>63</v>
      </c>
      <c r="G86" s="15" t="s">
        <v>640</v>
      </c>
      <c r="H86" s="15" t="s">
        <v>647</v>
      </c>
      <c r="I86" s="15" t="s">
        <v>61</v>
      </c>
      <c r="J86" s="15" t="s">
        <v>65</v>
      </c>
      <c r="K86" s="15"/>
      <c r="L86" s="14" t="s">
        <v>438</v>
      </c>
      <c r="M86" s="15">
        <v>1</v>
      </c>
      <c r="N86" s="15"/>
      <c r="O86" s="15"/>
      <c r="P86" s="14" t="s">
        <v>719</v>
      </c>
    </row>
    <row r="87" spans="1:16" x14ac:dyDescent="0.2">
      <c r="A87" s="15" t="s">
        <v>721</v>
      </c>
      <c r="B87" s="14" t="s">
        <v>670</v>
      </c>
      <c r="C87" s="15" t="s">
        <v>722</v>
      </c>
      <c r="D87" s="15" t="s">
        <v>635</v>
      </c>
      <c r="E87" s="15" t="s">
        <v>708</v>
      </c>
      <c r="F87" s="15" t="s">
        <v>63</v>
      </c>
      <c r="G87" s="15" t="s">
        <v>106</v>
      </c>
      <c r="H87" s="15" t="s">
        <v>647</v>
      </c>
      <c r="I87" s="15" t="s">
        <v>61</v>
      </c>
      <c r="J87" s="15" t="s">
        <v>65</v>
      </c>
      <c r="K87" s="15"/>
      <c r="L87" s="14" t="s">
        <v>654</v>
      </c>
      <c r="M87" s="15">
        <v>1</v>
      </c>
      <c r="N87" s="15"/>
      <c r="O87" s="15"/>
      <c r="P87" s="14" t="s">
        <v>724</v>
      </c>
    </row>
    <row r="88" spans="1:16" x14ac:dyDescent="0.2">
      <c r="A88" s="15"/>
      <c r="B88" s="15"/>
      <c r="C88" s="15"/>
      <c r="D88" s="15"/>
      <c r="E88" s="15"/>
      <c r="F88" s="15"/>
      <c r="G88" s="15"/>
      <c r="H88" s="15"/>
      <c r="I88" s="15"/>
      <c r="J88" s="15"/>
      <c r="K88" s="15"/>
      <c r="L88" s="15"/>
      <c r="M88" s="15"/>
      <c r="N88" s="15"/>
      <c r="O88" s="15"/>
      <c r="P88" s="15"/>
    </row>
    <row r="89" spans="1:16" x14ac:dyDescent="0.2">
      <c r="A89" s="29" t="s">
        <v>1506</v>
      </c>
      <c r="B89" s="15"/>
      <c r="C89" s="15"/>
      <c r="D89" s="15"/>
      <c r="E89" s="15"/>
      <c r="F89" s="15"/>
      <c r="G89" s="15"/>
      <c r="H89" s="15"/>
      <c r="I89" s="15"/>
      <c r="J89" s="15"/>
      <c r="K89" s="15"/>
      <c r="L89" s="15"/>
      <c r="M89" s="15"/>
      <c r="N89" s="15"/>
      <c r="O89" s="15"/>
      <c r="P89" s="15"/>
    </row>
    <row r="90" spans="1:16" ht="42" customHeight="1" x14ac:dyDescent="0.2">
      <c r="A90" s="28" t="s">
        <v>33</v>
      </c>
      <c r="B90" s="28" t="s">
        <v>34</v>
      </c>
      <c r="C90" s="28" t="s">
        <v>747</v>
      </c>
      <c r="D90" s="28" t="s">
        <v>1507</v>
      </c>
      <c r="E90" s="28" t="s">
        <v>40</v>
      </c>
      <c r="F90" s="28" t="s">
        <v>42</v>
      </c>
      <c r="G90" s="28" t="s">
        <v>1508</v>
      </c>
      <c r="H90" s="28" t="s">
        <v>44</v>
      </c>
      <c r="I90" s="28" t="s">
        <v>45</v>
      </c>
      <c r="J90" s="28" t="s">
        <v>46</v>
      </c>
      <c r="K90" s="28" t="s">
        <v>51</v>
      </c>
      <c r="L90" s="28" t="s">
        <v>47</v>
      </c>
      <c r="M90" s="15"/>
      <c r="N90" s="15"/>
      <c r="O90" s="15"/>
      <c r="P90" s="15"/>
    </row>
    <row r="91" spans="1:16" x14ac:dyDescent="0.2">
      <c r="A91" s="15" t="s">
        <v>58</v>
      </c>
      <c r="B91" s="15" t="s">
        <v>59</v>
      </c>
      <c r="C91" s="14" t="s">
        <v>71</v>
      </c>
      <c r="D91" s="15" t="s">
        <v>64</v>
      </c>
      <c r="E91" s="15" t="s">
        <v>66</v>
      </c>
      <c r="F91" s="15" t="s">
        <v>67</v>
      </c>
      <c r="G91" s="15"/>
      <c r="H91" s="15">
        <v>1</v>
      </c>
      <c r="I91" s="15"/>
      <c r="J91" s="15" t="s">
        <v>66</v>
      </c>
      <c r="K91" s="15"/>
      <c r="L91" s="15" t="s">
        <v>68</v>
      </c>
      <c r="M91" s="15"/>
      <c r="N91" s="15"/>
      <c r="O91" s="15"/>
      <c r="P91" s="15"/>
    </row>
    <row r="92" spans="1:16" x14ac:dyDescent="0.2">
      <c r="A92" s="15" t="s">
        <v>72</v>
      </c>
      <c r="B92" s="15" t="s">
        <v>73</v>
      </c>
      <c r="C92" s="14" t="s">
        <v>81</v>
      </c>
      <c r="D92" s="15" t="s">
        <v>64</v>
      </c>
      <c r="E92" s="15" t="s">
        <v>66</v>
      </c>
      <c r="F92" s="15" t="s">
        <v>67</v>
      </c>
      <c r="G92" s="15"/>
      <c r="H92" s="15">
        <v>4</v>
      </c>
      <c r="I92" s="15"/>
      <c r="J92" s="15" t="s">
        <v>66</v>
      </c>
      <c r="K92" s="15" t="s">
        <v>80</v>
      </c>
      <c r="L92" s="15" t="s">
        <v>77</v>
      </c>
      <c r="M92" s="15"/>
      <c r="N92" s="15"/>
      <c r="O92" s="15"/>
      <c r="P92" s="15"/>
    </row>
    <row r="93" spans="1:16" x14ac:dyDescent="0.2">
      <c r="A93" s="15" t="s">
        <v>82</v>
      </c>
      <c r="B93" s="15" t="s">
        <v>83</v>
      </c>
      <c r="C93" s="14" t="s">
        <v>94</v>
      </c>
      <c r="D93" s="15" t="s">
        <v>64</v>
      </c>
      <c r="E93" s="15" t="s">
        <v>66</v>
      </c>
      <c r="F93" s="15" t="s">
        <v>67</v>
      </c>
      <c r="G93" s="15"/>
      <c r="H93" s="15">
        <v>1</v>
      </c>
      <c r="I93" s="15" t="s">
        <v>86</v>
      </c>
      <c r="J93" s="15" t="s">
        <v>66</v>
      </c>
      <c r="K93" s="15" t="s">
        <v>1720</v>
      </c>
      <c r="L93" s="15" t="s">
        <v>1668</v>
      </c>
      <c r="M93" s="15"/>
      <c r="N93" s="15"/>
      <c r="O93" s="15"/>
      <c r="P93" s="15"/>
    </row>
    <row r="94" spans="1:16" x14ac:dyDescent="0.2">
      <c r="A94" s="15" t="s">
        <v>89</v>
      </c>
      <c r="B94" s="15" t="s">
        <v>90</v>
      </c>
      <c r="C94" s="14" t="s">
        <v>100</v>
      </c>
      <c r="D94" s="15" t="s">
        <v>64</v>
      </c>
      <c r="E94" s="15" t="s">
        <v>66</v>
      </c>
      <c r="F94" s="15" t="s">
        <v>67</v>
      </c>
      <c r="G94" s="15"/>
      <c r="H94" s="15">
        <v>4</v>
      </c>
      <c r="I94" s="15"/>
      <c r="J94" s="15" t="s">
        <v>66</v>
      </c>
      <c r="K94" s="15"/>
      <c r="L94" s="15" t="s">
        <v>93</v>
      </c>
      <c r="M94" s="15"/>
      <c r="N94" s="15"/>
      <c r="O94" s="15"/>
      <c r="P94" s="15"/>
    </row>
    <row r="95" spans="1:16" x14ac:dyDescent="0.2">
      <c r="A95" s="15" t="s">
        <v>95</v>
      </c>
      <c r="B95" s="15" t="s">
        <v>96</v>
      </c>
      <c r="C95" s="14" t="s">
        <v>88</v>
      </c>
      <c r="D95" s="15" t="s">
        <v>64</v>
      </c>
      <c r="E95" s="15" t="s">
        <v>66</v>
      </c>
      <c r="F95" s="15" t="s">
        <v>67</v>
      </c>
      <c r="G95" s="15"/>
      <c r="H95" s="15">
        <v>4</v>
      </c>
      <c r="I95" s="15"/>
      <c r="J95" s="15" t="s">
        <v>66</v>
      </c>
      <c r="K95" s="15"/>
      <c r="L95" s="15" t="s">
        <v>1509</v>
      </c>
      <c r="M95" s="15"/>
      <c r="N95" s="15"/>
      <c r="O95" s="15"/>
      <c r="P95" s="15"/>
    </row>
    <row r="96" spans="1:16" x14ac:dyDescent="0.2">
      <c r="A96" s="15" t="s">
        <v>101</v>
      </c>
      <c r="B96" s="15" t="s">
        <v>102</v>
      </c>
      <c r="C96" s="14" t="s">
        <v>110</v>
      </c>
      <c r="D96" s="15" t="s">
        <v>64</v>
      </c>
      <c r="E96" s="15" t="s">
        <v>66</v>
      </c>
      <c r="F96" s="15" t="s">
        <v>105</v>
      </c>
      <c r="G96" s="15"/>
      <c r="H96" s="15">
        <v>1</v>
      </c>
      <c r="I96" s="15"/>
      <c r="J96" s="15" t="s">
        <v>107</v>
      </c>
      <c r="K96" s="15"/>
      <c r="L96" s="15" t="s">
        <v>108</v>
      </c>
      <c r="M96" s="15"/>
      <c r="N96" s="15"/>
      <c r="O96" s="15"/>
      <c r="P96" s="15"/>
    </row>
    <row r="97" spans="1:16" x14ac:dyDescent="0.2">
      <c r="A97" s="15" t="s">
        <v>111</v>
      </c>
      <c r="B97" s="15" t="s">
        <v>112</v>
      </c>
      <c r="C97" s="14" t="s">
        <v>117</v>
      </c>
      <c r="D97" s="15" t="s">
        <v>64</v>
      </c>
      <c r="E97" s="15" t="s">
        <v>66</v>
      </c>
      <c r="F97" s="15" t="s">
        <v>125</v>
      </c>
      <c r="G97" s="15"/>
      <c r="H97" s="15">
        <v>1</v>
      </c>
      <c r="I97" s="15"/>
      <c r="J97" s="15" t="s">
        <v>66</v>
      </c>
      <c r="K97" s="15"/>
      <c r="L97" s="15" t="s">
        <v>1510</v>
      </c>
      <c r="M97" s="15"/>
      <c r="N97" s="15"/>
      <c r="O97" s="15"/>
      <c r="P97" s="15"/>
    </row>
    <row r="98" spans="1:16" x14ac:dyDescent="0.2">
      <c r="A98" s="15" t="s">
        <v>120</v>
      </c>
      <c r="B98" s="15" t="s">
        <v>121</v>
      </c>
      <c r="C98" s="15" t="s">
        <v>1083</v>
      </c>
      <c r="D98" s="15" t="s">
        <v>124</v>
      </c>
      <c r="E98" s="15" t="s">
        <v>66</v>
      </c>
      <c r="F98" s="15" t="s">
        <v>125</v>
      </c>
      <c r="G98" s="15"/>
      <c r="H98" s="15">
        <v>4</v>
      </c>
      <c r="I98" s="15"/>
      <c r="J98" s="15" t="s">
        <v>66</v>
      </c>
      <c r="K98" s="15"/>
      <c r="L98" s="15" t="s">
        <v>126</v>
      </c>
      <c r="M98" s="15"/>
      <c r="N98" s="15"/>
      <c r="O98" s="15"/>
      <c r="P98" s="15"/>
    </row>
    <row r="99" spans="1:16" x14ac:dyDescent="0.2">
      <c r="A99" s="15" t="s">
        <v>2022</v>
      </c>
      <c r="B99" s="15" t="s">
        <v>121</v>
      </c>
      <c r="C99" s="15" t="s">
        <v>2019</v>
      </c>
      <c r="D99" s="15" t="s">
        <v>124</v>
      </c>
      <c r="E99" s="15"/>
      <c r="F99" s="15" t="s">
        <v>125</v>
      </c>
      <c r="G99" s="15"/>
      <c r="H99" s="15">
        <v>4</v>
      </c>
      <c r="I99" s="15"/>
      <c r="J99" s="15" t="s">
        <v>66</v>
      </c>
      <c r="K99" s="15"/>
      <c r="L99" s="15" t="s">
        <v>2023</v>
      </c>
      <c r="M99" s="15"/>
      <c r="N99" s="15"/>
      <c r="O99" s="15"/>
      <c r="P99" s="15"/>
    </row>
    <row r="100" spans="1:16" x14ac:dyDescent="0.2">
      <c r="A100" s="15" t="s">
        <v>131</v>
      </c>
      <c r="B100" s="15" t="s">
        <v>121</v>
      </c>
      <c r="C100" s="15" t="s">
        <v>1088</v>
      </c>
      <c r="D100" s="15" t="s">
        <v>132</v>
      </c>
      <c r="E100" s="15"/>
      <c r="F100" s="15" t="s">
        <v>125</v>
      </c>
      <c r="G100" s="15"/>
      <c r="H100" s="15">
        <v>4</v>
      </c>
      <c r="I100" s="15"/>
      <c r="J100" s="15" t="s">
        <v>66</v>
      </c>
      <c r="K100" s="15"/>
      <c r="L100" s="15" t="s">
        <v>133</v>
      </c>
      <c r="M100" s="15"/>
      <c r="N100" s="15"/>
      <c r="O100" s="15"/>
      <c r="P100" s="15"/>
    </row>
    <row r="101" spans="1:16" x14ac:dyDescent="0.2">
      <c r="A101" s="15" t="s">
        <v>134</v>
      </c>
      <c r="B101" s="15" t="s">
        <v>121</v>
      </c>
      <c r="C101" s="15" t="s">
        <v>1092</v>
      </c>
      <c r="D101" s="15" t="s">
        <v>135</v>
      </c>
      <c r="E101" s="15"/>
      <c r="F101" s="15" t="s">
        <v>125</v>
      </c>
      <c r="G101" s="15"/>
      <c r="H101" s="15">
        <v>4</v>
      </c>
      <c r="I101" s="15"/>
      <c r="J101" s="15" t="s">
        <v>66</v>
      </c>
      <c r="K101" s="15" t="s">
        <v>137</v>
      </c>
      <c r="L101" s="15" t="s">
        <v>136</v>
      </c>
      <c r="M101" s="15"/>
      <c r="N101" s="15"/>
      <c r="O101" s="15"/>
      <c r="P101" s="15"/>
    </row>
    <row r="102" spans="1:16" x14ac:dyDescent="0.2">
      <c r="A102" s="15" t="s">
        <v>2026</v>
      </c>
      <c r="B102" s="15" t="s">
        <v>121</v>
      </c>
      <c r="C102" s="15" t="s">
        <v>2024</v>
      </c>
      <c r="D102" s="15" t="s">
        <v>135</v>
      </c>
      <c r="E102" s="15"/>
      <c r="F102" s="15" t="s">
        <v>125</v>
      </c>
      <c r="G102" s="15"/>
      <c r="H102" s="15">
        <v>4</v>
      </c>
      <c r="I102" s="15"/>
      <c r="J102" s="15" t="s">
        <v>66</v>
      </c>
      <c r="K102" s="15"/>
      <c r="L102" s="15" t="s">
        <v>2028</v>
      </c>
      <c r="M102" s="15"/>
      <c r="N102" s="15"/>
      <c r="O102" s="15"/>
      <c r="P102" s="15"/>
    </row>
    <row r="103" spans="1:16" x14ac:dyDescent="0.2">
      <c r="A103" s="15" t="s">
        <v>138</v>
      </c>
      <c r="B103" s="15" t="s">
        <v>139</v>
      </c>
      <c r="C103" s="14" t="s">
        <v>2054</v>
      </c>
      <c r="D103" s="15" t="s">
        <v>64</v>
      </c>
      <c r="E103" s="15" t="s">
        <v>66</v>
      </c>
      <c r="F103" s="15" t="s">
        <v>125</v>
      </c>
      <c r="G103" s="15"/>
      <c r="H103" s="15">
        <v>4</v>
      </c>
      <c r="I103" s="15"/>
      <c r="J103" s="15" t="s">
        <v>66</v>
      </c>
      <c r="K103" s="15"/>
      <c r="L103" s="15" t="s">
        <v>141</v>
      </c>
      <c r="M103" s="15"/>
      <c r="N103" s="15"/>
      <c r="O103" s="15"/>
      <c r="P103" s="15"/>
    </row>
    <row r="104" spans="1:16" x14ac:dyDescent="0.2">
      <c r="A104" s="15" t="s">
        <v>2032</v>
      </c>
      <c r="B104" s="15" t="s">
        <v>139</v>
      </c>
      <c r="C104" s="14" t="s">
        <v>2029</v>
      </c>
      <c r="D104" s="15" t="s">
        <v>64</v>
      </c>
      <c r="E104" s="15"/>
      <c r="F104" s="15" t="s">
        <v>125</v>
      </c>
      <c r="G104" s="15"/>
      <c r="H104" s="15">
        <v>4</v>
      </c>
      <c r="I104" s="15"/>
      <c r="J104" s="15" t="s">
        <v>66</v>
      </c>
      <c r="K104" s="15"/>
      <c r="L104" s="15" t="s">
        <v>2033</v>
      </c>
      <c r="M104" s="15"/>
      <c r="N104" s="15"/>
      <c r="O104" s="15"/>
      <c r="P104" s="15"/>
    </row>
    <row r="105" spans="1:16" x14ac:dyDescent="0.2">
      <c r="A105" s="15" t="s">
        <v>143</v>
      </c>
      <c r="B105" s="15" t="s">
        <v>144</v>
      </c>
      <c r="C105" s="14" t="s">
        <v>142</v>
      </c>
      <c r="D105" s="15" t="s">
        <v>64</v>
      </c>
      <c r="E105" s="15" t="s">
        <v>66</v>
      </c>
      <c r="F105" s="15" t="s">
        <v>125</v>
      </c>
      <c r="G105" s="15"/>
      <c r="H105" s="15">
        <v>4</v>
      </c>
      <c r="I105" s="15"/>
      <c r="J105" s="15" t="s">
        <v>66</v>
      </c>
      <c r="K105" s="15" t="s">
        <v>148</v>
      </c>
      <c r="L105" s="15" t="s">
        <v>147</v>
      </c>
      <c r="M105" s="15"/>
      <c r="N105" s="15"/>
      <c r="O105" s="15"/>
      <c r="P105" s="15"/>
    </row>
    <row r="106" spans="1:16" x14ac:dyDescent="0.2">
      <c r="A106" s="15" t="s">
        <v>150</v>
      </c>
      <c r="B106" s="15" t="s">
        <v>151</v>
      </c>
      <c r="C106" s="14" t="s">
        <v>2055</v>
      </c>
      <c r="D106" s="15" t="s">
        <v>64</v>
      </c>
      <c r="E106" s="15" t="s">
        <v>66</v>
      </c>
      <c r="F106" s="15" t="s">
        <v>67</v>
      </c>
      <c r="G106" s="15"/>
      <c r="H106" s="15">
        <v>4</v>
      </c>
      <c r="I106" s="15"/>
      <c r="J106" s="15" t="s">
        <v>66</v>
      </c>
      <c r="K106" s="15"/>
      <c r="L106" s="15" t="s">
        <v>155</v>
      </c>
      <c r="M106" s="15"/>
      <c r="N106" s="15"/>
      <c r="O106" s="15"/>
      <c r="P106" s="15"/>
    </row>
    <row r="107" spans="1:16" x14ac:dyDescent="0.2">
      <c r="A107" s="15" t="s">
        <v>2037</v>
      </c>
      <c r="B107" s="15" t="s">
        <v>151</v>
      </c>
      <c r="C107" s="14" t="s">
        <v>2034</v>
      </c>
      <c r="D107" s="15" t="s">
        <v>64</v>
      </c>
      <c r="E107" s="15"/>
      <c r="F107" s="15" t="s">
        <v>67</v>
      </c>
      <c r="G107" s="15"/>
      <c r="H107" s="15">
        <v>4</v>
      </c>
      <c r="I107" s="15"/>
      <c r="J107" s="15" t="s">
        <v>66</v>
      </c>
      <c r="K107" s="15"/>
      <c r="L107" s="15" t="s">
        <v>2038</v>
      </c>
      <c r="M107" s="15"/>
      <c r="N107" s="15"/>
      <c r="O107" s="15"/>
      <c r="P107" s="15"/>
    </row>
    <row r="108" spans="1:16" x14ac:dyDescent="0.2">
      <c r="A108" s="15" t="s">
        <v>157</v>
      </c>
      <c r="B108" s="15" t="s">
        <v>158</v>
      </c>
      <c r="C108" s="14" t="s">
        <v>164</v>
      </c>
      <c r="D108" s="15" t="s">
        <v>64</v>
      </c>
      <c r="E108" s="15" t="s">
        <v>66</v>
      </c>
      <c r="F108" s="15" t="s">
        <v>160</v>
      </c>
      <c r="G108" s="15"/>
      <c r="H108" s="15">
        <v>4</v>
      </c>
      <c r="I108" s="15"/>
      <c r="J108" s="15" t="s">
        <v>66</v>
      </c>
      <c r="K108" s="15"/>
      <c r="L108" s="15" t="s">
        <v>162</v>
      </c>
      <c r="M108" s="15"/>
      <c r="N108" s="15"/>
      <c r="O108" s="15"/>
      <c r="P108" s="15"/>
    </row>
    <row r="109" spans="1:16" x14ac:dyDescent="0.2">
      <c r="A109" s="15" t="s">
        <v>165</v>
      </c>
      <c r="B109" s="15" t="s">
        <v>166</v>
      </c>
      <c r="C109" s="14" t="s">
        <v>184</v>
      </c>
      <c r="D109" s="15" t="s">
        <v>64</v>
      </c>
      <c r="E109" s="15" t="s">
        <v>66</v>
      </c>
      <c r="F109" s="15" t="s">
        <v>67</v>
      </c>
      <c r="G109" s="15"/>
      <c r="H109" s="15">
        <v>2</v>
      </c>
      <c r="I109" s="15"/>
      <c r="J109" s="15" t="s">
        <v>66</v>
      </c>
      <c r="K109" s="15"/>
      <c r="L109" s="15" t="s">
        <v>168</v>
      </c>
      <c r="M109" s="15"/>
      <c r="N109" s="15"/>
      <c r="O109" s="15"/>
      <c r="P109" s="15"/>
    </row>
    <row r="110" spans="1:16" x14ac:dyDescent="0.2">
      <c r="A110" s="15" t="s">
        <v>171</v>
      </c>
      <c r="B110" s="15" t="s">
        <v>172</v>
      </c>
      <c r="C110" s="14" t="s">
        <v>170</v>
      </c>
      <c r="D110" s="15" t="s">
        <v>64</v>
      </c>
      <c r="E110" s="15" t="s">
        <v>66</v>
      </c>
      <c r="F110" s="15" t="s">
        <v>175</v>
      </c>
      <c r="G110" s="15"/>
      <c r="H110" s="15">
        <v>4</v>
      </c>
      <c r="I110" s="15"/>
      <c r="J110" s="15" t="s">
        <v>66</v>
      </c>
      <c r="K110" s="15"/>
      <c r="L110" s="15" t="s">
        <v>176</v>
      </c>
      <c r="M110" s="15"/>
      <c r="N110" s="15"/>
      <c r="O110" s="15"/>
      <c r="P110" s="15"/>
    </row>
    <row r="111" spans="1:16" x14ac:dyDescent="0.2">
      <c r="A111" s="15" t="s">
        <v>180</v>
      </c>
      <c r="B111" s="15" t="s">
        <v>181</v>
      </c>
      <c r="C111" s="14" t="s">
        <v>1645</v>
      </c>
      <c r="D111" s="15" t="s">
        <v>1666</v>
      </c>
      <c r="E111" s="15" t="s">
        <v>66</v>
      </c>
      <c r="F111" s="15" t="s">
        <v>125</v>
      </c>
      <c r="G111" s="15"/>
      <c r="H111" s="15">
        <v>1</v>
      </c>
      <c r="I111" s="15"/>
      <c r="J111" s="15" t="s">
        <v>66</v>
      </c>
      <c r="K111" s="15"/>
      <c r="L111" s="15" t="s">
        <v>2063</v>
      </c>
      <c r="M111" s="15"/>
      <c r="N111" s="15"/>
      <c r="O111" s="15"/>
      <c r="P111" s="15"/>
    </row>
    <row r="112" spans="1:16" x14ac:dyDescent="0.2">
      <c r="A112" s="15" t="s">
        <v>2042</v>
      </c>
      <c r="B112" s="15" t="s">
        <v>181</v>
      </c>
      <c r="C112" s="14" t="s">
        <v>2039</v>
      </c>
      <c r="D112" s="15" t="s">
        <v>1666</v>
      </c>
      <c r="E112" s="15"/>
      <c r="F112" s="15" t="s">
        <v>125</v>
      </c>
      <c r="G112" s="15"/>
      <c r="H112" s="15">
        <v>1</v>
      </c>
      <c r="I112" s="15"/>
      <c r="J112" s="15" t="s">
        <v>66</v>
      </c>
      <c r="K112" s="15"/>
      <c r="L112" s="15" t="s">
        <v>2043</v>
      </c>
      <c r="M112" s="15"/>
      <c r="N112" s="15"/>
      <c r="O112" s="15"/>
      <c r="P112" s="15"/>
    </row>
    <row r="113" spans="1:16" x14ac:dyDescent="0.2">
      <c r="A113" s="15" t="s">
        <v>1642</v>
      </c>
      <c r="B113" s="15" t="s">
        <v>181</v>
      </c>
      <c r="C113" s="14" t="s">
        <v>1638</v>
      </c>
      <c r="D113" s="15" t="s">
        <v>1664</v>
      </c>
      <c r="E113" s="15"/>
      <c r="F113" s="15" t="s">
        <v>125</v>
      </c>
      <c r="G113" s="15"/>
      <c r="H113" s="15">
        <v>1</v>
      </c>
      <c r="I113" s="15"/>
      <c r="J113" s="15" t="s">
        <v>66</v>
      </c>
      <c r="K113" s="15"/>
      <c r="L113" s="15" t="s">
        <v>1665</v>
      </c>
      <c r="M113" s="15"/>
      <c r="N113" s="15"/>
      <c r="O113" s="15"/>
      <c r="P113" s="15"/>
    </row>
    <row r="114" spans="1:16" x14ac:dyDescent="0.2">
      <c r="A114" s="15" t="s">
        <v>185</v>
      </c>
      <c r="B114" s="15" t="s">
        <v>186</v>
      </c>
      <c r="C114" s="14" t="s">
        <v>2056</v>
      </c>
      <c r="D114" s="15" t="s">
        <v>64</v>
      </c>
      <c r="E114" s="15" t="s">
        <v>66</v>
      </c>
      <c r="F114" s="15" t="s">
        <v>67</v>
      </c>
      <c r="G114" s="15"/>
      <c r="H114" s="15">
        <v>1</v>
      </c>
      <c r="I114" s="15"/>
      <c r="J114" s="15" t="s">
        <v>66</v>
      </c>
      <c r="K114" s="15"/>
      <c r="L114" s="15" t="s">
        <v>2064</v>
      </c>
      <c r="M114" s="15"/>
      <c r="N114" s="15"/>
      <c r="O114" s="15"/>
      <c r="P114" s="15"/>
    </row>
    <row r="115" spans="1:16" x14ac:dyDescent="0.2">
      <c r="A115" s="15" t="s">
        <v>2047</v>
      </c>
      <c r="B115" s="15" t="s">
        <v>186</v>
      </c>
      <c r="C115" s="14" t="s">
        <v>2044</v>
      </c>
      <c r="D115" s="15" t="s">
        <v>64</v>
      </c>
      <c r="E115" s="15"/>
      <c r="F115" s="15" t="s">
        <v>67</v>
      </c>
      <c r="G115" s="15"/>
      <c r="H115" s="15">
        <v>1</v>
      </c>
      <c r="I115" s="15"/>
      <c r="J115" s="15" t="s">
        <v>66</v>
      </c>
      <c r="K115" s="15"/>
      <c r="L115" s="15" t="s">
        <v>2048</v>
      </c>
      <c r="M115" s="15"/>
      <c r="N115" s="15"/>
      <c r="O115" s="15"/>
      <c r="P115" s="15"/>
    </row>
    <row r="116" spans="1:16" x14ac:dyDescent="0.2">
      <c r="A116" s="15" t="s">
        <v>189</v>
      </c>
      <c r="B116" s="15" t="s">
        <v>190</v>
      </c>
      <c r="C116" s="14" t="s">
        <v>2057</v>
      </c>
      <c r="D116" s="15" t="s">
        <v>64</v>
      </c>
      <c r="E116" s="15" t="s">
        <v>66</v>
      </c>
      <c r="F116" s="15" t="s">
        <v>67</v>
      </c>
      <c r="G116" s="15"/>
      <c r="H116" s="15">
        <v>1</v>
      </c>
      <c r="I116" s="15"/>
      <c r="J116" s="15" t="s">
        <v>66</v>
      </c>
      <c r="K116" s="15"/>
      <c r="L116" s="15" t="s">
        <v>192</v>
      </c>
      <c r="M116" s="15"/>
      <c r="N116" s="15"/>
      <c r="O116" s="15"/>
      <c r="P116" s="15"/>
    </row>
    <row r="117" spans="1:16" x14ac:dyDescent="0.2">
      <c r="A117" s="15" t="s">
        <v>2052</v>
      </c>
      <c r="B117" s="15" t="s">
        <v>190</v>
      </c>
      <c r="C117" s="14" t="s">
        <v>2049</v>
      </c>
      <c r="D117" s="15" t="s">
        <v>64</v>
      </c>
      <c r="E117" s="15"/>
      <c r="F117" s="15" t="s">
        <v>67</v>
      </c>
      <c r="G117" s="15"/>
      <c r="H117" s="15">
        <v>1</v>
      </c>
      <c r="I117" s="15"/>
      <c r="J117" s="15" t="s">
        <v>66</v>
      </c>
      <c r="K117" s="15"/>
      <c r="L117" s="15" t="s">
        <v>2053</v>
      </c>
      <c r="M117" s="15"/>
      <c r="N117" s="15"/>
      <c r="O117" s="15"/>
      <c r="P117" s="15"/>
    </row>
    <row r="118" spans="1:16" x14ac:dyDescent="0.2">
      <c r="A118" s="15" t="s">
        <v>194</v>
      </c>
      <c r="B118" s="15" t="s">
        <v>195</v>
      </c>
      <c r="C118" s="14" t="s">
        <v>204</v>
      </c>
      <c r="D118" s="15" t="s">
        <v>64</v>
      </c>
      <c r="E118" s="15" t="s">
        <v>66</v>
      </c>
      <c r="F118" s="15" t="s">
        <v>67</v>
      </c>
      <c r="G118" s="15"/>
      <c r="H118" s="15">
        <v>4</v>
      </c>
      <c r="I118" s="14" t="s">
        <v>21</v>
      </c>
      <c r="J118" s="15" t="s">
        <v>66</v>
      </c>
      <c r="K118" s="15"/>
      <c r="L118" s="15" t="s">
        <v>198</v>
      </c>
      <c r="M118" s="15"/>
      <c r="N118" s="15"/>
      <c r="O118" s="15"/>
      <c r="P118" s="15"/>
    </row>
    <row r="119" spans="1:16" x14ac:dyDescent="0.2">
      <c r="A119" s="15" t="s">
        <v>200</v>
      </c>
      <c r="B119" s="15" t="s">
        <v>201</v>
      </c>
      <c r="C119" s="14" t="s">
        <v>1130</v>
      </c>
      <c r="D119" s="15" t="s">
        <v>64</v>
      </c>
      <c r="E119" s="15" t="s">
        <v>66</v>
      </c>
      <c r="F119" s="15" t="s">
        <v>67</v>
      </c>
      <c r="G119" s="15"/>
      <c r="H119" s="15">
        <v>1</v>
      </c>
      <c r="I119" s="14" t="s">
        <v>21</v>
      </c>
      <c r="J119" s="15" t="s">
        <v>66</v>
      </c>
      <c r="K119" s="15"/>
      <c r="L119" s="15" t="s">
        <v>203</v>
      </c>
      <c r="M119" s="15"/>
      <c r="N119" s="15"/>
      <c r="O119" s="15"/>
      <c r="P119" s="15"/>
    </row>
    <row r="120" spans="1:16" x14ac:dyDescent="0.2">
      <c r="A120" s="15" t="s">
        <v>205</v>
      </c>
      <c r="B120" s="15" t="s">
        <v>206</v>
      </c>
      <c r="C120" s="14" t="s">
        <v>1134</v>
      </c>
      <c r="D120" s="15" t="s">
        <v>64</v>
      </c>
      <c r="E120" s="15" t="s">
        <v>66</v>
      </c>
      <c r="F120" s="15" t="s">
        <v>67</v>
      </c>
      <c r="G120" s="15"/>
      <c r="H120" s="15">
        <v>1</v>
      </c>
      <c r="I120" s="15" t="s">
        <v>208</v>
      </c>
      <c r="J120" s="15" t="s">
        <v>66</v>
      </c>
      <c r="K120" s="15"/>
      <c r="L120" s="15" t="s">
        <v>209</v>
      </c>
      <c r="M120" s="15"/>
      <c r="N120" s="15"/>
      <c r="O120" s="15"/>
      <c r="P120" s="15"/>
    </row>
    <row r="121" spans="1:16" x14ac:dyDescent="0.2">
      <c r="A121" s="15" t="s">
        <v>212</v>
      </c>
      <c r="B121" s="15" t="s">
        <v>213</v>
      </c>
      <c r="C121" s="14" t="s">
        <v>217</v>
      </c>
      <c r="D121" s="15" t="s">
        <v>64</v>
      </c>
      <c r="E121" s="15" t="s">
        <v>66</v>
      </c>
      <c r="F121" s="15" t="s">
        <v>67</v>
      </c>
      <c r="G121" s="15"/>
      <c r="H121" s="15">
        <v>1</v>
      </c>
      <c r="I121" s="15" t="s">
        <v>86</v>
      </c>
      <c r="J121" s="15" t="s">
        <v>66</v>
      </c>
      <c r="K121" s="15"/>
      <c r="L121" s="15" t="s">
        <v>216</v>
      </c>
      <c r="M121" s="15"/>
      <c r="N121" s="15"/>
      <c r="O121" s="15"/>
      <c r="P121" s="15"/>
    </row>
    <row r="122" spans="1:16" x14ac:dyDescent="0.2">
      <c r="A122" s="15" t="s">
        <v>219</v>
      </c>
      <c r="B122" s="15" t="s">
        <v>220</v>
      </c>
      <c r="C122" s="15" t="s">
        <v>1141</v>
      </c>
      <c r="D122" s="15" t="s">
        <v>222</v>
      </c>
      <c r="E122" s="15" t="s">
        <v>66</v>
      </c>
      <c r="F122" s="15" t="s">
        <v>67</v>
      </c>
      <c r="G122" s="15"/>
      <c r="H122" s="15">
        <v>1</v>
      </c>
      <c r="I122" s="15" t="s">
        <v>86</v>
      </c>
      <c r="J122" s="15" t="s">
        <v>66</v>
      </c>
      <c r="K122" s="15"/>
      <c r="L122" s="15" t="s">
        <v>223</v>
      </c>
      <c r="M122" s="15"/>
      <c r="N122" s="15"/>
      <c r="O122" s="15"/>
      <c r="P122" s="15"/>
    </row>
    <row r="123" spans="1:16" x14ac:dyDescent="0.2">
      <c r="A123" s="15" t="s">
        <v>226</v>
      </c>
      <c r="B123" s="15" t="s">
        <v>220</v>
      </c>
      <c r="C123" s="15" t="s">
        <v>1145</v>
      </c>
      <c r="D123" s="15" t="s">
        <v>227</v>
      </c>
      <c r="E123" s="15"/>
      <c r="F123" s="15" t="s">
        <v>67</v>
      </c>
      <c r="G123" s="15"/>
      <c r="H123" s="15">
        <v>1</v>
      </c>
      <c r="I123" s="15"/>
      <c r="J123" s="15" t="s">
        <v>66</v>
      </c>
      <c r="K123" s="15"/>
      <c r="L123" s="15" t="s">
        <v>228</v>
      </c>
      <c r="M123" s="15"/>
      <c r="N123" s="15"/>
      <c r="O123" s="15"/>
      <c r="P123" s="15"/>
    </row>
    <row r="124" spans="1:16" x14ac:dyDescent="0.2">
      <c r="A124" s="15" t="s">
        <v>1637</v>
      </c>
      <c r="B124" s="15" t="s">
        <v>220</v>
      </c>
      <c r="C124" s="15" t="s">
        <v>1635</v>
      </c>
      <c r="D124" s="15" t="s">
        <v>222</v>
      </c>
      <c r="E124" s="15"/>
      <c r="F124" s="15" t="s">
        <v>67</v>
      </c>
      <c r="G124" s="15"/>
      <c r="H124" s="15">
        <v>1</v>
      </c>
      <c r="I124" s="15" t="s">
        <v>86</v>
      </c>
      <c r="J124" s="15" t="s">
        <v>66</v>
      </c>
      <c r="K124" s="15"/>
      <c r="L124" s="15" t="s">
        <v>1663</v>
      </c>
      <c r="M124" s="15"/>
      <c r="N124" s="15"/>
      <c r="O124" s="15"/>
      <c r="P124" s="15"/>
    </row>
    <row r="125" spans="1:16" x14ac:dyDescent="0.2">
      <c r="A125" s="15" t="s">
        <v>229</v>
      </c>
      <c r="B125" s="15" t="s">
        <v>230</v>
      </c>
      <c r="C125" s="14" t="s">
        <v>1647</v>
      </c>
      <c r="D125" s="15" t="s">
        <v>64</v>
      </c>
      <c r="E125" s="15" t="s">
        <v>66</v>
      </c>
      <c r="F125" s="15" t="s">
        <v>67</v>
      </c>
      <c r="G125" s="15"/>
      <c r="H125" s="15">
        <v>1</v>
      </c>
      <c r="I125" s="15" t="s">
        <v>86</v>
      </c>
      <c r="J125" s="15" t="s">
        <v>66</v>
      </c>
      <c r="K125" s="15"/>
      <c r="L125" s="15" t="s">
        <v>232</v>
      </c>
      <c r="M125" s="15"/>
      <c r="N125" s="15"/>
      <c r="O125" s="15"/>
      <c r="P125" s="15"/>
    </row>
    <row r="126" spans="1:16" x14ac:dyDescent="0.2">
      <c r="A126" s="15" t="s">
        <v>1634</v>
      </c>
      <c r="B126" s="15" t="s">
        <v>230</v>
      </c>
      <c r="C126" s="14" t="s">
        <v>1631</v>
      </c>
      <c r="D126" s="15" t="s">
        <v>64</v>
      </c>
      <c r="E126" s="15"/>
      <c r="F126" s="15" t="s">
        <v>67</v>
      </c>
      <c r="G126" s="15"/>
      <c r="H126" s="15">
        <v>1</v>
      </c>
      <c r="I126" s="15" t="s">
        <v>86</v>
      </c>
      <c r="J126" s="15" t="s">
        <v>66</v>
      </c>
      <c r="K126" s="15"/>
      <c r="L126" s="15" t="s">
        <v>1662</v>
      </c>
      <c r="M126" s="15"/>
      <c r="N126" s="15"/>
      <c r="O126" s="15"/>
      <c r="P126" s="15"/>
    </row>
    <row r="127" spans="1:16" x14ac:dyDescent="0.2">
      <c r="A127" s="15" t="s">
        <v>234</v>
      </c>
      <c r="B127" s="15" t="s">
        <v>235</v>
      </c>
      <c r="C127" s="15" t="s">
        <v>1152</v>
      </c>
      <c r="D127" s="15" t="s">
        <v>64</v>
      </c>
      <c r="E127" s="15" t="s">
        <v>66</v>
      </c>
      <c r="F127" s="15" t="s">
        <v>105</v>
      </c>
      <c r="G127" s="15"/>
      <c r="H127" s="15">
        <v>2</v>
      </c>
      <c r="I127" s="15"/>
      <c r="J127" s="15" t="s">
        <v>66</v>
      </c>
      <c r="K127" s="15"/>
      <c r="L127" s="15" t="s">
        <v>1511</v>
      </c>
      <c r="M127" s="15"/>
      <c r="N127" s="15"/>
      <c r="O127" s="15"/>
      <c r="P127" s="15"/>
    </row>
    <row r="128" spans="1:16" x14ac:dyDescent="0.2">
      <c r="A128" s="15" t="s">
        <v>247</v>
      </c>
      <c r="B128" s="15" t="s">
        <v>235</v>
      </c>
      <c r="C128" s="15" t="s">
        <v>1157</v>
      </c>
      <c r="D128" s="15" t="s">
        <v>248</v>
      </c>
      <c r="E128" s="15" t="s">
        <v>66</v>
      </c>
      <c r="F128" s="15" t="s">
        <v>105</v>
      </c>
      <c r="G128" s="15" t="s">
        <v>249</v>
      </c>
      <c r="H128" s="15">
        <v>2</v>
      </c>
      <c r="I128" s="15"/>
      <c r="J128" s="15" t="s">
        <v>66</v>
      </c>
      <c r="K128" s="15"/>
      <c r="L128" s="15" t="s">
        <v>250</v>
      </c>
      <c r="M128" s="15"/>
      <c r="N128" s="15"/>
      <c r="O128" s="15"/>
      <c r="P128" s="15"/>
    </row>
    <row r="129" spans="1:16" x14ac:dyDescent="0.2">
      <c r="A129" s="15" t="s">
        <v>251</v>
      </c>
      <c r="B129" s="15" t="s">
        <v>235</v>
      </c>
      <c r="C129" s="15" t="s">
        <v>1158</v>
      </c>
      <c r="D129" s="15" t="s">
        <v>1160</v>
      </c>
      <c r="E129" s="15"/>
      <c r="F129" s="15" t="s">
        <v>105</v>
      </c>
      <c r="G129" s="15" t="s">
        <v>106</v>
      </c>
      <c r="H129" s="15">
        <v>2</v>
      </c>
      <c r="I129" s="15"/>
      <c r="J129" s="15" t="s">
        <v>107</v>
      </c>
      <c r="K129" s="15"/>
      <c r="L129" s="15" t="s">
        <v>252</v>
      </c>
      <c r="M129" s="15"/>
      <c r="N129" s="15"/>
      <c r="O129" s="15"/>
      <c r="P129" s="15"/>
    </row>
    <row r="130" spans="1:16" x14ac:dyDescent="0.2">
      <c r="A130" s="15" t="s">
        <v>253</v>
      </c>
      <c r="B130" s="15" t="s">
        <v>254</v>
      </c>
      <c r="C130" s="15" t="s">
        <v>1163</v>
      </c>
      <c r="D130" s="15" t="s">
        <v>64</v>
      </c>
      <c r="E130" s="15" t="s">
        <v>66</v>
      </c>
      <c r="F130" s="15" t="s">
        <v>105</v>
      </c>
      <c r="G130" s="15"/>
      <c r="H130" s="15">
        <v>2</v>
      </c>
      <c r="I130" s="15"/>
      <c r="J130" s="15" t="s">
        <v>66</v>
      </c>
      <c r="K130" s="15" t="s">
        <v>1721</v>
      </c>
      <c r="L130" s="15" t="s">
        <v>1669</v>
      </c>
      <c r="M130" s="15"/>
      <c r="N130" s="15"/>
      <c r="O130" s="15"/>
      <c r="P130" s="15"/>
    </row>
    <row r="131" spans="1:16" x14ac:dyDescent="0.2">
      <c r="A131" s="15" t="s">
        <v>259</v>
      </c>
      <c r="B131" s="15" t="s">
        <v>254</v>
      </c>
      <c r="C131" s="15" t="s">
        <v>1169</v>
      </c>
      <c r="D131" s="15" t="s">
        <v>64</v>
      </c>
      <c r="E131" s="15"/>
      <c r="F131" s="15" t="s">
        <v>105</v>
      </c>
      <c r="G131" s="15"/>
      <c r="H131" s="15">
        <v>2</v>
      </c>
      <c r="I131" s="15"/>
      <c r="J131" s="15" t="s">
        <v>66</v>
      </c>
      <c r="K131" s="15" t="s">
        <v>1721</v>
      </c>
      <c r="L131" s="15" t="s">
        <v>260</v>
      </c>
      <c r="M131" s="15"/>
      <c r="N131" s="15"/>
      <c r="O131" s="15"/>
      <c r="P131" s="15"/>
    </row>
    <row r="132" spans="1:16" x14ac:dyDescent="0.2">
      <c r="A132" s="15" t="s">
        <v>261</v>
      </c>
      <c r="B132" s="15" t="s">
        <v>262</v>
      </c>
      <c r="C132" s="14" t="s">
        <v>323</v>
      </c>
      <c r="D132" s="15" t="s">
        <v>64</v>
      </c>
      <c r="E132" s="15" t="s">
        <v>66</v>
      </c>
      <c r="F132" s="15" t="s">
        <v>105</v>
      </c>
      <c r="G132" s="15"/>
      <c r="H132" s="15">
        <v>2</v>
      </c>
      <c r="I132" s="15"/>
      <c r="J132" s="15" t="s">
        <v>66</v>
      </c>
      <c r="K132" s="15"/>
      <c r="L132" s="15" t="s">
        <v>264</v>
      </c>
      <c r="M132" s="15"/>
      <c r="N132" s="15"/>
      <c r="O132" s="15"/>
      <c r="P132" s="15"/>
    </row>
    <row r="133" spans="1:16" x14ac:dyDescent="0.2">
      <c r="A133" s="15" t="s">
        <v>266</v>
      </c>
      <c r="B133" s="15" t="s">
        <v>267</v>
      </c>
      <c r="C133" s="15" t="s">
        <v>1176</v>
      </c>
      <c r="D133" s="15" t="s">
        <v>269</v>
      </c>
      <c r="E133" s="15" t="s">
        <v>450</v>
      </c>
      <c r="F133" s="15" t="s">
        <v>105</v>
      </c>
      <c r="G133" s="15"/>
      <c r="H133" s="15">
        <v>2</v>
      </c>
      <c r="I133" s="15"/>
      <c r="J133" s="15" t="s">
        <v>66</v>
      </c>
      <c r="K133" s="15" t="s">
        <v>1721</v>
      </c>
      <c r="L133" s="15" t="s">
        <v>1670</v>
      </c>
      <c r="M133" s="15"/>
      <c r="N133" s="15"/>
      <c r="O133" s="15"/>
      <c r="P133" s="15"/>
    </row>
    <row r="134" spans="1:16" x14ac:dyDescent="0.2">
      <c r="A134" s="15" t="s">
        <v>273</v>
      </c>
      <c r="B134" s="15" t="s">
        <v>267</v>
      </c>
      <c r="C134" s="15" t="s">
        <v>1182</v>
      </c>
      <c r="D134" s="15" t="s">
        <v>1612</v>
      </c>
      <c r="E134" s="15" t="s">
        <v>66</v>
      </c>
      <c r="F134" s="15" t="s">
        <v>105</v>
      </c>
      <c r="G134" s="15"/>
      <c r="H134" s="15">
        <v>2</v>
      </c>
      <c r="I134" s="15"/>
      <c r="J134" s="15" t="s">
        <v>66</v>
      </c>
      <c r="K134" s="15" t="s">
        <v>1722</v>
      </c>
      <c r="L134" s="15" t="s">
        <v>274</v>
      </c>
      <c r="M134" s="15"/>
      <c r="N134" s="15"/>
      <c r="O134" s="15"/>
      <c r="P134" s="15"/>
    </row>
    <row r="135" spans="1:16" x14ac:dyDescent="0.2">
      <c r="A135" s="15" t="s">
        <v>275</v>
      </c>
      <c r="B135" s="15" t="s">
        <v>276</v>
      </c>
      <c r="C135" s="14" t="s">
        <v>286</v>
      </c>
      <c r="D135" s="15" t="s">
        <v>64</v>
      </c>
      <c r="E135" s="15" t="s">
        <v>66</v>
      </c>
      <c r="F135" s="15" t="s">
        <v>67</v>
      </c>
      <c r="G135" s="15"/>
      <c r="H135" s="15">
        <v>1</v>
      </c>
      <c r="I135" s="15"/>
      <c r="J135" s="15" t="s">
        <v>66</v>
      </c>
      <c r="K135" s="15"/>
      <c r="L135" s="15" t="s">
        <v>279</v>
      </c>
      <c r="M135" s="15"/>
      <c r="N135" s="15"/>
      <c r="O135" s="15"/>
      <c r="P135" s="15"/>
    </row>
    <row r="136" spans="1:16" x14ac:dyDescent="0.2">
      <c r="A136" s="15" t="s">
        <v>281</v>
      </c>
      <c r="B136" s="15" t="s">
        <v>282</v>
      </c>
      <c r="C136" s="14" t="s">
        <v>1187</v>
      </c>
      <c r="D136" s="15" t="s">
        <v>64</v>
      </c>
      <c r="E136" s="15" t="s">
        <v>66</v>
      </c>
      <c r="F136" s="15" t="s">
        <v>67</v>
      </c>
      <c r="G136" s="15"/>
      <c r="H136" s="15">
        <v>1</v>
      </c>
      <c r="I136" s="15"/>
      <c r="J136" s="15" t="s">
        <v>66</v>
      </c>
      <c r="K136" s="15"/>
      <c r="L136" s="15" t="s">
        <v>284</v>
      </c>
      <c r="M136" s="15"/>
      <c r="N136" s="15"/>
      <c r="O136" s="15"/>
      <c r="P136" s="15"/>
    </row>
    <row r="137" spans="1:16" x14ac:dyDescent="0.2">
      <c r="A137" s="15" t="s">
        <v>287</v>
      </c>
      <c r="B137" s="15" t="s">
        <v>288</v>
      </c>
      <c r="C137" s="14" t="s">
        <v>1191</v>
      </c>
      <c r="D137" s="15" t="s">
        <v>64</v>
      </c>
      <c r="E137" s="15" t="s">
        <v>66</v>
      </c>
      <c r="F137" s="15" t="s">
        <v>67</v>
      </c>
      <c r="G137" s="15"/>
      <c r="H137" s="15">
        <v>2</v>
      </c>
      <c r="I137" s="15"/>
      <c r="J137" s="15" t="s">
        <v>66</v>
      </c>
      <c r="K137" s="15"/>
      <c r="L137" s="15" t="s">
        <v>290</v>
      </c>
      <c r="M137" s="15"/>
      <c r="N137" s="15"/>
      <c r="O137" s="15"/>
      <c r="P137" s="15"/>
    </row>
    <row r="138" spans="1:16" x14ac:dyDescent="0.2">
      <c r="A138" s="15" t="s">
        <v>294</v>
      </c>
      <c r="B138" s="15" t="s">
        <v>295</v>
      </c>
      <c r="C138" s="15" t="s">
        <v>1194</v>
      </c>
      <c r="D138" s="15" t="s">
        <v>64</v>
      </c>
      <c r="E138" s="15" t="s">
        <v>66</v>
      </c>
      <c r="F138" s="15" t="s">
        <v>67</v>
      </c>
      <c r="G138" s="15"/>
      <c r="H138" s="15">
        <v>1</v>
      </c>
      <c r="I138" s="15"/>
      <c r="J138" s="15" t="s">
        <v>107</v>
      </c>
      <c r="K138" s="15"/>
      <c r="L138" s="15" t="s">
        <v>1512</v>
      </c>
      <c r="M138" s="15"/>
      <c r="N138" s="15"/>
      <c r="O138" s="15"/>
      <c r="P138" s="15"/>
    </row>
    <row r="139" spans="1:16" x14ac:dyDescent="0.2">
      <c r="A139" s="15" t="s">
        <v>298</v>
      </c>
      <c r="B139" s="15" t="s">
        <v>295</v>
      </c>
      <c r="C139" s="15" t="s">
        <v>1198</v>
      </c>
      <c r="D139" s="15" t="s">
        <v>64</v>
      </c>
      <c r="E139" s="15"/>
      <c r="F139" s="15" t="s">
        <v>67</v>
      </c>
      <c r="G139" s="15"/>
      <c r="H139" s="15">
        <v>1</v>
      </c>
      <c r="I139" s="15"/>
      <c r="J139" s="15" t="s">
        <v>107</v>
      </c>
      <c r="K139" s="15"/>
      <c r="L139" s="15" t="s">
        <v>300</v>
      </c>
      <c r="M139" s="15"/>
      <c r="N139" s="15"/>
      <c r="O139" s="15"/>
      <c r="P139" s="15"/>
    </row>
    <row r="140" spans="1:16" x14ac:dyDescent="0.2">
      <c r="A140" s="15" t="s">
        <v>301</v>
      </c>
      <c r="B140" s="15" t="s">
        <v>295</v>
      </c>
      <c r="C140" s="15" t="s">
        <v>1200</v>
      </c>
      <c r="D140" s="15" t="s">
        <v>64</v>
      </c>
      <c r="E140" s="15"/>
      <c r="F140" s="15" t="s">
        <v>67</v>
      </c>
      <c r="G140" s="15"/>
      <c r="H140" s="15">
        <v>1</v>
      </c>
      <c r="I140" s="15"/>
      <c r="J140" s="15" t="s">
        <v>107</v>
      </c>
      <c r="K140" s="15"/>
      <c r="L140" s="15" t="s">
        <v>303</v>
      </c>
      <c r="M140" s="15"/>
      <c r="N140" s="15"/>
      <c r="O140" s="15"/>
      <c r="P140" s="15"/>
    </row>
    <row r="141" spans="1:16" x14ac:dyDescent="0.2">
      <c r="A141" s="15" t="s">
        <v>304</v>
      </c>
      <c r="B141" s="15" t="s">
        <v>295</v>
      </c>
      <c r="C141" s="15" t="s">
        <v>1202</v>
      </c>
      <c r="D141" s="15" t="s">
        <v>64</v>
      </c>
      <c r="E141" s="15"/>
      <c r="F141" s="15" t="s">
        <v>67</v>
      </c>
      <c r="G141" s="15"/>
      <c r="H141" s="15">
        <v>1</v>
      </c>
      <c r="I141" s="15"/>
      <c r="J141" s="15" t="s">
        <v>107</v>
      </c>
      <c r="K141" s="15"/>
      <c r="L141" s="15" t="s">
        <v>305</v>
      </c>
      <c r="M141" s="15"/>
      <c r="N141" s="15"/>
      <c r="O141" s="15"/>
      <c r="P141" s="15"/>
    </row>
    <row r="142" spans="1:16" x14ac:dyDescent="0.2">
      <c r="A142" s="15" t="s">
        <v>306</v>
      </c>
      <c r="B142" s="15" t="s">
        <v>307</v>
      </c>
      <c r="C142" s="14" t="s">
        <v>1204</v>
      </c>
      <c r="D142" s="15" t="s">
        <v>64</v>
      </c>
      <c r="E142" s="15" t="s">
        <v>66</v>
      </c>
      <c r="F142" s="15" t="s">
        <v>175</v>
      </c>
      <c r="G142" s="15"/>
      <c r="H142" s="15">
        <v>3</v>
      </c>
      <c r="I142" s="15"/>
      <c r="J142" s="15" t="s">
        <v>107</v>
      </c>
      <c r="K142" s="15" t="s">
        <v>313</v>
      </c>
      <c r="L142" s="15" t="s">
        <v>311</v>
      </c>
      <c r="M142" s="15"/>
      <c r="N142" s="15"/>
      <c r="O142" s="15"/>
      <c r="P142" s="15"/>
    </row>
    <row r="143" spans="1:16" x14ac:dyDescent="0.2">
      <c r="A143" s="15" t="s">
        <v>316</v>
      </c>
      <c r="B143" s="15" t="s">
        <v>317</v>
      </c>
      <c r="C143" s="14" t="s">
        <v>1208</v>
      </c>
      <c r="D143" s="15" t="s">
        <v>64</v>
      </c>
      <c r="E143" s="15" t="s">
        <v>66</v>
      </c>
      <c r="F143" s="15" t="s">
        <v>175</v>
      </c>
      <c r="G143" s="15"/>
      <c r="H143" s="15">
        <v>1</v>
      </c>
      <c r="I143" s="15"/>
      <c r="J143" s="15" t="s">
        <v>66</v>
      </c>
      <c r="K143" s="15" t="s">
        <v>322</v>
      </c>
      <c r="L143" s="15" t="s">
        <v>1513</v>
      </c>
      <c r="M143" s="15"/>
      <c r="N143" s="15"/>
      <c r="O143" s="15"/>
      <c r="P143" s="15"/>
    </row>
    <row r="144" spans="1:16" x14ac:dyDescent="0.2">
      <c r="A144" s="15" t="s">
        <v>325</v>
      </c>
      <c r="B144" s="15" t="s">
        <v>326</v>
      </c>
      <c r="C144" s="14" t="s">
        <v>1211</v>
      </c>
      <c r="D144" s="15" t="s">
        <v>64</v>
      </c>
      <c r="E144" s="15" t="s">
        <v>66</v>
      </c>
      <c r="F144" s="15" t="s">
        <v>175</v>
      </c>
      <c r="G144" s="15"/>
      <c r="H144" s="15">
        <v>1</v>
      </c>
      <c r="I144" s="15"/>
      <c r="J144" s="15" t="s">
        <v>66</v>
      </c>
      <c r="K144" s="15" t="s">
        <v>330</v>
      </c>
      <c r="L144" s="15" t="s">
        <v>1514</v>
      </c>
      <c r="M144" s="15"/>
      <c r="N144" s="15"/>
      <c r="O144" s="15"/>
      <c r="P144" s="15"/>
    </row>
    <row r="145" spans="1:16" x14ac:dyDescent="0.2">
      <c r="A145" s="15" t="s">
        <v>332</v>
      </c>
      <c r="B145" s="15" t="s">
        <v>333</v>
      </c>
      <c r="C145" s="14" t="s">
        <v>1214</v>
      </c>
      <c r="D145" s="15" t="s">
        <v>64</v>
      </c>
      <c r="E145" s="15" t="s">
        <v>66</v>
      </c>
      <c r="F145" s="15" t="s">
        <v>175</v>
      </c>
      <c r="G145" s="15"/>
      <c r="H145" s="15">
        <v>1</v>
      </c>
      <c r="I145" s="15"/>
      <c r="J145" s="15" t="s">
        <v>66</v>
      </c>
      <c r="K145" s="15"/>
      <c r="L145" s="15" t="s">
        <v>337</v>
      </c>
      <c r="M145" s="15"/>
      <c r="N145" s="15"/>
      <c r="O145" s="15"/>
      <c r="P145" s="15"/>
    </row>
    <row r="146" spans="1:16" x14ac:dyDescent="0.2">
      <c r="A146" s="15" t="s">
        <v>340</v>
      </c>
      <c r="B146" s="15" t="s">
        <v>341</v>
      </c>
      <c r="C146" s="14" t="s">
        <v>1217</v>
      </c>
      <c r="D146" s="15" t="s">
        <v>64</v>
      </c>
      <c r="E146" s="15" t="s">
        <v>66</v>
      </c>
      <c r="F146" s="15" t="s">
        <v>175</v>
      </c>
      <c r="G146" s="15"/>
      <c r="H146" s="15">
        <v>1</v>
      </c>
      <c r="I146" s="15"/>
      <c r="J146" s="15" t="s">
        <v>66</v>
      </c>
      <c r="K146" s="15"/>
      <c r="L146" s="15" t="s">
        <v>344</v>
      </c>
      <c r="M146" s="15"/>
      <c r="N146" s="15"/>
      <c r="O146" s="15"/>
      <c r="P146" s="15"/>
    </row>
    <row r="147" spans="1:16" x14ac:dyDescent="0.2">
      <c r="A147" s="15" t="s">
        <v>347</v>
      </c>
      <c r="B147" s="15" t="s">
        <v>348</v>
      </c>
      <c r="C147" s="14" t="s">
        <v>1221</v>
      </c>
      <c r="D147" s="15" t="s">
        <v>64</v>
      </c>
      <c r="E147" s="15" t="s">
        <v>66</v>
      </c>
      <c r="F147" s="15" t="s">
        <v>175</v>
      </c>
      <c r="G147" s="15"/>
      <c r="H147" s="15">
        <v>1</v>
      </c>
      <c r="I147" s="15"/>
      <c r="J147" s="15" t="s">
        <v>66</v>
      </c>
      <c r="K147" s="15"/>
      <c r="L147" s="15" t="s">
        <v>351</v>
      </c>
      <c r="M147" s="15"/>
      <c r="N147" s="15"/>
      <c r="O147" s="15"/>
      <c r="P147" s="15"/>
    </row>
    <row r="148" spans="1:16" x14ac:dyDescent="0.2">
      <c r="A148" s="15" t="s">
        <v>354</v>
      </c>
      <c r="B148" s="15" t="s">
        <v>355</v>
      </c>
      <c r="C148" s="14" t="s">
        <v>1224</v>
      </c>
      <c r="D148" s="15" t="s">
        <v>64</v>
      </c>
      <c r="E148" s="15" t="s">
        <v>66</v>
      </c>
      <c r="F148" s="15" t="s">
        <v>175</v>
      </c>
      <c r="G148" s="15"/>
      <c r="H148" s="15">
        <v>4</v>
      </c>
      <c r="I148" s="15"/>
      <c r="J148" s="15" t="s">
        <v>66</v>
      </c>
      <c r="K148" s="15"/>
      <c r="L148" s="15" t="s">
        <v>358</v>
      </c>
      <c r="M148" s="15"/>
      <c r="N148" s="15"/>
      <c r="O148" s="15"/>
      <c r="P148" s="15"/>
    </row>
    <row r="149" spans="1:16" x14ac:dyDescent="0.2">
      <c r="A149" s="15" t="s">
        <v>361</v>
      </c>
      <c r="B149" s="15" t="s">
        <v>362</v>
      </c>
      <c r="C149" s="15" t="s">
        <v>1228</v>
      </c>
      <c r="D149" s="15" t="s">
        <v>366</v>
      </c>
      <c r="E149" s="15" t="s">
        <v>66</v>
      </c>
      <c r="F149" s="15" t="s">
        <v>67</v>
      </c>
      <c r="G149" s="15"/>
      <c r="H149" s="15">
        <v>3</v>
      </c>
      <c r="I149" s="15" t="s">
        <v>208</v>
      </c>
      <c r="J149" s="15" t="s">
        <v>66</v>
      </c>
      <c r="K149" s="15"/>
      <c r="L149" s="15" t="s">
        <v>1515</v>
      </c>
      <c r="M149" s="15"/>
      <c r="N149" s="15"/>
      <c r="O149" s="15"/>
      <c r="P149" s="15"/>
    </row>
    <row r="150" spans="1:16" x14ac:dyDescent="0.2">
      <c r="A150" s="15" t="s">
        <v>370</v>
      </c>
      <c r="B150" s="15" t="s">
        <v>362</v>
      </c>
      <c r="C150" s="15" t="s">
        <v>1015</v>
      </c>
      <c r="D150" s="15" t="s">
        <v>371</v>
      </c>
      <c r="E150" s="15" t="s">
        <v>1962</v>
      </c>
      <c r="F150" s="15" t="s">
        <v>67</v>
      </c>
      <c r="G150" s="15"/>
      <c r="H150" s="15">
        <v>3</v>
      </c>
      <c r="I150" s="15"/>
      <c r="J150" s="15" t="s">
        <v>66</v>
      </c>
      <c r="K150" s="15" t="s">
        <v>373</v>
      </c>
      <c r="L150" s="15" t="s">
        <v>372</v>
      </c>
      <c r="M150" s="15"/>
      <c r="N150" s="15"/>
      <c r="O150" s="15"/>
      <c r="P150" s="15"/>
    </row>
    <row r="151" spans="1:16" x14ac:dyDescent="0.2">
      <c r="A151" s="15" t="s">
        <v>374</v>
      </c>
      <c r="B151" s="15" t="s">
        <v>362</v>
      </c>
      <c r="C151" s="15" t="s">
        <v>1235</v>
      </c>
      <c r="D151" s="15" t="s">
        <v>375</v>
      </c>
      <c r="E151" s="15"/>
      <c r="F151" s="15" t="s">
        <v>67</v>
      </c>
      <c r="G151" s="15"/>
      <c r="H151" s="15">
        <v>3</v>
      </c>
      <c r="I151" s="15"/>
      <c r="J151" s="15" t="s">
        <v>66</v>
      </c>
      <c r="K151" s="15" t="s">
        <v>373</v>
      </c>
      <c r="L151" s="15" t="s">
        <v>376</v>
      </c>
      <c r="M151" s="15"/>
      <c r="N151" s="15"/>
      <c r="O151" s="15"/>
      <c r="P151" s="15"/>
    </row>
    <row r="152" spans="1:16" x14ac:dyDescent="0.2">
      <c r="A152" s="15" t="s">
        <v>377</v>
      </c>
      <c r="B152" s="15" t="s">
        <v>362</v>
      </c>
      <c r="C152" s="15" t="s">
        <v>1239</v>
      </c>
      <c r="D152" s="15" t="s">
        <v>378</v>
      </c>
      <c r="E152" s="15"/>
      <c r="F152" s="15" t="s">
        <v>67</v>
      </c>
      <c r="G152" s="15"/>
      <c r="H152" s="15">
        <v>3</v>
      </c>
      <c r="I152" s="15"/>
      <c r="J152" s="15" t="s">
        <v>66</v>
      </c>
      <c r="K152" s="15"/>
      <c r="L152" s="15" t="s">
        <v>379</v>
      </c>
      <c r="M152" s="15"/>
      <c r="N152" s="15"/>
      <c r="O152" s="15"/>
      <c r="P152" s="15"/>
    </row>
    <row r="153" spans="1:16" x14ac:dyDescent="0.2">
      <c r="A153" s="15" t="s">
        <v>380</v>
      </c>
      <c r="B153" s="15" t="s">
        <v>362</v>
      </c>
      <c r="C153" s="15" t="s">
        <v>1242</v>
      </c>
      <c r="D153" s="15" t="s">
        <v>381</v>
      </c>
      <c r="E153" s="15"/>
      <c r="F153" s="15" t="s">
        <v>67</v>
      </c>
      <c r="G153" s="15"/>
      <c r="H153" s="15">
        <v>3</v>
      </c>
      <c r="I153" s="15"/>
      <c r="J153" s="15" t="s">
        <v>66</v>
      </c>
      <c r="K153" s="15"/>
      <c r="L153" s="15" t="s">
        <v>382</v>
      </c>
      <c r="M153" s="15"/>
      <c r="N153" s="15"/>
      <c r="O153" s="15"/>
      <c r="P153" s="15"/>
    </row>
    <row r="154" spans="1:16" x14ac:dyDescent="0.2">
      <c r="A154" s="15" t="s">
        <v>383</v>
      </c>
      <c r="B154" s="15" t="s">
        <v>362</v>
      </c>
      <c r="C154" s="15" t="s">
        <v>1246</v>
      </c>
      <c r="D154" s="15" t="s">
        <v>384</v>
      </c>
      <c r="E154" s="15"/>
      <c r="F154" s="15" t="s">
        <v>67</v>
      </c>
      <c r="G154" s="15"/>
      <c r="H154" s="15">
        <v>2</v>
      </c>
      <c r="I154" s="15"/>
      <c r="J154" s="15" t="s">
        <v>66</v>
      </c>
      <c r="K154" s="15"/>
      <c r="L154" s="15" t="s">
        <v>385</v>
      </c>
      <c r="M154" s="15"/>
      <c r="N154" s="15"/>
      <c r="O154" s="15"/>
      <c r="P154" s="15"/>
    </row>
    <row r="155" spans="1:16" x14ac:dyDescent="0.2">
      <c r="A155" s="15" t="s">
        <v>386</v>
      </c>
      <c r="B155" s="15" t="s">
        <v>362</v>
      </c>
      <c r="C155" s="15" t="s">
        <v>1250</v>
      </c>
      <c r="D155" s="15" t="s">
        <v>387</v>
      </c>
      <c r="E155" s="15"/>
      <c r="F155" s="15" t="s">
        <v>67</v>
      </c>
      <c r="G155" s="15"/>
      <c r="H155" s="15">
        <v>2</v>
      </c>
      <c r="I155" s="14" t="s">
        <v>20</v>
      </c>
      <c r="J155" s="15" t="s">
        <v>66</v>
      </c>
      <c r="K155" s="15"/>
      <c r="L155" s="15" t="s">
        <v>388</v>
      </c>
      <c r="M155" s="15"/>
      <c r="N155" s="15"/>
      <c r="O155" s="15"/>
      <c r="P155" s="15"/>
    </row>
    <row r="156" spans="1:16" x14ac:dyDescent="0.2">
      <c r="A156" s="15" t="s">
        <v>389</v>
      </c>
      <c r="B156" s="15" t="s">
        <v>362</v>
      </c>
      <c r="C156" s="15" t="s">
        <v>1254</v>
      </c>
      <c r="D156" s="15" t="s">
        <v>390</v>
      </c>
      <c r="E156" s="15"/>
      <c r="F156" s="15" t="s">
        <v>67</v>
      </c>
      <c r="G156" s="15"/>
      <c r="H156" s="15">
        <v>2</v>
      </c>
      <c r="I156" s="15"/>
      <c r="J156" s="15" t="s">
        <v>66</v>
      </c>
      <c r="K156" s="15" t="s">
        <v>392</v>
      </c>
      <c r="L156" s="15" t="s">
        <v>391</v>
      </c>
      <c r="M156" s="15"/>
      <c r="N156" s="15"/>
      <c r="O156" s="15"/>
      <c r="P156" s="15"/>
    </row>
    <row r="157" spans="1:16" x14ac:dyDescent="0.2">
      <c r="A157" s="15" t="s">
        <v>393</v>
      </c>
      <c r="B157" s="15" t="s">
        <v>362</v>
      </c>
      <c r="C157" s="15" t="s">
        <v>1258</v>
      </c>
      <c r="D157" s="15" t="s">
        <v>394</v>
      </c>
      <c r="E157" s="15" t="s">
        <v>1962</v>
      </c>
      <c r="F157" s="15" t="s">
        <v>67</v>
      </c>
      <c r="G157" s="15"/>
      <c r="H157" s="15">
        <v>2</v>
      </c>
      <c r="I157" s="15"/>
      <c r="J157" s="15" t="s">
        <v>66</v>
      </c>
      <c r="K157" s="15" t="s">
        <v>373</v>
      </c>
      <c r="L157" s="15" t="s">
        <v>388</v>
      </c>
      <c r="M157" s="15"/>
      <c r="N157" s="15"/>
      <c r="O157" s="15"/>
      <c r="P157" s="15"/>
    </row>
    <row r="158" spans="1:16" x14ac:dyDescent="0.2">
      <c r="A158" s="15" t="s">
        <v>395</v>
      </c>
      <c r="B158" s="15" t="s">
        <v>362</v>
      </c>
      <c r="C158" s="15" t="s">
        <v>1262</v>
      </c>
      <c r="D158" s="15" t="s">
        <v>396</v>
      </c>
      <c r="E158" s="15"/>
      <c r="F158" s="15" t="s">
        <v>67</v>
      </c>
      <c r="G158" s="15"/>
      <c r="H158" s="15">
        <v>2</v>
      </c>
      <c r="I158" s="15"/>
      <c r="J158" s="15" t="s">
        <v>66</v>
      </c>
      <c r="K158" s="15" t="s">
        <v>392</v>
      </c>
      <c r="L158" s="15" t="s">
        <v>391</v>
      </c>
      <c r="M158" s="15"/>
      <c r="N158" s="15"/>
      <c r="O158" s="15"/>
      <c r="P158" s="15"/>
    </row>
    <row r="159" spans="1:16" x14ac:dyDescent="0.2">
      <c r="A159" s="15" t="s">
        <v>397</v>
      </c>
      <c r="B159" s="15" t="s">
        <v>362</v>
      </c>
      <c r="C159" s="15" t="s">
        <v>1266</v>
      </c>
      <c r="D159" s="15" t="s">
        <v>398</v>
      </c>
      <c r="E159" s="15"/>
      <c r="F159" s="15" t="s">
        <v>67</v>
      </c>
      <c r="G159" s="15"/>
      <c r="H159" s="15">
        <v>2</v>
      </c>
      <c r="I159" s="15"/>
      <c r="J159" s="15" t="s">
        <v>66</v>
      </c>
      <c r="K159" s="15" t="s">
        <v>373</v>
      </c>
      <c r="L159" s="15" t="s">
        <v>388</v>
      </c>
      <c r="M159" s="15"/>
      <c r="N159" s="15"/>
      <c r="O159" s="15"/>
      <c r="P159" s="15"/>
    </row>
    <row r="160" spans="1:16" x14ac:dyDescent="0.2">
      <c r="A160" s="15" t="s">
        <v>399</v>
      </c>
      <c r="B160" s="15" t="s">
        <v>362</v>
      </c>
      <c r="C160" s="15" t="s">
        <v>1270</v>
      </c>
      <c r="D160" s="15" t="s">
        <v>400</v>
      </c>
      <c r="E160" s="15"/>
      <c r="F160" s="15" t="s">
        <v>67</v>
      </c>
      <c r="G160" s="15"/>
      <c r="H160" s="15">
        <v>2</v>
      </c>
      <c r="I160" s="15"/>
      <c r="J160" s="15" t="s">
        <v>66</v>
      </c>
      <c r="K160" s="15"/>
      <c r="L160" s="15" t="s">
        <v>401</v>
      </c>
      <c r="M160" s="15"/>
      <c r="N160" s="15"/>
      <c r="O160" s="15"/>
      <c r="P160" s="15"/>
    </row>
    <row r="161" spans="1:16" x14ac:dyDescent="0.2">
      <c r="A161" s="15" t="s">
        <v>402</v>
      </c>
      <c r="B161" s="15" t="s">
        <v>362</v>
      </c>
      <c r="C161" s="15" t="s">
        <v>1274</v>
      </c>
      <c r="D161" s="15" t="s">
        <v>403</v>
      </c>
      <c r="E161" s="15"/>
      <c r="F161" s="15" t="s">
        <v>67</v>
      </c>
      <c r="G161" s="15"/>
      <c r="H161" s="15">
        <v>2</v>
      </c>
      <c r="I161" s="15"/>
      <c r="J161" s="15" t="s">
        <v>66</v>
      </c>
      <c r="K161" s="15"/>
      <c r="L161" s="15" t="s">
        <v>388</v>
      </c>
      <c r="M161" s="15"/>
      <c r="N161" s="15"/>
      <c r="O161" s="15"/>
      <c r="P161" s="15"/>
    </row>
    <row r="162" spans="1:16" x14ac:dyDescent="0.2">
      <c r="A162" s="15" t="s">
        <v>404</v>
      </c>
      <c r="B162" s="15" t="s">
        <v>362</v>
      </c>
      <c r="C162" s="15" t="s">
        <v>1277</v>
      </c>
      <c r="D162" s="15" t="s">
        <v>405</v>
      </c>
      <c r="E162" s="15"/>
      <c r="F162" s="15" t="s">
        <v>67</v>
      </c>
      <c r="G162" s="15"/>
      <c r="H162" s="15">
        <v>2</v>
      </c>
      <c r="I162" s="15"/>
      <c r="J162" s="15" t="s">
        <v>66</v>
      </c>
      <c r="K162" s="15"/>
      <c r="L162" s="15" t="s">
        <v>406</v>
      </c>
      <c r="M162" s="15"/>
      <c r="N162" s="15"/>
      <c r="O162" s="15"/>
      <c r="P162" s="15"/>
    </row>
    <row r="163" spans="1:16" x14ac:dyDescent="0.2">
      <c r="A163" s="15" t="s">
        <v>407</v>
      </c>
      <c r="B163" s="15" t="s">
        <v>362</v>
      </c>
      <c r="C163" s="15" t="s">
        <v>1281</v>
      </c>
      <c r="D163" s="15" t="s">
        <v>408</v>
      </c>
      <c r="E163" s="15"/>
      <c r="F163" s="15" t="s">
        <v>67</v>
      </c>
      <c r="G163" s="15"/>
      <c r="H163" s="15">
        <v>2</v>
      </c>
      <c r="I163" s="15"/>
      <c r="J163" s="15" t="s">
        <v>66</v>
      </c>
      <c r="K163" s="15"/>
      <c r="L163" s="15" t="s">
        <v>388</v>
      </c>
      <c r="M163" s="15"/>
      <c r="N163" s="15"/>
      <c r="O163" s="15"/>
      <c r="P163" s="15"/>
    </row>
    <row r="164" spans="1:16" x14ac:dyDescent="0.2">
      <c r="A164" s="15" t="s">
        <v>409</v>
      </c>
      <c r="B164" s="15" t="s">
        <v>410</v>
      </c>
      <c r="C164" s="15" t="s">
        <v>1285</v>
      </c>
      <c r="D164" s="15" t="s">
        <v>412</v>
      </c>
      <c r="E164" s="15" t="s">
        <v>66</v>
      </c>
      <c r="F164" s="15" t="s">
        <v>67</v>
      </c>
      <c r="G164" s="15"/>
      <c r="H164" s="15">
        <v>2</v>
      </c>
      <c r="I164" s="15" t="s">
        <v>208</v>
      </c>
      <c r="J164" s="15" t="s">
        <v>66</v>
      </c>
      <c r="K164" s="15"/>
      <c r="L164" s="15" t="s">
        <v>1516</v>
      </c>
      <c r="M164" s="15"/>
      <c r="N164" s="15"/>
      <c r="O164" s="15"/>
      <c r="P164" s="15"/>
    </row>
    <row r="165" spans="1:16" x14ac:dyDescent="0.2">
      <c r="A165" s="15" t="s">
        <v>415</v>
      </c>
      <c r="B165" s="15" t="s">
        <v>410</v>
      </c>
      <c r="C165" s="15" t="s">
        <v>1290</v>
      </c>
      <c r="D165" s="15" t="s">
        <v>416</v>
      </c>
      <c r="E165" s="15"/>
      <c r="F165" s="15" t="s">
        <v>67</v>
      </c>
      <c r="G165" s="15"/>
      <c r="H165" s="15">
        <v>2</v>
      </c>
      <c r="I165" s="14" t="s">
        <v>20</v>
      </c>
      <c r="J165" s="15" t="s">
        <v>66</v>
      </c>
      <c r="K165" s="15"/>
      <c r="L165" s="15" t="s">
        <v>417</v>
      </c>
      <c r="M165" s="15"/>
      <c r="N165" s="15"/>
      <c r="O165" s="15"/>
      <c r="P165" s="15"/>
    </row>
    <row r="166" spans="1:16" x14ac:dyDescent="0.2">
      <c r="A166" s="15" t="s">
        <v>418</v>
      </c>
      <c r="B166" s="15" t="s">
        <v>419</v>
      </c>
      <c r="C166" s="14" t="s">
        <v>1648</v>
      </c>
      <c r="D166" s="15" t="s">
        <v>1667</v>
      </c>
      <c r="E166" s="15" t="s">
        <v>66</v>
      </c>
      <c r="F166" s="15" t="s">
        <v>67</v>
      </c>
      <c r="G166" s="15"/>
      <c r="H166" s="15">
        <v>3</v>
      </c>
      <c r="I166" s="15" t="s">
        <v>208</v>
      </c>
      <c r="J166" s="15" t="s">
        <v>66</v>
      </c>
      <c r="K166" s="15"/>
      <c r="L166" s="15" t="s">
        <v>421</v>
      </c>
      <c r="M166" s="15"/>
      <c r="N166" s="15"/>
      <c r="O166" s="15"/>
      <c r="P166" s="15"/>
    </row>
    <row r="167" spans="1:16" x14ac:dyDescent="0.2">
      <c r="A167" s="15" t="s">
        <v>1630</v>
      </c>
      <c r="B167" s="15" t="s">
        <v>419</v>
      </c>
      <c r="C167" s="14" t="s">
        <v>1626</v>
      </c>
      <c r="D167" s="15" t="s">
        <v>1660</v>
      </c>
      <c r="E167" s="15"/>
      <c r="F167" s="15" t="s">
        <v>67</v>
      </c>
      <c r="G167" s="15"/>
      <c r="H167" s="15">
        <v>2</v>
      </c>
      <c r="I167" s="15"/>
      <c r="J167" s="15" t="s">
        <v>66</v>
      </c>
      <c r="K167" s="15"/>
      <c r="L167" s="15" t="s">
        <v>1661</v>
      </c>
      <c r="M167" s="15"/>
      <c r="N167" s="15"/>
      <c r="O167" s="15"/>
      <c r="P167" s="15"/>
    </row>
    <row r="168" spans="1:16" x14ac:dyDescent="0.2">
      <c r="A168" s="15" t="s">
        <v>423</v>
      </c>
      <c r="B168" s="15" t="s">
        <v>424</v>
      </c>
      <c r="C168" s="14" t="s">
        <v>414</v>
      </c>
      <c r="D168" s="15" t="s">
        <v>64</v>
      </c>
      <c r="E168" s="15" t="s">
        <v>66</v>
      </c>
      <c r="F168" s="15" t="s">
        <v>67</v>
      </c>
      <c r="G168" s="15"/>
      <c r="H168" s="15">
        <v>3</v>
      </c>
      <c r="I168" s="15"/>
      <c r="J168" s="15" t="s">
        <v>66</v>
      </c>
      <c r="K168" s="15"/>
      <c r="L168" s="15" t="s">
        <v>426</v>
      </c>
      <c r="M168" s="15"/>
      <c r="N168" s="15"/>
      <c r="O168" s="15"/>
      <c r="P168" s="15"/>
    </row>
    <row r="169" spans="1:16" x14ac:dyDescent="0.2">
      <c r="A169" s="15" t="s">
        <v>427</v>
      </c>
      <c r="B169" s="15" t="s">
        <v>428</v>
      </c>
      <c r="C169" s="14" t="s">
        <v>367</v>
      </c>
      <c r="D169" s="15" t="s">
        <v>64</v>
      </c>
      <c r="E169" s="15" t="s">
        <v>66</v>
      </c>
      <c r="F169" s="15" t="s">
        <v>67</v>
      </c>
      <c r="G169" s="15"/>
      <c r="H169" s="15">
        <v>3</v>
      </c>
      <c r="I169" s="15"/>
      <c r="J169" s="15" t="s">
        <v>66</v>
      </c>
      <c r="K169" s="15"/>
      <c r="L169" s="15" t="s">
        <v>430</v>
      </c>
      <c r="M169" s="15"/>
      <c r="N169" s="15"/>
      <c r="O169" s="15"/>
      <c r="P169" s="15"/>
    </row>
    <row r="170" spans="1:16" x14ac:dyDescent="0.2">
      <c r="A170" s="15" t="s">
        <v>432</v>
      </c>
      <c r="B170" s="15" t="s">
        <v>433</v>
      </c>
      <c r="C170" s="15" t="s">
        <v>1302</v>
      </c>
      <c r="D170" s="15" t="s">
        <v>114</v>
      </c>
      <c r="E170" s="15"/>
      <c r="F170" s="15" t="s">
        <v>116</v>
      </c>
      <c r="G170" s="15"/>
      <c r="H170" s="15">
        <v>3</v>
      </c>
      <c r="I170" s="15"/>
      <c r="J170" s="15" t="s">
        <v>107</v>
      </c>
      <c r="K170" s="15"/>
      <c r="L170" s="15" t="s">
        <v>436</v>
      </c>
      <c r="M170" s="15"/>
      <c r="N170" s="15"/>
      <c r="O170" s="15"/>
      <c r="P170" s="15"/>
    </row>
    <row r="171" spans="1:16" x14ac:dyDescent="0.2">
      <c r="A171" s="15" t="s">
        <v>439</v>
      </c>
      <c r="B171" s="15" t="s">
        <v>433</v>
      </c>
      <c r="C171" s="15" t="s">
        <v>1306</v>
      </c>
      <c r="D171" s="15" t="s">
        <v>118</v>
      </c>
      <c r="E171" s="15" t="s">
        <v>66</v>
      </c>
      <c r="F171" s="15" t="s">
        <v>116</v>
      </c>
      <c r="G171" s="15"/>
      <c r="H171" s="15">
        <v>3</v>
      </c>
      <c r="I171" s="15"/>
      <c r="J171" s="15" t="s">
        <v>107</v>
      </c>
      <c r="K171" s="15"/>
      <c r="L171" s="15" t="s">
        <v>440</v>
      </c>
      <c r="M171" s="15"/>
      <c r="N171" s="15"/>
      <c r="O171" s="15"/>
      <c r="P171" s="15"/>
    </row>
    <row r="172" spans="1:16" x14ac:dyDescent="0.2">
      <c r="A172" s="15" t="s">
        <v>441</v>
      </c>
      <c r="B172" s="15" t="s">
        <v>433</v>
      </c>
      <c r="C172" s="15" t="s">
        <v>1310</v>
      </c>
      <c r="D172" s="15" t="s">
        <v>119</v>
      </c>
      <c r="E172" s="15"/>
      <c r="F172" s="15" t="s">
        <v>116</v>
      </c>
      <c r="G172" s="15"/>
      <c r="H172" s="15">
        <v>3</v>
      </c>
      <c r="I172" s="15"/>
      <c r="J172" s="15" t="s">
        <v>107</v>
      </c>
      <c r="K172" s="15"/>
      <c r="L172" s="15" t="s">
        <v>442</v>
      </c>
      <c r="M172" s="15"/>
      <c r="N172" s="15"/>
      <c r="O172" s="15"/>
      <c r="P172" s="15"/>
    </row>
    <row r="173" spans="1:16" x14ac:dyDescent="0.2">
      <c r="A173" s="15" t="s">
        <v>443</v>
      </c>
      <c r="B173" s="15" t="s">
        <v>444</v>
      </c>
      <c r="C173" s="15" t="s">
        <v>1313</v>
      </c>
      <c r="D173" s="15" t="s">
        <v>412</v>
      </c>
      <c r="E173" s="15" t="s">
        <v>66</v>
      </c>
      <c r="F173" s="15" t="s">
        <v>67</v>
      </c>
      <c r="G173" s="15"/>
      <c r="H173" s="15">
        <v>3</v>
      </c>
      <c r="I173" s="15" t="s">
        <v>208</v>
      </c>
      <c r="J173" s="15" t="s">
        <v>66</v>
      </c>
      <c r="K173" s="15" t="s">
        <v>1723</v>
      </c>
      <c r="L173" s="15" t="s">
        <v>446</v>
      </c>
      <c r="M173" s="15"/>
      <c r="N173" s="15"/>
      <c r="O173" s="15"/>
      <c r="P173" s="15"/>
    </row>
    <row r="174" spans="1:16" x14ac:dyDescent="0.2">
      <c r="A174" s="15" t="s">
        <v>449</v>
      </c>
      <c r="B174" s="15" t="s">
        <v>444</v>
      </c>
      <c r="C174" s="15" t="s">
        <v>1317</v>
      </c>
      <c r="D174" s="15" t="s">
        <v>412</v>
      </c>
      <c r="E174" s="15"/>
      <c r="F174" s="15" t="s">
        <v>67</v>
      </c>
      <c r="G174" s="15"/>
      <c r="H174" s="15">
        <v>3</v>
      </c>
      <c r="I174" s="15" t="s">
        <v>208</v>
      </c>
      <c r="J174" s="15" t="s">
        <v>66</v>
      </c>
      <c r="K174" s="15" t="s">
        <v>1723</v>
      </c>
      <c r="L174" s="15" t="s">
        <v>1671</v>
      </c>
      <c r="M174" s="15"/>
      <c r="N174" s="15"/>
      <c r="O174" s="15"/>
      <c r="P174" s="15"/>
    </row>
    <row r="175" spans="1:16" x14ac:dyDescent="0.2">
      <c r="A175" s="15" t="s">
        <v>451</v>
      </c>
      <c r="B175" s="15" t="s">
        <v>444</v>
      </c>
      <c r="C175" s="15" t="s">
        <v>1320</v>
      </c>
      <c r="D175" s="15" t="s">
        <v>452</v>
      </c>
      <c r="E175" s="15"/>
      <c r="F175" s="15" t="s">
        <v>67</v>
      </c>
      <c r="G175" s="15"/>
      <c r="H175" s="15">
        <v>2</v>
      </c>
      <c r="I175" s="14" t="s">
        <v>20</v>
      </c>
      <c r="J175" s="15" t="s">
        <v>66</v>
      </c>
      <c r="K175" s="15"/>
      <c r="L175" s="15" t="s">
        <v>453</v>
      </c>
      <c r="M175" s="15"/>
      <c r="N175" s="15"/>
      <c r="O175" s="15"/>
      <c r="P175" s="15"/>
    </row>
    <row r="176" spans="1:16" x14ac:dyDescent="0.2">
      <c r="A176" s="15" t="s">
        <v>454</v>
      </c>
      <c r="B176" s="15" t="s">
        <v>455</v>
      </c>
      <c r="C176" s="15" t="s">
        <v>1323</v>
      </c>
      <c r="D176" s="15" t="s">
        <v>412</v>
      </c>
      <c r="E176" s="15" t="s">
        <v>66</v>
      </c>
      <c r="F176" s="15" t="s">
        <v>67</v>
      </c>
      <c r="G176" s="15"/>
      <c r="H176" s="15">
        <v>2</v>
      </c>
      <c r="I176" s="15" t="s">
        <v>208</v>
      </c>
      <c r="J176" s="15" t="s">
        <v>66</v>
      </c>
      <c r="K176" s="15"/>
      <c r="L176" s="15" t="s">
        <v>457</v>
      </c>
      <c r="M176" s="15"/>
      <c r="N176" s="15"/>
      <c r="O176" s="15"/>
      <c r="P176" s="15"/>
    </row>
    <row r="177" spans="1:16" x14ac:dyDescent="0.2">
      <c r="A177" s="15" t="s">
        <v>459</v>
      </c>
      <c r="B177" s="15" t="s">
        <v>455</v>
      </c>
      <c r="C177" s="15" t="s">
        <v>1327</v>
      </c>
      <c r="D177" s="15" t="s">
        <v>460</v>
      </c>
      <c r="E177" s="15"/>
      <c r="F177" s="15" t="s">
        <v>67</v>
      </c>
      <c r="G177" s="15"/>
      <c r="H177" s="15">
        <v>2</v>
      </c>
      <c r="I177" s="14" t="s">
        <v>20</v>
      </c>
      <c r="J177" s="15" t="s">
        <v>66</v>
      </c>
      <c r="K177" s="15"/>
      <c r="L177" s="15" t="s">
        <v>461</v>
      </c>
      <c r="M177" s="15"/>
      <c r="N177" s="15"/>
      <c r="O177" s="15"/>
      <c r="P177" s="15"/>
    </row>
    <row r="178" spans="1:16" x14ac:dyDescent="0.2">
      <c r="A178" s="15" t="s">
        <v>462</v>
      </c>
      <c r="B178" s="15" t="s">
        <v>463</v>
      </c>
      <c r="C178" s="14" t="s">
        <v>1331</v>
      </c>
      <c r="D178" s="15" t="s">
        <v>64</v>
      </c>
      <c r="E178" s="15" t="s">
        <v>66</v>
      </c>
      <c r="F178" s="15" t="s">
        <v>67</v>
      </c>
      <c r="G178" s="15"/>
      <c r="H178" s="15">
        <v>3</v>
      </c>
      <c r="I178" s="15" t="s">
        <v>208</v>
      </c>
      <c r="J178" s="15" t="s">
        <v>66</v>
      </c>
      <c r="K178" s="15"/>
      <c r="L178" s="15" t="s">
        <v>465</v>
      </c>
      <c r="M178" s="15"/>
      <c r="N178" s="15"/>
      <c r="O178" s="15"/>
      <c r="P178" s="15"/>
    </row>
    <row r="179" spans="1:16" x14ac:dyDescent="0.2">
      <c r="A179" s="15" t="s">
        <v>467</v>
      </c>
      <c r="B179" s="15" t="s">
        <v>468</v>
      </c>
      <c r="C179" s="15" t="s">
        <v>1334</v>
      </c>
      <c r="D179" s="15" t="s">
        <v>470</v>
      </c>
      <c r="E179" s="15"/>
      <c r="F179" s="15" t="s">
        <v>116</v>
      </c>
      <c r="G179" s="15"/>
      <c r="H179" s="15">
        <v>3</v>
      </c>
      <c r="I179" s="15"/>
      <c r="J179" s="15" t="s">
        <v>107</v>
      </c>
      <c r="K179" s="15"/>
      <c r="L179" s="15" t="s">
        <v>471</v>
      </c>
      <c r="M179" s="15"/>
      <c r="N179" s="15"/>
      <c r="O179" s="15"/>
      <c r="P179" s="15"/>
    </row>
    <row r="180" spans="1:16" x14ac:dyDescent="0.2">
      <c r="A180" s="15" t="s">
        <v>474</v>
      </c>
      <c r="B180" s="15" t="s">
        <v>468</v>
      </c>
      <c r="C180" s="15" t="s">
        <v>1338</v>
      </c>
      <c r="D180" s="15" t="s">
        <v>475</v>
      </c>
      <c r="E180" s="15"/>
      <c r="F180" s="15" t="s">
        <v>116</v>
      </c>
      <c r="G180" s="15"/>
      <c r="H180" s="15">
        <v>3</v>
      </c>
      <c r="I180" s="15"/>
      <c r="J180" s="15" t="s">
        <v>107</v>
      </c>
      <c r="K180" s="15"/>
      <c r="L180" s="15" t="s">
        <v>476</v>
      </c>
      <c r="M180" s="15"/>
      <c r="N180" s="15"/>
      <c r="O180" s="15"/>
      <c r="P180" s="15"/>
    </row>
    <row r="181" spans="1:16" x14ac:dyDescent="0.2">
      <c r="A181" s="15" t="s">
        <v>477</v>
      </c>
      <c r="B181" s="15" t="s">
        <v>468</v>
      </c>
      <c r="C181" s="15" t="s">
        <v>1341</v>
      </c>
      <c r="D181" s="15" t="s">
        <v>478</v>
      </c>
      <c r="E181" s="15" t="s">
        <v>66</v>
      </c>
      <c r="F181" s="15" t="s">
        <v>116</v>
      </c>
      <c r="G181" s="15"/>
      <c r="H181" s="15">
        <v>3</v>
      </c>
      <c r="I181" s="15"/>
      <c r="J181" s="15" t="s">
        <v>107</v>
      </c>
      <c r="K181" s="15"/>
      <c r="L181" s="15" t="s">
        <v>479</v>
      </c>
      <c r="M181" s="15"/>
      <c r="N181" s="15"/>
      <c r="O181" s="15"/>
      <c r="P181" s="15"/>
    </row>
    <row r="182" spans="1:16" x14ac:dyDescent="0.2">
      <c r="A182" s="15" t="s">
        <v>480</v>
      </c>
      <c r="B182" s="15" t="s">
        <v>468</v>
      </c>
      <c r="C182" s="15" t="s">
        <v>1344</v>
      </c>
      <c r="D182" s="15" t="s">
        <v>481</v>
      </c>
      <c r="E182" s="15"/>
      <c r="F182" s="15" t="s">
        <v>116</v>
      </c>
      <c r="G182" s="15"/>
      <c r="H182" s="15">
        <v>3</v>
      </c>
      <c r="I182" s="15"/>
      <c r="J182" s="15" t="s">
        <v>107</v>
      </c>
      <c r="K182" s="15"/>
      <c r="L182" s="15" t="s">
        <v>482</v>
      </c>
      <c r="M182" s="15"/>
      <c r="N182" s="15"/>
      <c r="O182" s="15"/>
      <c r="P182" s="15"/>
    </row>
    <row r="183" spans="1:16" x14ac:dyDescent="0.2">
      <c r="A183" s="15" t="s">
        <v>483</v>
      </c>
      <c r="B183" s="15" t="s">
        <v>468</v>
      </c>
      <c r="C183" s="15" t="s">
        <v>1347</v>
      </c>
      <c r="D183" s="15" t="s">
        <v>484</v>
      </c>
      <c r="E183" s="15"/>
      <c r="F183" s="15" t="s">
        <v>116</v>
      </c>
      <c r="G183" s="15"/>
      <c r="H183" s="15">
        <v>3</v>
      </c>
      <c r="I183" s="15"/>
      <c r="J183" s="15" t="s">
        <v>107</v>
      </c>
      <c r="K183" s="15"/>
      <c r="L183" s="15" t="s">
        <v>485</v>
      </c>
      <c r="M183" s="15"/>
      <c r="N183" s="15"/>
      <c r="O183" s="15"/>
      <c r="P183" s="15"/>
    </row>
    <row r="184" spans="1:16" x14ac:dyDescent="0.2">
      <c r="A184" s="15" t="s">
        <v>486</v>
      </c>
      <c r="B184" s="15" t="s">
        <v>468</v>
      </c>
      <c r="C184" s="15" t="s">
        <v>1351</v>
      </c>
      <c r="D184" s="15" t="s">
        <v>487</v>
      </c>
      <c r="E184" s="15"/>
      <c r="F184" s="15" t="s">
        <v>116</v>
      </c>
      <c r="G184" s="15"/>
      <c r="H184" s="15">
        <v>3</v>
      </c>
      <c r="I184" s="15"/>
      <c r="J184" s="15" t="s">
        <v>107</v>
      </c>
      <c r="K184" s="15"/>
      <c r="L184" s="15" t="s">
        <v>488</v>
      </c>
      <c r="M184" s="15"/>
      <c r="N184" s="15"/>
      <c r="O184" s="15"/>
      <c r="P184" s="15"/>
    </row>
    <row r="185" spans="1:16" x14ac:dyDescent="0.2">
      <c r="A185" s="15" t="s">
        <v>489</v>
      </c>
      <c r="B185" s="15" t="s">
        <v>490</v>
      </c>
      <c r="C185" s="14" t="s">
        <v>500</v>
      </c>
      <c r="D185" s="15" t="s">
        <v>64</v>
      </c>
      <c r="E185" s="15" t="s">
        <v>66</v>
      </c>
      <c r="F185" s="15" t="s">
        <v>67</v>
      </c>
      <c r="G185" s="15"/>
      <c r="H185" s="15">
        <v>3</v>
      </c>
      <c r="I185" s="15" t="s">
        <v>208</v>
      </c>
      <c r="J185" s="15" t="s">
        <v>66</v>
      </c>
      <c r="K185" s="15"/>
      <c r="L185" s="15" t="s">
        <v>493</v>
      </c>
      <c r="M185" s="15"/>
      <c r="N185" s="15"/>
      <c r="O185" s="15"/>
      <c r="P185" s="15"/>
    </row>
    <row r="186" spans="1:16" x14ac:dyDescent="0.2">
      <c r="A186" s="15" t="s">
        <v>495</v>
      </c>
      <c r="B186" s="15" t="s">
        <v>496</v>
      </c>
      <c r="C186" s="14" t="s">
        <v>292</v>
      </c>
      <c r="D186" s="15" t="s">
        <v>64</v>
      </c>
      <c r="E186" s="15" t="s">
        <v>66</v>
      </c>
      <c r="F186" s="15" t="s">
        <v>67</v>
      </c>
      <c r="G186" s="15"/>
      <c r="H186" s="15">
        <v>3</v>
      </c>
      <c r="I186" s="15"/>
      <c r="J186" s="15" t="s">
        <v>66</v>
      </c>
      <c r="K186" s="15"/>
      <c r="L186" s="15" t="s">
        <v>498</v>
      </c>
      <c r="M186" s="15"/>
      <c r="N186" s="15"/>
      <c r="O186" s="15"/>
      <c r="P186" s="15"/>
    </row>
    <row r="187" spans="1:16" x14ac:dyDescent="0.2">
      <c r="A187" s="15" t="s">
        <v>501</v>
      </c>
      <c r="B187" s="15" t="s">
        <v>502</v>
      </c>
      <c r="C187" s="14" t="s">
        <v>359</v>
      </c>
      <c r="D187" s="15" t="s">
        <v>64</v>
      </c>
      <c r="E187" s="15" t="s">
        <v>66</v>
      </c>
      <c r="F187" s="15" t="s">
        <v>105</v>
      </c>
      <c r="G187" s="15"/>
      <c r="H187" s="15">
        <v>3</v>
      </c>
      <c r="I187" s="15"/>
      <c r="J187" s="15" t="s">
        <v>66</v>
      </c>
      <c r="K187" s="15"/>
      <c r="L187" s="15" t="s">
        <v>506</v>
      </c>
      <c r="M187" s="15"/>
      <c r="N187" s="15"/>
      <c r="O187" s="15"/>
      <c r="P187" s="15"/>
    </row>
    <row r="188" spans="1:16" x14ac:dyDescent="0.2">
      <c r="A188" s="15" t="s">
        <v>510</v>
      </c>
      <c r="B188" s="15" t="s">
        <v>511</v>
      </c>
      <c r="C188" s="14" t="s">
        <v>1650</v>
      </c>
      <c r="D188" s="15" t="s">
        <v>64</v>
      </c>
      <c r="E188" s="15" t="s">
        <v>66</v>
      </c>
      <c r="F188" s="15" t="s">
        <v>67</v>
      </c>
      <c r="G188" s="15"/>
      <c r="H188" s="15">
        <v>2</v>
      </c>
      <c r="I188" s="15"/>
      <c r="J188" s="15" t="s">
        <v>66</v>
      </c>
      <c r="K188" s="15"/>
      <c r="L188" s="15" t="s">
        <v>514</v>
      </c>
      <c r="M188" s="15"/>
      <c r="N188" s="15"/>
      <c r="O188" s="15"/>
      <c r="P188" s="15"/>
    </row>
    <row r="189" spans="1:16" x14ac:dyDescent="0.2">
      <c r="A189" s="15" t="s">
        <v>1625</v>
      </c>
      <c r="B189" s="15" t="s">
        <v>511</v>
      </c>
      <c r="C189" s="14" t="s">
        <v>1623</v>
      </c>
      <c r="D189" s="15" t="s">
        <v>64</v>
      </c>
      <c r="E189" s="15"/>
      <c r="F189" s="15" t="s">
        <v>67</v>
      </c>
      <c r="G189" s="15"/>
      <c r="H189" s="15">
        <v>2</v>
      </c>
      <c r="I189" s="15"/>
      <c r="J189" s="15" t="s">
        <v>66</v>
      </c>
      <c r="K189" s="15"/>
      <c r="L189" s="15" t="s">
        <v>1659</v>
      </c>
      <c r="M189" s="15"/>
      <c r="N189" s="15"/>
      <c r="O189" s="15"/>
      <c r="P189" s="15"/>
    </row>
    <row r="190" spans="1:16" x14ac:dyDescent="0.2">
      <c r="A190" s="15" t="s">
        <v>517</v>
      </c>
      <c r="B190" s="15" t="s">
        <v>518</v>
      </c>
      <c r="C190" s="14" t="s">
        <v>556</v>
      </c>
      <c r="D190" s="15" t="s">
        <v>64</v>
      </c>
      <c r="E190" s="15" t="s">
        <v>66</v>
      </c>
      <c r="F190" s="15" t="s">
        <v>67</v>
      </c>
      <c r="G190" s="15"/>
      <c r="H190" s="15">
        <v>3</v>
      </c>
      <c r="I190" s="15"/>
      <c r="J190" s="15" t="s">
        <v>66</v>
      </c>
      <c r="K190" s="15"/>
      <c r="L190" s="15" t="s">
        <v>520</v>
      </c>
      <c r="M190" s="15"/>
      <c r="N190" s="15"/>
      <c r="O190" s="15"/>
      <c r="P190" s="15"/>
    </row>
    <row r="191" spans="1:16" x14ac:dyDescent="0.2">
      <c r="A191" s="15" t="s">
        <v>522</v>
      </c>
      <c r="B191" s="15" t="s">
        <v>523</v>
      </c>
      <c r="C191" s="15" t="s">
        <v>1366</v>
      </c>
      <c r="D191" s="15" t="s">
        <v>525</v>
      </c>
      <c r="E191" s="15" t="s">
        <v>66</v>
      </c>
      <c r="F191" s="15" t="s">
        <v>105</v>
      </c>
      <c r="G191" s="15"/>
      <c r="H191" s="15">
        <v>3</v>
      </c>
      <c r="I191" s="15"/>
      <c r="J191" s="15" t="s">
        <v>66</v>
      </c>
      <c r="K191" s="15"/>
      <c r="L191" s="15" t="s">
        <v>527</v>
      </c>
      <c r="M191" s="15"/>
      <c r="N191" s="15"/>
      <c r="O191" s="15"/>
      <c r="P191" s="15"/>
    </row>
    <row r="192" spans="1:16" x14ac:dyDescent="0.2">
      <c r="A192" s="15" t="s">
        <v>530</v>
      </c>
      <c r="B192" s="15" t="s">
        <v>523</v>
      </c>
      <c r="C192" s="15" t="s">
        <v>1372</v>
      </c>
      <c r="D192" s="15" t="s">
        <v>531</v>
      </c>
      <c r="E192" s="15"/>
      <c r="F192" s="15" t="s">
        <v>105</v>
      </c>
      <c r="G192" s="14" t="s">
        <v>19</v>
      </c>
      <c r="H192" s="15">
        <v>3</v>
      </c>
      <c r="I192" s="15"/>
      <c r="J192" s="15" t="s">
        <v>66</v>
      </c>
      <c r="K192" s="15"/>
      <c r="L192" s="15" t="s">
        <v>532</v>
      </c>
      <c r="M192" s="15"/>
      <c r="N192" s="15"/>
      <c r="O192" s="15"/>
      <c r="P192" s="15"/>
    </row>
    <row r="193" spans="1:16" x14ac:dyDescent="0.2">
      <c r="A193" s="15" t="s">
        <v>533</v>
      </c>
      <c r="B193" s="15" t="s">
        <v>523</v>
      </c>
      <c r="C193" s="15" t="s">
        <v>1376</v>
      </c>
      <c r="D193" s="15" t="s">
        <v>534</v>
      </c>
      <c r="E193" s="15"/>
      <c r="F193" s="15" t="s">
        <v>105</v>
      </c>
      <c r="G193" s="14" t="s">
        <v>19</v>
      </c>
      <c r="H193" s="15">
        <v>3</v>
      </c>
      <c r="I193" s="15"/>
      <c r="J193" s="15" t="s">
        <v>66</v>
      </c>
      <c r="K193" s="15"/>
      <c r="L193" s="15" t="s">
        <v>535</v>
      </c>
      <c r="M193" s="15"/>
      <c r="N193" s="15"/>
      <c r="O193" s="15"/>
      <c r="P193" s="15"/>
    </row>
    <row r="194" spans="1:16" x14ac:dyDescent="0.2">
      <c r="A194" s="15" t="s">
        <v>536</v>
      </c>
      <c r="B194" s="15" t="s">
        <v>537</v>
      </c>
      <c r="C194" s="14" t="s">
        <v>1380</v>
      </c>
      <c r="D194" s="15" t="s">
        <v>64</v>
      </c>
      <c r="E194" s="15" t="s">
        <v>66</v>
      </c>
      <c r="F194" s="15" t="s">
        <v>541</v>
      </c>
      <c r="G194" s="15"/>
      <c r="H194" s="15">
        <v>3</v>
      </c>
      <c r="I194" s="15"/>
      <c r="J194" s="15" t="s">
        <v>107</v>
      </c>
      <c r="K194" s="15" t="s">
        <v>543</v>
      </c>
      <c r="L194" s="15" t="s">
        <v>1030</v>
      </c>
      <c r="M194" s="15"/>
      <c r="N194" s="15"/>
      <c r="O194" s="15"/>
      <c r="P194" s="15"/>
    </row>
    <row r="195" spans="1:16" x14ac:dyDescent="0.2">
      <c r="A195" s="15" t="s">
        <v>544</v>
      </c>
      <c r="B195" s="15" t="s">
        <v>545</v>
      </c>
      <c r="C195" s="14" t="s">
        <v>521</v>
      </c>
      <c r="D195" s="15" t="s">
        <v>64</v>
      </c>
      <c r="E195" s="15" t="s">
        <v>66</v>
      </c>
      <c r="F195" s="15" t="s">
        <v>548</v>
      </c>
      <c r="G195" s="15"/>
      <c r="H195" s="15">
        <v>3</v>
      </c>
      <c r="I195" s="15"/>
      <c r="J195" s="15" t="s">
        <v>107</v>
      </c>
      <c r="K195" s="15"/>
      <c r="L195" s="15" t="s">
        <v>1031</v>
      </c>
      <c r="M195" s="15"/>
      <c r="N195" s="15"/>
      <c r="O195" s="15"/>
      <c r="P195" s="15"/>
    </row>
    <row r="196" spans="1:16" x14ac:dyDescent="0.2">
      <c r="A196" s="15" t="s">
        <v>549</v>
      </c>
      <c r="B196" s="15" t="s">
        <v>550</v>
      </c>
      <c r="C196" s="14" t="s">
        <v>529</v>
      </c>
      <c r="D196" s="15" t="s">
        <v>64</v>
      </c>
      <c r="E196" s="15" t="s">
        <v>66</v>
      </c>
      <c r="F196" s="15" t="s">
        <v>105</v>
      </c>
      <c r="G196" s="15"/>
      <c r="H196" s="15">
        <v>3</v>
      </c>
      <c r="I196" s="15"/>
      <c r="J196" s="15" t="s">
        <v>66</v>
      </c>
      <c r="K196" s="15" t="s">
        <v>555</v>
      </c>
      <c r="L196" s="15" t="s">
        <v>554</v>
      </c>
      <c r="M196" s="15"/>
      <c r="N196" s="15"/>
      <c r="O196" s="15"/>
      <c r="P196" s="15"/>
    </row>
    <row r="197" spans="1:16" x14ac:dyDescent="0.2">
      <c r="A197" s="15" t="s">
        <v>557</v>
      </c>
      <c r="B197" s="15" t="s">
        <v>558</v>
      </c>
      <c r="C197" s="15" t="s">
        <v>1388</v>
      </c>
      <c r="D197" s="15" t="s">
        <v>114</v>
      </c>
      <c r="E197" s="15"/>
      <c r="F197" s="15" t="s">
        <v>116</v>
      </c>
      <c r="G197" s="15"/>
      <c r="H197" s="15">
        <v>3</v>
      </c>
      <c r="I197" s="15"/>
      <c r="J197" s="15" t="s">
        <v>107</v>
      </c>
      <c r="K197" s="15"/>
      <c r="L197" s="15" t="s">
        <v>561</v>
      </c>
      <c r="M197" s="15"/>
      <c r="N197" s="15"/>
      <c r="O197" s="15"/>
      <c r="P197" s="15"/>
    </row>
    <row r="198" spans="1:16" x14ac:dyDescent="0.2">
      <c r="A198" s="15" t="s">
        <v>564</v>
      </c>
      <c r="B198" s="15" t="s">
        <v>558</v>
      </c>
      <c r="C198" s="15" t="s">
        <v>1390</v>
      </c>
      <c r="D198" s="15" t="s">
        <v>118</v>
      </c>
      <c r="E198" s="15" t="s">
        <v>66</v>
      </c>
      <c r="F198" s="15" t="s">
        <v>116</v>
      </c>
      <c r="G198" s="15"/>
      <c r="H198" s="15">
        <v>3</v>
      </c>
      <c r="I198" s="15"/>
      <c r="J198" s="15" t="s">
        <v>107</v>
      </c>
      <c r="K198" s="15"/>
      <c r="L198" s="15" t="s">
        <v>565</v>
      </c>
      <c r="M198" s="15"/>
      <c r="N198" s="15"/>
      <c r="O198" s="15"/>
      <c r="P198" s="15"/>
    </row>
    <row r="199" spans="1:16" x14ac:dyDescent="0.2">
      <c r="A199" s="15" t="s">
        <v>566</v>
      </c>
      <c r="B199" s="15" t="s">
        <v>558</v>
      </c>
      <c r="C199" s="15" t="s">
        <v>1392</v>
      </c>
      <c r="D199" s="15" t="s">
        <v>119</v>
      </c>
      <c r="E199" s="15"/>
      <c r="F199" s="15" t="s">
        <v>116</v>
      </c>
      <c r="G199" s="15"/>
      <c r="H199" s="15">
        <v>3</v>
      </c>
      <c r="I199" s="15"/>
      <c r="J199" s="15" t="s">
        <v>107</v>
      </c>
      <c r="K199" s="15"/>
      <c r="L199" s="15" t="s">
        <v>567</v>
      </c>
      <c r="M199" s="15"/>
      <c r="N199" s="15"/>
      <c r="O199" s="15"/>
      <c r="P199" s="15"/>
    </row>
    <row r="200" spans="1:16" x14ac:dyDescent="0.2">
      <c r="A200" s="15" t="s">
        <v>568</v>
      </c>
      <c r="B200" s="15" t="s">
        <v>569</v>
      </c>
      <c r="C200" s="15" t="s">
        <v>1394</v>
      </c>
      <c r="D200" s="15" t="s">
        <v>114</v>
      </c>
      <c r="E200" s="15"/>
      <c r="F200" s="15" t="s">
        <v>116</v>
      </c>
      <c r="G200" s="15"/>
      <c r="H200" s="15">
        <v>3</v>
      </c>
      <c r="I200" s="15"/>
      <c r="J200" s="15" t="s">
        <v>107</v>
      </c>
      <c r="K200" s="15"/>
      <c r="L200" s="15" t="s">
        <v>571</v>
      </c>
      <c r="M200" s="15"/>
      <c r="N200" s="15"/>
      <c r="O200" s="15"/>
      <c r="P200" s="15"/>
    </row>
    <row r="201" spans="1:16" x14ac:dyDescent="0.2">
      <c r="A201" s="15" t="s">
        <v>573</v>
      </c>
      <c r="B201" s="15" t="s">
        <v>569</v>
      </c>
      <c r="C201" s="15" t="s">
        <v>1397</v>
      </c>
      <c r="D201" s="15" t="s">
        <v>118</v>
      </c>
      <c r="E201" s="15" t="s">
        <v>66</v>
      </c>
      <c r="F201" s="15" t="s">
        <v>116</v>
      </c>
      <c r="G201" s="15"/>
      <c r="H201" s="15">
        <v>3</v>
      </c>
      <c r="I201" s="15"/>
      <c r="J201" s="15" t="s">
        <v>107</v>
      </c>
      <c r="K201" s="15"/>
      <c r="L201" s="15" t="s">
        <v>574</v>
      </c>
      <c r="M201" s="15"/>
      <c r="N201" s="15"/>
      <c r="O201" s="15"/>
      <c r="P201" s="15"/>
    </row>
    <row r="202" spans="1:16" x14ac:dyDescent="0.2">
      <c r="A202" s="15" t="s">
        <v>575</v>
      </c>
      <c r="B202" s="15" t="s">
        <v>569</v>
      </c>
      <c r="C202" s="15" t="s">
        <v>1399</v>
      </c>
      <c r="D202" s="15" t="s">
        <v>119</v>
      </c>
      <c r="E202" s="15"/>
      <c r="F202" s="15" t="s">
        <v>116</v>
      </c>
      <c r="G202" s="15"/>
      <c r="H202" s="15">
        <v>3</v>
      </c>
      <c r="I202" s="15"/>
      <c r="J202" s="15" t="s">
        <v>107</v>
      </c>
      <c r="K202" s="15"/>
      <c r="L202" s="15" t="s">
        <v>576</v>
      </c>
      <c r="M202" s="15"/>
      <c r="N202" s="15"/>
      <c r="O202" s="15"/>
      <c r="P202" s="15"/>
    </row>
    <row r="203" spans="1:16" x14ac:dyDescent="0.2">
      <c r="A203" s="15" t="s">
        <v>577</v>
      </c>
      <c r="B203" s="15" t="s">
        <v>578</v>
      </c>
      <c r="C203" s="14" t="s">
        <v>1401</v>
      </c>
      <c r="D203" s="15" t="s">
        <v>64</v>
      </c>
      <c r="E203" s="15" t="s">
        <v>66</v>
      </c>
      <c r="F203" s="15" t="s">
        <v>175</v>
      </c>
      <c r="G203" s="15"/>
      <c r="H203" s="15">
        <v>3</v>
      </c>
      <c r="I203" s="15"/>
      <c r="J203" s="15" t="s">
        <v>66</v>
      </c>
      <c r="K203" s="15"/>
      <c r="L203" s="15" t="s">
        <v>581</v>
      </c>
      <c r="M203" s="15"/>
      <c r="N203" s="15"/>
      <c r="O203" s="15"/>
      <c r="P203" s="15"/>
    </row>
    <row r="204" spans="1:16" x14ac:dyDescent="0.2">
      <c r="A204" s="15" t="s">
        <v>583</v>
      </c>
      <c r="B204" s="15" t="s">
        <v>584</v>
      </c>
      <c r="C204" s="14" t="s">
        <v>582</v>
      </c>
      <c r="D204" s="15" t="s">
        <v>64</v>
      </c>
      <c r="E204" s="15" t="s">
        <v>66</v>
      </c>
      <c r="F204" s="15" t="s">
        <v>105</v>
      </c>
      <c r="G204" s="15"/>
      <c r="H204" s="15">
        <v>3</v>
      </c>
      <c r="I204" s="15"/>
      <c r="J204" s="15" t="s">
        <v>66</v>
      </c>
      <c r="K204" s="15"/>
      <c r="L204" s="15" t="s">
        <v>588</v>
      </c>
      <c r="M204" s="15"/>
      <c r="N204" s="15"/>
      <c r="O204" s="15"/>
      <c r="P204" s="15"/>
    </row>
    <row r="205" spans="1:16" x14ac:dyDescent="0.2">
      <c r="A205" s="15" t="s">
        <v>590</v>
      </c>
      <c r="B205" s="15" t="s">
        <v>591</v>
      </c>
      <c r="C205" s="14" t="s">
        <v>572</v>
      </c>
      <c r="D205" s="15" t="s">
        <v>64</v>
      </c>
      <c r="E205" s="15" t="s">
        <v>66</v>
      </c>
      <c r="F205" s="15" t="s">
        <v>105</v>
      </c>
      <c r="G205" s="15"/>
      <c r="H205" s="15">
        <v>3</v>
      </c>
      <c r="I205" s="15"/>
      <c r="J205" s="15" t="s">
        <v>66</v>
      </c>
      <c r="K205" s="15"/>
      <c r="L205" s="15" t="s">
        <v>594</v>
      </c>
      <c r="M205" s="15"/>
      <c r="N205" s="15"/>
      <c r="O205" s="15"/>
      <c r="P205" s="15"/>
    </row>
    <row r="206" spans="1:16" x14ac:dyDescent="0.2">
      <c r="A206" s="15" t="s">
        <v>597</v>
      </c>
      <c r="B206" s="15" t="s">
        <v>598</v>
      </c>
      <c r="C206" s="15" t="s">
        <v>1409</v>
      </c>
      <c r="D206" s="15" t="s">
        <v>114</v>
      </c>
      <c r="E206" s="15"/>
      <c r="F206" s="15" t="s">
        <v>116</v>
      </c>
      <c r="G206" s="15"/>
      <c r="H206" s="15">
        <v>3</v>
      </c>
      <c r="I206" s="15"/>
      <c r="J206" s="15" t="s">
        <v>107</v>
      </c>
      <c r="K206" s="15"/>
      <c r="L206" s="15" t="s">
        <v>600</v>
      </c>
      <c r="M206" s="15"/>
      <c r="N206" s="15"/>
      <c r="O206" s="15"/>
      <c r="P206" s="15"/>
    </row>
    <row r="207" spans="1:16" x14ac:dyDescent="0.2">
      <c r="A207" s="15" t="s">
        <v>602</v>
      </c>
      <c r="B207" s="15" t="s">
        <v>598</v>
      </c>
      <c r="C207" s="15" t="s">
        <v>1412</v>
      </c>
      <c r="D207" s="15" t="s">
        <v>118</v>
      </c>
      <c r="E207" s="15" t="s">
        <v>66</v>
      </c>
      <c r="F207" s="15" t="s">
        <v>116</v>
      </c>
      <c r="G207" s="15"/>
      <c r="H207" s="15">
        <v>3</v>
      </c>
      <c r="I207" s="15"/>
      <c r="J207" s="15" t="s">
        <v>107</v>
      </c>
      <c r="K207" s="15"/>
      <c r="L207" s="15" t="s">
        <v>603</v>
      </c>
      <c r="M207" s="15"/>
      <c r="N207" s="15"/>
      <c r="O207" s="15"/>
      <c r="P207" s="15"/>
    </row>
    <row r="208" spans="1:16" x14ac:dyDescent="0.2">
      <c r="A208" s="15" t="s">
        <v>604</v>
      </c>
      <c r="B208" s="15" t="s">
        <v>598</v>
      </c>
      <c r="C208" s="15" t="s">
        <v>1414</v>
      </c>
      <c r="D208" s="15" t="s">
        <v>119</v>
      </c>
      <c r="E208" s="15"/>
      <c r="F208" s="15" t="s">
        <v>116</v>
      </c>
      <c r="G208" s="15"/>
      <c r="H208" s="15">
        <v>3</v>
      </c>
      <c r="I208" s="15"/>
      <c r="J208" s="15" t="s">
        <v>107</v>
      </c>
      <c r="K208" s="15"/>
      <c r="L208" s="15" t="s">
        <v>605</v>
      </c>
      <c r="M208" s="15"/>
      <c r="N208" s="15"/>
      <c r="O208" s="15"/>
      <c r="P208" s="15"/>
    </row>
    <row r="209" spans="1:16" x14ac:dyDescent="0.2">
      <c r="A209" s="15" t="s">
        <v>727</v>
      </c>
      <c r="B209" s="15" t="s">
        <v>728</v>
      </c>
      <c r="C209" s="14" t="s">
        <v>1651</v>
      </c>
      <c r="D209" s="15" t="s">
        <v>64</v>
      </c>
      <c r="E209" s="15" t="s">
        <v>66</v>
      </c>
      <c r="F209" s="15" t="s">
        <v>67</v>
      </c>
      <c r="G209" s="15"/>
      <c r="H209" s="15">
        <v>3</v>
      </c>
      <c r="I209" s="15"/>
      <c r="J209" s="15" t="s">
        <v>66</v>
      </c>
      <c r="K209" s="15"/>
      <c r="L209" s="15" t="s">
        <v>731</v>
      </c>
      <c r="M209" s="15"/>
      <c r="N209" s="15"/>
      <c r="O209" s="15"/>
      <c r="P209" s="15"/>
    </row>
    <row r="210" spans="1:16" x14ac:dyDescent="0.2">
      <c r="A210" s="15" t="s">
        <v>1622</v>
      </c>
      <c r="B210" s="15" t="s">
        <v>728</v>
      </c>
      <c r="C210" s="14" t="s">
        <v>1619</v>
      </c>
      <c r="D210" s="15" t="s">
        <v>64</v>
      </c>
      <c r="E210" s="15"/>
      <c r="F210" s="15" t="s">
        <v>67</v>
      </c>
      <c r="G210" s="15"/>
      <c r="H210" s="15">
        <v>3</v>
      </c>
      <c r="I210" s="15"/>
      <c r="J210" s="15" t="s">
        <v>66</v>
      </c>
      <c r="K210" s="15"/>
      <c r="L210" s="15" t="s">
        <v>1658</v>
      </c>
      <c r="M210" s="15"/>
      <c r="N210" s="15"/>
      <c r="O210" s="15"/>
      <c r="P210" s="15"/>
    </row>
    <row r="211" spans="1:16" x14ac:dyDescent="0.2">
      <c r="A211" s="15" t="s">
        <v>606</v>
      </c>
      <c r="B211" s="15" t="s">
        <v>607</v>
      </c>
      <c r="C211" s="15" t="s">
        <v>1420</v>
      </c>
      <c r="D211" s="15" t="s">
        <v>610</v>
      </c>
      <c r="E211" s="15" t="s">
        <v>66</v>
      </c>
      <c r="F211" s="15" t="s">
        <v>67</v>
      </c>
      <c r="G211" s="15"/>
      <c r="H211" s="15">
        <v>1</v>
      </c>
      <c r="I211" s="15"/>
      <c r="J211" s="15" t="s">
        <v>66</v>
      </c>
      <c r="K211" s="15"/>
      <c r="L211" s="15" t="s">
        <v>611</v>
      </c>
      <c r="M211" s="15"/>
      <c r="N211" s="15"/>
      <c r="O211" s="15"/>
      <c r="P211" s="15"/>
    </row>
    <row r="212" spans="1:16" x14ac:dyDescent="0.2">
      <c r="A212" s="15" t="s">
        <v>615</v>
      </c>
      <c r="B212" s="15" t="s">
        <v>607</v>
      </c>
      <c r="C212" s="15" t="s">
        <v>1424</v>
      </c>
      <c r="D212" s="15" t="s">
        <v>616</v>
      </c>
      <c r="E212" s="15"/>
      <c r="F212" s="15" t="s">
        <v>67</v>
      </c>
      <c r="G212" s="15"/>
      <c r="H212" s="15">
        <v>1</v>
      </c>
      <c r="I212" s="15"/>
      <c r="J212" s="15" t="s">
        <v>66</v>
      </c>
      <c r="K212" s="15"/>
      <c r="L212" s="15" t="s">
        <v>617</v>
      </c>
      <c r="M212" s="15"/>
      <c r="N212" s="15"/>
      <c r="O212" s="15"/>
      <c r="P212" s="15"/>
    </row>
    <row r="213" spans="1:16" x14ac:dyDescent="0.2">
      <c r="A213" s="15" t="s">
        <v>618</v>
      </c>
      <c r="B213" s="15" t="s">
        <v>607</v>
      </c>
      <c r="C213" s="15" t="s">
        <v>1428</v>
      </c>
      <c r="D213" s="15" t="s">
        <v>619</v>
      </c>
      <c r="E213" s="15"/>
      <c r="F213" s="15" t="s">
        <v>67</v>
      </c>
      <c r="G213" s="15"/>
      <c r="H213" s="15">
        <v>1</v>
      </c>
      <c r="I213" s="15"/>
      <c r="J213" s="15" t="s">
        <v>66</v>
      </c>
      <c r="K213" s="15"/>
      <c r="L213" s="15" t="s">
        <v>620</v>
      </c>
      <c r="M213" s="15"/>
      <c r="N213" s="15"/>
      <c r="O213" s="15"/>
      <c r="P213" s="15"/>
    </row>
    <row r="214" spans="1:16" x14ac:dyDescent="0.2">
      <c r="A214" s="15" t="s">
        <v>621</v>
      </c>
      <c r="B214" s="15" t="s">
        <v>622</v>
      </c>
      <c r="C214" s="14" t="s">
        <v>1432</v>
      </c>
      <c r="D214" s="15" t="s">
        <v>64</v>
      </c>
      <c r="E214" s="15" t="s">
        <v>66</v>
      </c>
      <c r="F214" s="15" t="s">
        <v>67</v>
      </c>
      <c r="G214" s="15"/>
      <c r="H214" s="15">
        <v>4</v>
      </c>
      <c r="I214" s="14" t="s">
        <v>21</v>
      </c>
      <c r="J214" s="15" t="s">
        <v>66</v>
      </c>
      <c r="K214" s="15"/>
      <c r="L214" s="15" t="s">
        <v>624</v>
      </c>
      <c r="M214" s="15"/>
      <c r="N214" s="15"/>
      <c r="O214" s="15"/>
      <c r="P214" s="15"/>
    </row>
    <row r="215" spans="1:16" x14ac:dyDescent="0.2">
      <c r="A215" s="15" t="s">
        <v>627</v>
      </c>
      <c r="B215" s="15" t="s">
        <v>628</v>
      </c>
      <c r="C215" s="14" t="s">
        <v>632</v>
      </c>
      <c r="D215" s="15" t="s">
        <v>64</v>
      </c>
      <c r="E215" s="15" t="s">
        <v>66</v>
      </c>
      <c r="F215" s="15" t="s">
        <v>125</v>
      </c>
      <c r="G215" s="15"/>
      <c r="H215" s="15">
        <v>1</v>
      </c>
      <c r="I215" s="15"/>
      <c r="J215" s="15" t="s">
        <v>66</v>
      </c>
      <c r="K215" s="15"/>
      <c r="L215" s="15" t="s">
        <v>631</v>
      </c>
      <c r="M215" s="15"/>
      <c r="N215" s="15"/>
      <c r="O215" s="15"/>
      <c r="P215" s="15"/>
    </row>
    <row r="216" spans="1:16" x14ac:dyDescent="0.2">
      <c r="A216" s="15" t="s">
        <v>633</v>
      </c>
      <c r="B216" s="15" t="s">
        <v>634</v>
      </c>
      <c r="C216" s="14" t="s">
        <v>109</v>
      </c>
      <c r="D216" s="15" t="s">
        <v>64</v>
      </c>
      <c r="E216" s="15" t="s">
        <v>66</v>
      </c>
      <c r="F216" s="15" t="s">
        <v>639</v>
      </c>
      <c r="G216" s="15"/>
      <c r="H216" s="15">
        <v>1</v>
      </c>
      <c r="I216" s="15"/>
      <c r="J216" s="15" t="s">
        <v>66</v>
      </c>
      <c r="K216" s="15"/>
      <c r="L216" s="15" t="s">
        <v>641</v>
      </c>
      <c r="M216" s="15"/>
      <c r="N216" s="15"/>
      <c r="O216" s="15"/>
      <c r="P216" s="15"/>
    </row>
    <row r="217" spans="1:16" x14ac:dyDescent="0.2">
      <c r="A217" s="15" t="s">
        <v>643</v>
      </c>
      <c r="B217" s="15" t="s">
        <v>644</v>
      </c>
      <c r="C217" s="14" t="s">
        <v>663</v>
      </c>
      <c r="D217" s="15" t="s">
        <v>64</v>
      </c>
      <c r="E217" s="15" t="s">
        <v>66</v>
      </c>
      <c r="F217" s="15" t="s">
        <v>639</v>
      </c>
      <c r="G217" s="15"/>
      <c r="H217" s="15">
        <v>1</v>
      </c>
      <c r="I217" s="15"/>
      <c r="J217" s="15" t="s">
        <v>66</v>
      </c>
      <c r="K217" s="15"/>
      <c r="L217" s="15" t="s">
        <v>646</v>
      </c>
      <c r="M217" s="15"/>
      <c r="N217" s="15"/>
      <c r="O217" s="15"/>
      <c r="P217" s="15"/>
    </row>
    <row r="218" spans="1:16" x14ac:dyDescent="0.2">
      <c r="A218" s="15" t="s">
        <v>650</v>
      </c>
      <c r="B218" s="15" t="s">
        <v>651</v>
      </c>
      <c r="C218" s="14" t="s">
        <v>683</v>
      </c>
      <c r="D218" s="15" t="s">
        <v>64</v>
      </c>
      <c r="E218" s="15" t="s">
        <v>66</v>
      </c>
      <c r="F218" s="15" t="s">
        <v>67</v>
      </c>
      <c r="G218" s="15"/>
      <c r="H218" s="15">
        <v>1</v>
      </c>
      <c r="I218" s="15"/>
      <c r="J218" s="15" t="s">
        <v>66</v>
      </c>
      <c r="K218" s="15"/>
      <c r="L218" s="15" t="s">
        <v>653</v>
      </c>
      <c r="M218" s="15"/>
      <c r="N218" s="15"/>
      <c r="O218" s="15"/>
      <c r="P218" s="15"/>
    </row>
    <row r="219" spans="1:16" x14ac:dyDescent="0.2">
      <c r="A219" s="15" t="s">
        <v>655</v>
      </c>
      <c r="B219" s="15" t="s">
        <v>656</v>
      </c>
      <c r="C219" s="14" t="s">
        <v>649</v>
      </c>
      <c r="D219" s="15" t="s">
        <v>64</v>
      </c>
      <c r="E219" s="15" t="s">
        <v>66</v>
      </c>
      <c r="F219" s="15" t="s">
        <v>67</v>
      </c>
      <c r="G219" s="15"/>
      <c r="H219" s="15">
        <v>1</v>
      </c>
      <c r="I219" s="15"/>
      <c r="J219" s="15" t="s">
        <v>66</v>
      </c>
      <c r="K219" s="15"/>
      <c r="L219" s="15" t="s">
        <v>658</v>
      </c>
      <c r="M219" s="15"/>
      <c r="N219" s="15"/>
      <c r="O219" s="15"/>
      <c r="P219" s="15"/>
    </row>
    <row r="220" spans="1:16" x14ac:dyDescent="0.2">
      <c r="A220" s="15" t="s">
        <v>659</v>
      </c>
      <c r="B220" s="15" t="s">
        <v>660</v>
      </c>
      <c r="C220" s="15" t="s">
        <v>1451</v>
      </c>
      <c r="D220" s="15" t="s">
        <v>114</v>
      </c>
      <c r="E220" s="15"/>
      <c r="F220" s="15" t="s">
        <v>116</v>
      </c>
      <c r="G220" s="15"/>
      <c r="H220" s="15">
        <v>1</v>
      </c>
      <c r="I220" s="15"/>
      <c r="J220" s="15" t="s">
        <v>107</v>
      </c>
      <c r="K220" s="15"/>
      <c r="L220" s="15" t="s">
        <v>662</v>
      </c>
      <c r="M220" s="15"/>
      <c r="N220" s="15"/>
      <c r="O220" s="15"/>
      <c r="P220" s="15"/>
    </row>
    <row r="221" spans="1:16" x14ac:dyDescent="0.2">
      <c r="A221" s="15" t="s">
        <v>665</v>
      </c>
      <c r="B221" s="15" t="s">
        <v>660</v>
      </c>
      <c r="C221" s="15" t="s">
        <v>1454</v>
      </c>
      <c r="D221" s="15" t="s">
        <v>118</v>
      </c>
      <c r="E221" s="15" t="s">
        <v>66</v>
      </c>
      <c r="F221" s="15" t="s">
        <v>116</v>
      </c>
      <c r="G221" s="15"/>
      <c r="H221" s="15">
        <v>1</v>
      </c>
      <c r="I221" s="15"/>
      <c r="J221" s="15" t="s">
        <v>107</v>
      </c>
      <c r="K221" s="15"/>
      <c r="L221" s="15" t="s">
        <v>662</v>
      </c>
      <c r="M221" s="15"/>
      <c r="N221" s="15"/>
      <c r="O221" s="15"/>
      <c r="P221" s="15"/>
    </row>
    <row r="222" spans="1:16" x14ac:dyDescent="0.2">
      <c r="A222" s="15" t="s">
        <v>666</v>
      </c>
      <c r="B222" s="15" t="s">
        <v>660</v>
      </c>
      <c r="C222" s="15" t="s">
        <v>1456</v>
      </c>
      <c r="D222" s="15" t="s">
        <v>119</v>
      </c>
      <c r="E222" s="15"/>
      <c r="F222" s="15" t="s">
        <v>116</v>
      </c>
      <c r="G222" s="15"/>
      <c r="H222" s="15">
        <v>1</v>
      </c>
      <c r="I222" s="15"/>
      <c r="J222" s="15" t="s">
        <v>107</v>
      </c>
      <c r="K222" s="15"/>
      <c r="L222" s="15" t="s">
        <v>662</v>
      </c>
      <c r="M222" s="15"/>
      <c r="N222" s="15"/>
      <c r="O222" s="15"/>
      <c r="P222" s="15"/>
    </row>
    <row r="223" spans="1:16" x14ac:dyDescent="0.2">
      <c r="A223" s="15" t="s">
        <v>667</v>
      </c>
      <c r="B223" s="15" t="s">
        <v>668</v>
      </c>
      <c r="C223" s="15" t="s">
        <v>1458</v>
      </c>
      <c r="D223" s="15" t="s">
        <v>114</v>
      </c>
      <c r="E223" s="15"/>
      <c r="F223" s="15" t="s">
        <v>116</v>
      </c>
      <c r="G223" s="15"/>
      <c r="H223" s="15">
        <v>1</v>
      </c>
      <c r="I223" s="15"/>
      <c r="J223" s="15" t="s">
        <v>107</v>
      </c>
      <c r="K223" s="15"/>
      <c r="L223" s="15" t="s">
        <v>662</v>
      </c>
      <c r="M223" s="15"/>
      <c r="N223" s="15"/>
      <c r="O223" s="15"/>
      <c r="P223" s="15"/>
    </row>
    <row r="224" spans="1:16" x14ac:dyDescent="0.2">
      <c r="A224" s="15" t="s">
        <v>671</v>
      </c>
      <c r="B224" s="15" t="s">
        <v>668</v>
      </c>
      <c r="C224" s="15" t="s">
        <v>1461</v>
      </c>
      <c r="D224" s="15" t="s">
        <v>118</v>
      </c>
      <c r="E224" s="15" t="s">
        <v>66</v>
      </c>
      <c r="F224" s="15" t="s">
        <v>116</v>
      </c>
      <c r="G224" s="15"/>
      <c r="H224" s="15">
        <v>1</v>
      </c>
      <c r="I224" s="15"/>
      <c r="J224" s="15" t="s">
        <v>107</v>
      </c>
      <c r="K224" s="15"/>
      <c r="L224" s="15" t="s">
        <v>662</v>
      </c>
      <c r="M224" s="15"/>
      <c r="N224" s="15"/>
      <c r="O224" s="15"/>
      <c r="P224" s="15"/>
    </row>
    <row r="225" spans="1:16" x14ac:dyDescent="0.2">
      <c r="A225" s="15" t="s">
        <v>672</v>
      </c>
      <c r="B225" s="15" t="s">
        <v>668</v>
      </c>
      <c r="C225" s="15" t="s">
        <v>1463</v>
      </c>
      <c r="D225" s="15" t="s">
        <v>119</v>
      </c>
      <c r="E225" s="15"/>
      <c r="F225" s="15" t="s">
        <v>116</v>
      </c>
      <c r="G225" s="15"/>
      <c r="H225" s="15">
        <v>1</v>
      </c>
      <c r="I225" s="15"/>
      <c r="J225" s="15" t="s">
        <v>107</v>
      </c>
      <c r="K225" s="15"/>
      <c r="L225" s="15" t="s">
        <v>662</v>
      </c>
      <c r="M225" s="15"/>
      <c r="N225" s="15"/>
      <c r="O225" s="15"/>
      <c r="P225" s="15"/>
    </row>
    <row r="226" spans="1:16" x14ac:dyDescent="0.2">
      <c r="A226" s="15" t="s">
        <v>673</v>
      </c>
      <c r="B226" s="15" t="s">
        <v>674</v>
      </c>
      <c r="C226" s="14" t="s">
        <v>438</v>
      </c>
      <c r="D226" s="15" t="s">
        <v>64</v>
      </c>
      <c r="E226" s="15" t="s">
        <v>66</v>
      </c>
      <c r="F226" s="15" t="s">
        <v>639</v>
      </c>
      <c r="G226" s="15"/>
      <c r="H226" s="15">
        <v>1</v>
      </c>
      <c r="I226" s="15"/>
      <c r="J226" s="15" t="s">
        <v>66</v>
      </c>
      <c r="K226" s="15"/>
      <c r="L226" s="15" t="s">
        <v>678</v>
      </c>
      <c r="M226" s="15"/>
      <c r="N226" s="15"/>
      <c r="O226" s="15"/>
      <c r="P226" s="15"/>
    </row>
    <row r="227" spans="1:16" x14ac:dyDescent="0.2">
      <c r="A227" s="15" t="s">
        <v>679</v>
      </c>
      <c r="B227" s="15" t="s">
        <v>680</v>
      </c>
      <c r="C227" s="14" t="s">
        <v>714</v>
      </c>
      <c r="D227" s="15" t="s">
        <v>64</v>
      </c>
      <c r="E227" s="15" t="s">
        <v>66</v>
      </c>
      <c r="F227" s="15" t="s">
        <v>105</v>
      </c>
      <c r="G227" s="15"/>
      <c r="H227" s="15">
        <v>1</v>
      </c>
      <c r="I227" s="15"/>
      <c r="J227" s="15" t="s">
        <v>66</v>
      </c>
      <c r="K227" s="15"/>
      <c r="L227" s="15" t="s">
        <v>682</v>
      </c>
      <c r="M227" s="15"/>
      <c r="N227" s="15"/>
      <c r="O227" s="15"/>
      <c r="P227" s="15"/>
    </row>
    <row r="228" spans="1:16" x14ac:dyDescent="0.2">
      <c r="A228" s="15" t="s">
        <v>684</v>
      </c>
      <c r="B228" s="15" t="s">
        <v>685</v>
      </c>
      <c r="C228" s="14" t="s">
        <v>719</v>
      </c>
      <c r="D228" s="15" t="s">
        <v>64</v>
      </c>
      <c r="E228" s="15" t="s">
        <v>66</v>
      </c>
      <c r="F228" s="15" t="s">
        <v>175</v>
      </c>
      <c r="G228" s="15"/>
      <c r="H228" s="15">
        <v>1</v>
      </c>
      <c r="I228" s="15"/>
      <c r="J228" s="15" t="s">
        <v>66</v>
      </c>
      <c r="K228" s="15"/>
      <c r="L228" s="15" t="s">
        <v>687</v>
      </c>
      <c r="M228" s="15"/>
      <c r="N228" s="15"/>
      <c r="O228" s="15"/>
      <c r="P228" s="15"/>
    </row>
    <row r="229" spans="1:16" x14ac:dyDescent="0.2">
      <c r="A229" s="15" t="s">
        <v>689</v>
      </c>
      <c r="B229" s="15" t="s">
        <v>690</v>
      </c>
      <c r="C229" s="14" t="s">
        <v>688</v>
      </c>
      <c r="D229" s="15" t="s">
        <v>64</v>
      </c>
      <c r="E229" s="15" t="s">
        <v>66</v>
      </c>
      <c r="F229" s="15" t="s">
        <v>639</v>
      </c>
      <c r="G229" s="15"/>
      <c r="H229" s="15">
        <v>1</v>
      </c>
      <c r="I229" s="15"/>
      <c r="J229" s="15" t="s">
        <v>66</v>
      </c>
      <c r="K229" s="15"/>
      <c r="L229" s="15" t="s">
        <v>692</v>
      </c>
      <c r="M229" s="15"/>
      <c r="N229" s="15"/>
      <c r="O229" s="15"/>
      <c r="P229" s="15"/>
    </row>
    <row r="230" spans="1:16" x14ac:dyDescent="0.2">
      <c r="A230" s="15" t="s">
        <v>693</v>
      </c>
      <c r="B230" s="15" t="s">
        <v>694</v>
      </c>
      <c r="C230" s="14" t="s">
        <v>724</v>
      </c>
      <c r="D230" s="15" t="s">
        <v>64</v>
      </c>
      <c r="E230" s="15" t="s">
        <v>66</v>
      </c>
      <c r="F230" s="15" t="s">
        <v>175</v>
      </c>
      <c r="G230" s="15"/>
      <c r="H230" s="15">
        <v>1</v>
      </c>
      <c r="I230" s="15"/>
      <c r="J230" s="15" t="s">
        <v>66</v>
      </c>
      <c r="K230" s="15"/>
      <c r="L230" s="15" t="s">
        <v>697</v>
      </c>
      <c r="M230" s="15"/>
      <c r="N230" s="15"/>
      <c r="O230" s="15"/>
      <c r="P230" s="15"/>
    </row>
    <row r="231" spans="1:16" x14ac:dyDescent="0.2">
      <c r="A231" s="15" t="s">
        <v>699</v>
      </c>
      <c r="B231" s="15" t="s">
        <v>700</v>
      </c>
      <c r="C231" s="15" t="s">
        <v>1483</v>
      </c>
      <c r="D231" s="15" t="s">
        <v>114</v>
      </c>
      <c r="E231" s="15"/>
      <c r="F231" s="15" t="s">
        <v>116</v>
      </c>
      <c r="G231" s="15"/>
      <c r="H231" s="15">
        <v>1</v>
      </c>
      <c r="I231" s="15"/>
      <c r="J231" s="15" t="s">
        <v>107</v>
      </c>
      <c r="K231" s="15"/>
      <c r="L231" s="15" t="s">
        <v>1517</v>
      </c>
      <c r="M231" s="15"/>
      <c r="N231" s="15"/>
      <c r="O231" s="15"/>
      <c r="P231" s="15"/>
    </row>
    <row r="232" spans="1:16" x14ac:dyDescent="0.2">
      <c r="A232" s="15" t="s">
        <v>704</v>
      </c>
      <c r="B232" s="15" t="s">
        <v>700</v>
      </c>
      <c r="C232" s="15" t="s">
        <v>1486</v>
      </c>
      <c r="D232" s="15" t="s">
        <v>118</v>
      </c>
      <c r="E232" s="15" t="s">
        <v>66</v>
      </c>
      <c r="F232" s="15" t="s">
        <v>116</v>
      </c>
      <c r="G232" s="15"/>
      <c r="H232" s="15">
        <v>1</v>
      </c>
      <c r="I232" s="15"/>
      <c r="J232" s="15" t="s">
        <v>107</v>
      </c>
      <c r="K232" s="15"/>
      <c r="L232" s="15" t="s">
        <v>662</v>
      </c>
      <c r="M232" s="15"/>
      <c r="N232" s="15"/>
      <c r="O232" s="15"/>
      <c r="P232" s="15"/>
    </row>
    <row r="233" spans="1:16" x14ac:dyDescent="0.2">
      <c r="A233" s="15" t="s">
        <v>705</v>
      </c>
      <c r="B233" s="15" t="s">
        <v>700</v>
      </c>
      <c r="C233" s="15" t="s">
        <v>1488</v>
      </c>
      <c r="D233" s="15" t="s">
        <v>119</v>
      </c>
      <c r="E233" s="15"/>
      <c r="F233" s="15" t="s">
        <v>116</v>
      </c>
      <c r="G233" s="15"/>
      <c r="H233" s="15">
        <v>1</v>
      </c>
      <c r="I233" s="15"/>
      <c r="J233" s="15" t="s">
        <v>107</v>
      </c>
      <c r="K233" s="15"/>
      <c r="L233" s="15" t="s">
        <v>662</v>
      </c>
      <c r="M233" s="15"/>
      <c r="N233" s="15"/>
      <c r="O233" s="15"/>
      <c r="P233" s="15"/>
    </row>
    <row r="234" spans="1:16" x14ac:dyDescent="0.2">
      <c r="A234" s="15" t="s">
        <v>706</v>
      </c>
      <c r="B234" s="15" t="s">
        <v>707</v>
      </c>
      <c r="C234" s="14" t="s">
        <v>698</v>
      </c>
      <c r="D234" s="15" t="s">
        <v>64</v>
      </c>
      <c r="E234" s="15" t="s">
        <v>66</v>
      </c>
      <c r="F234" s="15" t="s">
        <v>711</v>
      </c>
      <c r="G234" s="15"/>
      <c r="H234" s="15">
        <v>1</v>
      </c>
      <c r="I234" s="15"/>
      <c r="J234" s="15" t="s">
        <v>66</v>
      </c>
      <c r="K234" s="15"/>
      <c r="L234" s="15" t="s">
        <v>713</v>
      </c>
      <c r="M234" s="15"/>
      <c r="N234" s="15"/>
      <c r="O234" s="15"/>
      <c r="P234" s="15"/>
    </row>
    <row r="235" spans="1:16" x14ac:dyDescent="0.2">
      <c r="A235" s="15" t="s">
        <v>715</v>
      </c>
      <c r="B235" s="15" t="s">
        <v>716</v>
      </c>
      <c r="C235" s="14" t="s">
        <v>664</v>
      </c>
      <c r="D235" s="15" t="s">
        <v>64</v>
      </c>
      <c r="E235" s="15" t="s">
        <v>66</v>
      </c>
      <c r="F235" s="15" t="s">
        <v>639</v>
      </c>
      <c r="G235" s="15"/>
      <c r="H235" s="15">
        <v>1</v>
      </c>
      <c r="I235" s="15"/>
      <c r="J235" s="15" t="s">
        <v>66</v>
      </c>
      <c r="K235" s="15"/>
      <c r="L235" s="15" t="s">
        <v>718</v>
      </c>
      <c r="M235" s="15"/>
      <c r="N235" s="15"/>
      <c r="O235" s="15"/>
      <c r="P235" s="15"/>
    </row>
    <row r="236" spans="1:16" x14ac:dyDescent="0.2">
      <c r="A236" s="15" t="s">
        <v>720</v>
      </c>
      <c r="B236" s="15" t="s">
        <v>721</v>
      </c>
      <c r="C236" s="14" t="s">
        <v>670</v>
      </c>
      <c r="D236" s="15" t="s">
        <v>64</v>
      </c>
      <c r="E236" s="15" t="s">
        <v>66</v>
      </c>
      <c r="F236" s="15" t="s">
        <v>105</v>
      </c>
      <c r="G236" s="15"/>
      <c r="H236" s="15">
        <v>1</v>
      </c>
      <c r="I236" s="15"/>
      <c r="J236" s="15" t="s">
        <v>66</v>
      </c>
      <c r="K236" s="15"/>
      <c r="L236" s="15" t="s">
        <v>723</v>
      </c>
      <c r="M236" s="15"/>
      <c r="N236" s="15"/>
      <c r="O236" s="15"/>
      <c r="P236" s="15"/>
    </row>
    <row r="237" spans="1:16" x14ac:dyDescent="0.2">
      <c r="A237" s="15"/>
      <c r="B237" s="15"/>
      <c r="C237" s="15"/>
      <c r="D237" s="15"/>
      <c r="E237" s="15"/>
      <c r="F237" s="15"/>
      <c r="G237" s="15"/>
      <c r="H237" s="15"/>
      <c r="I237" s="15"/>
      <c r="J237" s="15"/>
      <c r="K237" s="15"/>
      <c r="L237" s="15"/>
      <c r="M237" s="15"/>
      <c r="N237" s="15"/>
      <c r="O237" s="15"/>
      <c r="P237"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Instructions</vt:lpstr>
      <vt:lpstr>2. Rates</vt:lpstr>
      <vt:lpstr>3. Settings</vt:lpstr>
      <vt:lpstr>4. Scope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Nabil Kayali</cp:lastModifiedBy>
  <cp:revision>0</cp:revision>
  <dcterms:created xsi:type="dcterms:W3CDTF">2026-09-23T11:59:34Z</dcterms:created>
  <dcterms:modified xsi:type="dcterms:W3CDTF">2026-10-12T21:06:28Z</dcterms:modified>
  <dc:language>en-US</dc:language>
</cp:coreProperties>
</file>