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D34D8564-CBDA-4FC5-ADDE-F5C9F9BFC5E7}" xr6:coauthVersionLast="47" xr6:coauthVersionMax="47" xr10:uidLastSave="{00000000-0000-0000-0000-000000000000}"/>
  <bookViews>
    <workbookView xWindow="2250" yWindow="225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Rates'!$A$5:$O$159</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L19" i="4" l="1"/>
  <c r="K19" i="4"/>
  <c r="I19" i="4"/>
  <c r="Z152" i="4"/>
  <c r="Z142" i="4"/>
  <c r="Z141" i="4"/>
  <c r="Z136" i="4"/>
  <c r="L135" i="4"/>
  <c r="K135" i="4"/>
  <c r="J135" i="4"/>
  <c r="I135" i="4"/>
  <c r="H135" i="4"/>
  <c r="L134" i="4"/>
  <c r="K134" i="4"/>
  <c r="J134" i="4"/>
  <c r="I134" i="4"/>
  <c r="H134" i="4"/>
  <c r="Z133" i="4"/>
  <c r="Z131" i="4"/>
  <c r="Z130" i="4"/>
  <c r="Z112" i="4"/>
  <c r="Z111" i="4"/>
  <c r="Z110" i="4"/>
  <c r="Z109" i="4"/>
  <c r="Z106" i="4"/>
  <c r="L98" i="4"/>
  <c r="K98" i="4"/>
  <c r="J98" i="4"/>
  <c r="I98" i="4"/>
  <c r="H98" i="4"/>
  <c r="Z97" i="4"/>
  <c r="Z95" i="4"/>
  <c r="Z94" i="4"/>
  <c r="Z90" i="4"/>
  <c r="Z89" i="4"/>
  <c r="Z88" i="4"/>
  <c r="Z87" i="4"/>
  <c r="Z86" i="4"/>
  <c r="Z85" i="4"/>
  <c r="L82" i="4"/>
  <c r="K82" i="4"/>
  <c r="J82" i="4"/>
  <c r="I82" i="4"/>
  <c r="H82" i="4"/>
  <c r="L81" i="4"/>
  <c r="K81" i="4"/>
  <c r="J81" i="4"/>
  <c r="I81" i="4"/>
  <c r="H81" i="4"/>
  <c r="L78" i="4"/>
  <c r="K78" i="4"/>
  <c r="J78" i="4"/>
  <c r="I78" i="4"/>
  <c r="H78" i="4"/>
  <c r="L77" i="4"/>
  <c r="K77" i="4"/>
  <c r="J77" i="4"/>
  <c r="I77" i="4"/>
  <c r="H77" i="4"/>
  <c r="L76" i="4"/>
  <c r="K76" i="4"/>
  <c r="J76" i="4"/>
  <c r="I76" i="4"/>
  <c r="H76" i="4"/>
  <c r="L75" i="4"/>
  <c r="K75" i="4"/>
  <c r="J75" i="4"/>
  <c r="I75" i="4"/>
  <c r="H75" i="4"/>
  <c r="L74" i="4"/>
  <c r="L83" i="4" s="1"/>
  <c r="K74" i="4"/>
  <c r="K84" i="4" s="1"/>
  <c r="J74" i="4"/>
  <c r="J84" i="4" s="1"/>
  <c r="I74" i="4"/>
  <c r="I84" i="4" s="1"/>
  <c r="H74" i="4"/>
  <c r="H84" i="4" s="1"/>
  <c r="Z73" i="4"/>
  <c r="L72" i="4"/>
  <c r="L80" i="4" s="1"/>
  <c r="K72" i="4"/>
  <c r="K80" i="4" s="1"/>
  <c r="J72" i="4"/>
  <c r="J80" i="4" s="1"/>
  <c r="I72" i="4"/>
  <c r="I79" i="4" s="1"/>
  <c r="H72" i="4"/>
  <c r="H79" i="4" s="1"/>
  <c r="Z71" i="4"/>
  <c r="Z62" i="4"/>
  <c r="Z56" i="4"/>
  <c r="Z55" i="4"/>
  <c r="Z54" i="4"/>
  <c r="Z53" i="4"/>
  <c r="Z50" i="4"/>
  <c r="Z48" i="4"/>
  <c r="Z47" i="4"/>
  <c r="Z45" i="4"/>
  <c r="Z44" i="4"/>
  <c r="Z43" i="4"/>
  <c r="Z41" i="4"/>
  <c r="Z40" i="4"/>
  <c r="Z38" i="4"/>
  <c r="Z37" i="4"/>
  <c r="Z36" i="4"/>
  <c r="Z34" i="4"/>
  <c r="Z32" i="4"/>
  <c r="Z31" i="4"/>
  <c r="Z29" i="4"/>
  <c r="L18" i="4"/>
  <c r="K18" i="4"/>
  <c r="I18" i="4"/>
  <c r="Z13" i="4"/>
  <c r="Z9" i="4"/>
  <c r="Z8" i="4"/>
  <c r="Z7" i="4"/>
  <c r="C78" i="6"/>
  <c r="C77" i="6"/>
  <c r="C74" i="6"/>
  <c r="C73" i="6"/>
  <c r="C72" i="6"/>
  <c r="C71" i="6"/>
  <c r="C70" i="6"/>
  <c r="C69" i="6"/>
  <c r="C68" i="6"/>
  <c r="C67" i="6"/>
  <c r="C66" i="6"/>
  <c r="C65" i="6"/>
  <c r="C64" i="6"/>
  <c r="C63" i="6"/>
  <c r="C62" i="6"/>
  <c r="I80" i="4" l="1"/>
  <c r="J79" i="4"/>
  <c r="K83" i="4"/>
  <c r="K79" i="4"/>
  <c r="J83" i="4"/>
  <c r="L84" i="4"/>
  <c r="I83" i="4"/>
  <c r="L79" i="4"/>
  <c r="H83" i="4"/>
  <c r="H80" i="4"/>
</calcChain>
</file>

<file path=xl/sharedStrings.xml><?xml version="1.0" encoding="utf-8"?>
<sst xmlns="http://schemas.openxmlformats.org/spreadsheetml/2006/main" count="2092" uniqueCount="2092">
  <si>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</si>
  <si>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</si>
  <si>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</si>
  <si>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</si>
  <si>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</si>
  <si>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</si>
  <si>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</si>
  <si>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</si>
  <si>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</si>
  <si>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</si>
  <si>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</si>
  <si>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</si>
  <si>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</si>
  <si>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</si>
  <si>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</si>
  <si>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</si>
  <si>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</si>
  <si>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</si>
  <si>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</si>
  <si>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</si>
  <si>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</si>
  <si>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</si>
  <si>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</si>
  <si>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</si>
  <si>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</si>
  <si>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</si>
  <si>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</si>
  <si>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</si>
  <si>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</si>
  <si>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</si>
  <si>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</si>
  <si>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</si>
  <si>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</si>
  <si>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</si>
  <si>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</si>
  <si>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</si>
  <si>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</si>
  <si>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</si>
  <si>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</si>
  <si>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</si>
  <si>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</si>
  <si>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</si>
  <si>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</si>
  <si>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</si>
  <si>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</si>
  <si>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</si>
  <si>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</si>
  <si>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</si>
  <si>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</si>
  <si>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</si>
  <si>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</si>
  <si>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</si>
  <si>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</si>
  <si>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</si>
  <si>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</si>
  <si>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</si>
  <si>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</si>
  <si>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</si>
  <si>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</si>
  <si>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</si>
  <si>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</si>
  <si>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</si>
  <si>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</si>
  <si>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</si>
  <si>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</si>
  <si>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</si>
  <si>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</si>
  <si>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</si>
  <si>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</si>
  <si>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</si>
  <si>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</si>
  <si>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</si>
  <si>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</si>
  <si>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</si>
  <si>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</si>
  <si>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</si>
  <si>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</si>
  <si>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</si>
  <si>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</si>
  <si>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</si>
  <si>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</si>
  <si>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</si>
  <si>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</si>
  <si>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</si>
  <si>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</si>
  <si>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</si>
  <si>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</si>
  <si>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</si>
  <si>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</si>
  <si>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</si>
  <si>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</si>
  <si>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</si>
  <si>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</si>
  <si>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</si>
  <si>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</si>
  <si>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</si>
  <si>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</si>
  <si>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</si>
  <si>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</si>
  <si>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</si>
  <si>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</si>
  <si>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</si>
  <si>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</si>
  <si>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</si>
  <si>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</si>
  <si>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</si>
  <si>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</si>
  <si>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</si>
  <si>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</si>
  <si>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</si>
  <si>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</si>
  <si>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</si>
  <si>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</si>
  <si>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</si>
  <si>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</si>
  <si>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</si>
  <si>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</si>
  <si>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</si>
  <si>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</si>
  <si>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</si>
  <si>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</si>
  <si>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</si>
  <si>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</si>
  <si>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</si>
  <si>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</si>
  <si>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</si>
  <si>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</si>
  <si>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</si>
  <si>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</si>
  <si>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</si>
  <si>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</si>
  <si>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</si>
  <si>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</si>
  <si>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</si>
  <si>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</si>
  <si>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</si>
  <si>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</si>
  <si>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</si>
  <si>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</si>
  <si>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</si>
  <si>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</si>
  <si>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</si>
  <si>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</si>
  <si>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</si>
  <si>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</si>
  <si>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</si>
  <si>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</si>
  <si>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</si>
  <si>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</si>
  <si>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</si>
  <si>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</si>
  <si>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</si>
  <si>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</si>
  <si>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</si>
  <si>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</si>
  <si>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</si>
  <si>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</si>
  <si>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</si>
  <si>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</si>
  <si>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</si>
  <si>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</si>
  <si>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</si>
  <si>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</si>
  <si>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</si>
  <si>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</si>
  <si>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</si>
  <si>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</si>
  <si>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</si>
  <si>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</si>
  <si>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</si>
  <si>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</si>
  <si>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</si>
  <si>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</si>
  <si>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</si>
  <si>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</si>
  <si>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</si>
  <si>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</si>
  <si>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</si>
  <si>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</si>
  <si>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</si>
  <si>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</si>
  <si>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</si>
  <si>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</si>
  <si>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</si>
  <si>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2.3</t>
  </si>
  <si>
    <t>S-0016-01</t>
  </si>
  <si>
    <t>S-0016</t>
  </si>
  <si>
    <t>External walls</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</si>
  <si>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</si>
  <si>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</si>
  <si>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</si>
  <si>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</si>
  <si>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</si>
  <si>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</si>
  <si>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</si>
  <si>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</si>
  <si>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</si>
  <si>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</si>
  <si>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</si>
  <si>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</si>
  <si>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</si>
  <si>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</si>
  <si>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</si>
  <si>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</si>
  <si>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</si>
  <si>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</si>
  <si>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</si>
  <si>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</si>
  <si>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</si>
  <si>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</si>
  <si>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</si>
  <si>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</si>
  <si>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</si>
  <si>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</si>
  <si>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</si>
  <si>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</si>
  <si>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</si>
  <si>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</si>
  <si>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</si>
  <si>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</si>
  <si>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</si>
  <si>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</si>
  <si>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</si>
  <si>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</si>
  <si>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</si>
  <si>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</si>
  <si>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</si>
  <si>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</si>
  <si>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</si>
  <si>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</si>
  <si>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</si>
  <si>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</si>
  <si>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</si>
  <si>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</si>
  <si>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</si>
  <si>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</si>
  <si>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</si>
  <si>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</si>
  <si>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</si>
  <si>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</si>
  <si>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</si>
  <si>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</si>
  <si>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</si>
  <si>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</si>
  <si>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</si>
  <si>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</si>
  <si>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</si>
  <si>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</si>
  <si>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</si>
  <si>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</si>
  <si>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</si>
  <si>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</si>
  <si>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</si>
  <si>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</si>
  <si>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</si>
  <si>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</si>
  <si>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</si>
  <si>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</si>
  <si>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</si>
  <si>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</si>
  <si>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</si>
  <si>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</si>
  <si>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</si>
  <si>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</si>
  <si>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</si>
  <si>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</si>
  <si>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</si>
  <si>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</si>
  <si>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</si>
  <si>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</si>
  <si>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</si>
  <si>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</si>
  <si>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</si>
  <si>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</si>
  <si>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</si>
  <si>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</si>
  <si>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</si>
  <si>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</si>
  <si>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</si>
  <si>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</si>
  <si>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</si>
  <si>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</si>
  <si>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</si>
  <si>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</si>
  <si>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</si>
  <si>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</si>
  <si>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</si>
  <si>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</si>
  <si>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</si>
  <si>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</si>
  <si>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</si>
  <si>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</si>
  <si>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</si>
  <si>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</si>
  <si>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</si>
  <si>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</si>
  <si>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</si>
  <si>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</si>
  <si>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</si>
  <si>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</si>
  <si>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</si>
  <si>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</si>
  <si>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</si>
  <si>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</si>
  <si>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</si>
  <si>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</si>
  <si>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</si>
  <si>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</si>
  <si>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</si>
  <si>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</si>
  <si>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</si>
  <si>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</si>
  <si>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</si>
  <si>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</si>
  <si>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</si>
  <si>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</si>
  <si>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</si>
  <si>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</si>
  <si>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</si>
  <si>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</si>
  <si>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</si>
  <si>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</si>
  <si>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</si>
  <si>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</si>
  <si>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</si>
  <si>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</si>
  <si>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</si>
  <si>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</si>
  <si>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</si>
  <si>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</si>
  <si>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</si>
  <si>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</si>
  <si>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</si>
  <si>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</si>
  <si>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</si>
  <si>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</si>
  <si>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</si>
  <si>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</si>
  <si>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</si>
  <si>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</si>
  <si>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</si>
  <si>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</si>
  <si>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</si>
  <si>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</si>
  <si>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</si>
  <si>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</si>
  <si>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</si>
  <si>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</si>
  <si>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</si>
  <si>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</si>
  <si>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</si>
  <si>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</si>
  <si>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</si>
  <si>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</si>
  <si>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</si>
  <si>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</si>
  <si>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</si>
  <si>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</si>
  <si>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</si>
  <si>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</si>
  <si>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</si>
  <si>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</si>
  <si>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</si>
  <si>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</si>
  <si>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</si>
  <si>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</si>
  <si>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</si>
  <si>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</si>
  <si>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</si>
  <si>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</si>
  <si>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</si>
  <si>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</si>
  <si>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</si>
  <si>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</si>
  <si>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</si>
  <si>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</si>
  <si>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</si>
  <si>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</si>
  <si>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</si>
  <si>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</si>
  <si>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</si>
  <si>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</si>
  <si>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</si>
  <si>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</si>
  <si>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</si>
  <si>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</si>
  <si>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</si>
  <si>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</si>
  <si>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</si>
  <si>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</si>
  <si>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</si>
  <si>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</si>
  <si>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</si>
  <si>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</si>
  <si>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</si>
  <si>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</si>
  <si>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</si>
  <si>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</si>
  <si>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</si>
  <si>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</si>
  <si>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</si>
  <si>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</si>
  <si>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</si>
  <si>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</si>
  <si>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</si>
  <si>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</si>
  <si>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</si>
  <si>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</si>
  <si>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</si>
  <si>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</si>
  <si>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</si>
  <si>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</si>
  <si>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</si>
  <si>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</si>
  <si>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</si>
  <si>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</si>
  <si>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</si>
  <si>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</si>
  <si>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</si>
  <si>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</si>
  <si>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</si>
  <si>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</si>
  <si>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</si>
  <si>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</si>
  <si>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</si>
  <si>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</si>
  <si>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</si>
  <si>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</si>
  <si>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</si>
  <si>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</si>
  <si>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</si>
  <si>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</si>
  <si>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</si>
  <si>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</si>
  <si>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</si>
  <si>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</si>
  <si>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</si>
  <si>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</si>
  <si>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</si>
  <si>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</si>
  <si>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</si>
  <si>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</si>
  <si>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</si>
  <si>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</si>
  <si>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</si>
  <si>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</si>
  <si>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</si>
  <si>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</si>
  <si>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</si>
  <si>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</si>
  <si>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</si>
  <si>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</si>
  <si>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</si>
  <si>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</si>
  <si>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</si>
  <si>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</si>
  <si>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</si>
  <si>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</si>
  <si>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</si>
  <si>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</si>
  <si>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</si>
  <si>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</si>
  <si>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</si>
  <si>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</si>
  <si>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</si>
  <si>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</si>
  <si>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</si>
  <si>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</si>
  <si>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</si>
  <si>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</si>
  <si>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</si>
  <si>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</si>
  <si>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</si>
  <si>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</si>
  <si>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</si>
  <si>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</si>
  <si>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</si>
  <si>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</si>
  <si>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</si>
  <si>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</si>
  <si>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</si>
  <si>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</si>
  <si>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</si>
  <si>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</si>
  <si>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</si>
  <si>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</si>
  <si>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</si>
  <si>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</si>
  <si>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</si>
  <si>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</si>
  <si>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</si>
  <si>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</si>
  <si>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</si>
  <si>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</si>
  <si>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</si>
  <si>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</si>
  <si>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</si>
  <si>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</si>
  <si>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</si>
  <si>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</si>
  <si>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</si>
  <si>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</si>
  <si>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</si>
  <si>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</si>
  <si>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</si>
  <si>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</si>
  <si>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</si>
  <si>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</si>
  <si>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</si>
  <si>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</si>
  <si>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</si>
  <si>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</si>
  <si>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</si>
  <si>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</si>
  <si>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</si>
  <si>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</si>
  <si>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</si>
  <si>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</si>
  <si>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</si>
  <si>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</si>
  <si>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</si>
  <si>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</si>
  <si>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</si>
  <si>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</si>
  <si>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</si>
  <si>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</si>
  <si>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</si>
  <si>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</si>
  <si>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</si>
  <si>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</si>
  <si>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</si>
  <si>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</si>
  <si>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</si>
  <si>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</si>
  <si>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</si>
  <si>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</si>
  <si>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</si>
  <si>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</si>
  <si>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</si>
  <si>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</si>
  <si>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</si>
  <si>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</si>
  <si>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</si>
  <si>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</si>
  <si>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</si>
  <si>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</si>
  <si>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</si>
  <si>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</si>
  <si>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</si>
  <si>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</si>
  <si>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</si>
  <si>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</si>
  <si>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</si>
  <si>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</si>
  <si>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</si>
  <si>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</si>
  <si>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</si>
  <si>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</si>
  <si>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</si>
  <si>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</si>
  <si>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</si>
  <si>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</si>
  <si>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</si>
  <si>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</si>
  <si>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</si>
  <si>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</si>
  <si>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</si>
  <si>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</si>
  <si>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</si>
  <si>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</si>
  <si>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</si>
  <si>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</si>
  <si>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</si>
  <si>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</si>
  <si>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</si>
  <si>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</si>
  <si>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</si>
  <si>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</si>
  <si>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</si>
  <si>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</si>
  <si>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</si>
  <si>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</si>
  <si>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</si>
  <si>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</si>
  <si>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</si>
  <si>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</si>
  <si>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</si>
  <si>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</si>
  <si>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</si>
  <si>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</si>
  <si>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</si>
  <si>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</si>
  <si>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</si>
  <si>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</si>
  <si>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</si>
  <si>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</si>
  <si>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</si>
  <si>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</si>
  <si>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</si>
  <si>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</si>
  <si>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</si>
  <si>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</si>
  <si>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</si>
  <si>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</si>
  <si>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</si>
  <si>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</si>
  <si>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</si>
  <si>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</si>
  <si>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</si>
  <si>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</si>
  <si>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</si>
  <si>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</si>
  <si>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</si>
  <si>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</si>
  <si>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</si>
  <si>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</si>
  <si>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</si>
  <si>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</si>
  <si>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</si>
  <si>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</si>
  <si>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</si>
  <si>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</si>
  <si>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</si>
  <si>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</si>
  <si>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</si>
  <si>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</si>
  <si>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</si>
  <si>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</si>
  <si>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</si>
  <si>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</si>
  <si>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</si>
  <si>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</si>
  <si>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</si>
  <si>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</si>
  <si>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</si>
  <si>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</si>
  <si>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</si>
  <si>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</si>
  <si>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</si>
  <si>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</si>
  <si>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</si>
  <si>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</si>
  <si>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</si>
  <si>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</si>
  <si>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</si>
  <si>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</si>
  <si>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</si>
  <si>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</si>
  <si>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</si>
  <si>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</si>
  <si>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</si>
  <si>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</si>
  <si>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</si>
  <si>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</si>
  <si>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</si>
  <si>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</si>
  <si>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</si>
  <si>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</si>
  <si>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</si>
  <si>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</si>
  <si>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</si>
  <si>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</si>
  <si>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</si>
  <si>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</si>
  <si>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</si>
  <si>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</si>
  <si>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</si>
  <si>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</si>
  <si>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</si>
  <si>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</si>
  <si>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</si>
  <si>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</si>
  <si>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</si>
  <si>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</si>
  <si>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</si>
  <si>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</si>
  <si>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</si>
  <si>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</si>
  <si>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</si>
  <si>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</si>
  <si>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</si>
  <si>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</si>
  <si>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</si>
  <si>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</si>
  <si>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</si>
  <si>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</si>
  <si>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</si>
  <si>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</si>
  <si>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</si>
  <si>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</si>
  <si>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</si>
  <si>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</si>
  <si>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</si>
  <si>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</si>
  <si>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</si>
  <si>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</si>
  <si>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</si>
  <si>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</si>
  <si>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</si>
  <si>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</si>
  <si>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</si>
  <si>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</si>
  <si>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</si>
  <si>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</si>
  <si>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</si>
  <si>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</si>
  <si>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</si>
  <si>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</si>
  <si>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</si>
  <si>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</si>
  <si>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</si>
  <si>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</si>
  <si>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</si>
  <si>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</si>
  <si>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</si>
  <si>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</si>
  <si>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</si>
  <si>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</si>
  <si>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</si>
  <si>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</si>
  <si>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</si>
  <si>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</si>
  <si>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</si>
  <si>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</si>
  <si>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</si>
  <si>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</si>
  <si>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</si>
  <si>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</si>
  <si>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</si>
  <si>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</si>
  <si>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</si>
  <si>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</si>
  <si>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</si>
  <si>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</si>
  <si>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</si>
  <si>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</si>
  <si>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</si>
  <si>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</si>
  <si>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</si>
  <si>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</si>
  <si>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</si>
  <si>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</si>
  <si>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</si>
  <si>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</si>
  <si>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</si>
  <si>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</si>
  <si>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</si>
  <si>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</si>
  <si>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</si>
  <si>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</si>
  <si>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</si>
  <si>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</si>
  <si>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</si>
  <si>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</si>
  <si>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</si>
  <si>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</si>
  <si>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</si>
  <si>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</si>
  <si>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</si>
  <si>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</si>
  <si>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</si>
  <si>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</si>
  <si>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</si>
  <si>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</si>
  <si>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</si>
  <si>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</si>
  <si>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</si>
  <si>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</si>
  <si>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</si>
  <si>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</si>
  <si>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</si>
  <si>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</si>
  <si>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</si>
  <si>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</si>
  <si>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</si>
  <si>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</si>
  <si>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</si>
  <si>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</si>
  <si>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</si>
  <si>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</si>
  <si>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</si>
  <si>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</si>
  <si>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</si>
  <si>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</si>
  <si>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</si>
  <si>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</si>
  <si>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</si>
  <si>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</si>
  <si>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</si>
  <si>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</si>
  <si>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</si>
  <si>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</si>
  <si>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</si>
  <si>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</si>
  <si>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</si>
  <si>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</si>
  <si>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</si>
  <si>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</si>
  <si>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</si>
  <si>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</si>
  <si>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</si>
  <si>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</si>
  <si>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</si>
  <si>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</si>
  <si>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</si>
  <si>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</si>
  <si>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</si>
  <si>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</si>
  <si>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</si>
  <si>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</si>
  <si>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</si>
  <si>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</si>
  <si>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</si>
  <si>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</si>
  <si>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</si>
  <si>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</si>
  <si>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</si>
  <si>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</si>
  <si>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</si>
  <si>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</si>
  <si>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</si>
  <si>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</si>
  <si>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</si>
  <si>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</si>
  <si>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</si>
  <si>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</si>
  <si>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</si>
  <si>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</si>
  <si>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</si>
  <si>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</si>
  <si>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</si>
  <si>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</si>
  <si>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</si>
  <si>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</si>
  <si>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</si>
  <si>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</si>
  <si>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</si>
  <si>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</si>
  <si>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</si>
  <si>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</si>
  <si>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</si>
  <si>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</si>
  <si>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</si>
  <si>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</si>
  <si>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</si>
  <si>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</si>
  <si>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</si>
  <si>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</si>
  <si>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</si>
  <si>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</si>
  <si>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</si>
  <si>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</si>
  <si>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</si>
  <si>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</si>
  <si>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</si>
  <si>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</si>
  <si>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</si>
  <si>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</si>
  <si>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</si>
  <si>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</si>
  <si>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</si>
  <si>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</si>
  <si>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</si>
  <si>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</si>
  <si>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</si>
  <si>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</si>
  <si>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</si>
  <si>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</si>
  <si>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</si>
  <si>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</si>
  <si>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</si>
  <si>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</si>
  <si>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</si>
  <si>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</si>
  <si>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</si>
  <si>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</si>
  <si>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</si>
  <si>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</si>
  <si>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</si>
  <si>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</si>
  <si>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</si>
  <si>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</si>
  <si>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</si>
  <si>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</si>
  <si>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</si>
  <si>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</si>
  <si>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</si>
  <si>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</si>
  <si>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</si>
  <si>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</si>
  <si>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</si>
  <si>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</si>
  <si>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</si>
  <si>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</si>
  <si>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</si>
  <si>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</si>
  <si>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</si>
  <si>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</si>
  <si>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</si>
  <si>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</si>
  <si>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</si>
  <si>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</si>
  <si>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</si>
  <si>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</si>
  <si>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</si>
  <si>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</si>
  <si>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</si>
  <si>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</si>
  <si>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</si>
  <si>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</si>
  <si>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</si>
  <si>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</si>
  <si>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</si>
  <si>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</si>
  <si>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</si>
  <si>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</si>
  <si>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</si>
  <si>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</si>
  <si>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</si>
  <si>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</si>
  <si>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</si>
  <si>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</si>
  <si>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</si>
  <si>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</si>
  <si>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</si>
  <si>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</si>
  <si>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</si>
  <si>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</si>
  <si>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</si>
  <si>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</si>
  <si>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</si>
  <si>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</si>
  <si>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</si>
  <si>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</si>
  <si>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</si>
  <si>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</si>
  <si>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</si>
  <si>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</si>
  <si>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</si>
  <si>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</si>
  <si>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</si>
  <si>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</si>
  <si>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</si>
  <si>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</si>
  <si>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</si>
  <si>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</si>
  <si>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</si>
  <si>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</si>
  <si>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</si>
  <si>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</si>
  <si>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</si>
  <si>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</si>
  <si>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</si>
  <si>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</si>
  <si>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</si>
  <si>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</si>
  <si>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</si>
  <si>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</si>
  <si>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</si>
  <si>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</si>
  <si>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</si>
  <si>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</si>
  <si>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</si>
  <si>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</si>
  <si>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</si>
  <si>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</si>
  <si>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</si>
  <si>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</si>
  <si>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</si>
  <si>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</si>
  <si>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</si>
  <si>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</si>
  <si>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</si>
  <si>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</si>
  <si>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</si>
  <si>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</si>
  <si>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</si>
  <si>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</si>
  <si>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</si>
  <si>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</si>
  <si>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</si>
  <si>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</si>
  <si>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</si>
  <si>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</si>
  <si>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</si>
  <si>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</si>
  <si>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</si>
  <si>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</si>
  <si>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</si>
  <si>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</si>
  <si>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</si>
  <si>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</si>
  <si>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</si>
  <si>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</si>
  <si>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</si>
  <si>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</si>
  <si>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</si>
  <si>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</si>
  <si>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</si>
  <si>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</si>
  <si>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</si>
  <si>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</si>
  <si>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</si>
  <si>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</si>
  <si>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</si>
  <si>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</si>
  <si>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</si>
  <si>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</si>
  <si>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</si>
  <si>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</si>
  <si>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</si>
  <si>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</si>
  <si>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</si>
  <si>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</si>
  <si>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</si>
  <si>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</si>
  <si>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</si>
  <si>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</si>
  <si>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</si>
  <si>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</si>
  <si>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</si>
  <si>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</si>
  <si>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</si>
  <si>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</si>
  <si>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</si>
  <si>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</si>
  <si>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</si>
  <si>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</si>
  <si>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</si>
  <si>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</si>
  <si>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</si>
  <si>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</si>
  <si>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</si>
  <si>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</si>
  <si>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</si>
  <si>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</si>
  <si>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</si>
  <si>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</si>
  <si>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</si>
  <si>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</si>
  <si>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</si>
  <si>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</si>
  <si>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</si>
  <si>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</si>
  <si>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</si>
  <si>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</si>
  <si>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</si>
  <si>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</si>
  <si>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</si>
  <si>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</si>
  <si>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</si>
  <si>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</si>
  <si>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</si>
  <si>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</si>
  <si>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</si>
  <si>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</si>
  <si>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</si>
  <si>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</si>
  <si>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</si>
  <si>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</si>
  <si>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</si>
  <si>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</si>
  <si>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</si>
  <si>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</si>
  <si>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</si>
  <si>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</si>
  <si>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</si>
  <si>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</si>
  <si>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</si>
  <si>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</si>
  <si>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</si>
  <si>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</si>
  <si>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</si>
  <si>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</si>
  <si>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</si>
  <si>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</si>
  <si>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</si>
  <si>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</si>
  <si>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</si>
  <si>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</si>
  <si>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</si>
  <si>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</si>
  <si>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</si>
  <si>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</si>
  <si>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</si>
  <si>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</si>
  <si>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</si>
  <si>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</si>
  <si>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</si>
  <si>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</si>
  <si>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</si>
  <si>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</si>
  <si>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</si>
  <si>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</si>
  <si>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</si>
  <si>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</si>
  <si>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</si>
  <si>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</si>
  <si>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</si>
  <si>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</si>
  <si>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</si>
  <si>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</si>
  <si>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</si>
  <si>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</si>
  <si>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</si>
  <si>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</si>
  <si>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</si>
  <si>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</si>
  <si>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</si>
  <si>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</si>
  <si>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</si>
  <si>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</si>
  <si>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</si>
  <si>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</si>
  <si>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</si>
  <si>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</si>
  <si>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</si>
  <si>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</si>
  <si>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</si>
  <si>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</si>
  <si>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</si>
  <si>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</si>
  <si>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</si>
  <si>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</si>
  <si>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</si>
  <si>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</si>
  <si>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</si>
  <si>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</si>
  <si>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</si>
  <si>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</si>
  <si>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</si>
  <si>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</si>
  <si>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</si>
  <si>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</si>
  <si>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</si>
  <si>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</si>
  <si>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</si>
  <si>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</si>
  <si>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</si>
  <si>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</si>
  <si>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</si>
  <si>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</si>
  <si>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</si>
  <si>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</si>
  <si>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</si>
  <si>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</si>
  <si>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</si>
  <si>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</si>
  <si>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</si>
  <si>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</si>
  <si>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</si>
  <si>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</si>
  <si>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</si>
  <si>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</si>
  <si>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</si>
  <si>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</si>
  <si>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</si>
  <si>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</si>
  <si>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</si>
  <si>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</si>
  <si>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</si>
  <si>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</si>
  <si>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</si>
  <si>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</si>
  <si>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</si>
  <si>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</si>
  <si>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</si>
  <si>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</si>
  <si>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</si>
  <si>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</si>
  <si>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</si>
  <si>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</si>
  <si>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</si>
  <si>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</si>
  <si>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</si>
  <si>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</si>
  <si>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</si>
  <si>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</si>
  <si>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</si>
  <si>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</si>
  <si>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</si>
  <si>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</si>
  <si>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</si>
  <si>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</si>
  <si>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</si>
  <si>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</si>
  <si>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</si>
  <si>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</si>
  <si>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</si>
  <si>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</si>
  <si>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</si>
  <si>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</si>
  <si>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</si>
  <si>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</si>
  <si>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</si>
  <si>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</si>
  <si>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</si>
  <si>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</si>
  <si>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</si>
  <si>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</si>
  <si>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</si>
  <si>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</si>
  <si>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</si>
  <si>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</si>
  <si>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</si>
  <si>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</si>
  <si>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</si>
  <si>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</si>
  <si>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</si>
  <si>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</si>
  <si>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</si>
  <si>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</si>
  <si>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</si>
  <si>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</si>
  <si>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</si>
  <si>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</si>
  <si>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</si>
  <si>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</si>
  <si>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</si>
  <si>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</si>
  <si>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</si>
  <si>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</si>
  <si>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</si>
  <si>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</si>
  <si>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</si>
  <si>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</si>
  <si>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</si>
  <si>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</si>
  <si>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</si>
  <si>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</si>
  <si>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</si>
  <si>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</si>
  <si>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</si>
  <si>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</si>
  <si>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</si>
  <si>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</si>
  <si>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</si>
  <si>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</si>
  <si>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</si>
  <si>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</si>
  <si>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</si>
  <si>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</si>
  <si>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</si>
  <si>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</si>
  <si>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</si>
  <si>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</si>
  <si>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</si>
  <si>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</si>
  <si>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</si>
  <si>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</si>
  <si>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</si>
  <si>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</si>
  <si>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</si>
  <si>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</si>
  <si>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</si>
  <si>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</si>
  <si>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</si>
  <si>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</si>
  <si>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</si>
  <si>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</si>
  <si>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</si>
  <si>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</si>
  <si>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</si>
  <si>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</si>
  <si>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</si>
  <si>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</si>
  <si>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</si>
  <si>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</si>
  <si>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</si>
  <si>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</si>
  <si>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</si>
  <si>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</si>
  <si>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</si>
  <si>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</si>
  <si>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</si>
  <si>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</si>
  <si>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</si>
  <si>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</si>
  <si>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</si>
  <si>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</si>
  <si>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</si>
  <si>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</si>
  <si>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</si>
  <si>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</si>
  <si>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</si>
  <si>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</si>
  <si>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</si>
  <si>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</si>
  <si>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</si>
  <si>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</si>
  <si>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</si>
  <si>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</si>
  <si>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</si>
  <si>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</si>
  <si>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</si>
  <si>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</si>
  <si>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</si>
  <si>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</si>
  <si>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</si>
  <si>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</si>
  <si>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</si>
  <si>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</si>
  <si>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</si>
  <si>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</si>
  <si>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</si>
  <si>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</si>
  <si>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</si>
  <si>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</si>
  <si>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</si>
  <si>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</si>
  <si>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</si>
  <si>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</si>
  <si>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</si>
  <si>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</si>
  <si>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</si>
  <si>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</si>
  <si>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</si>
  <si>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</si>
  <si>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</si>
  <si>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</si>
  <si>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</si>
  <si>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</si>
  <si>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</si>
  <si>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</si>
  <si>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</si>
  <si>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</si>
  <si>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</si>
  <si>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</si>
  <si>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</si>
  <si>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</si>
  <si>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</si>
  <si>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</si>
  <si>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</si>
  <si>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</si>
  <si>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</si>
  <si>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</si>
  <si>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</si>
  <si>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</si>
  <si>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</si>
  <si>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</si>
  <si>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</si>
  <si>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</si>
  <si>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</si>
  <si>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</si>
  <si>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</si>
  <si>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</si>
  <si>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</si>
  <si>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</si>
  <si>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</si>
  <si>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</si>
  <si>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</si>
  <si>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</si>
  <si>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</si>
  <si>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</si>
  <si>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</si>
  <si>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</si>
  <si>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</si>
  <si>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</si>
  <si>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</si>
  <si>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</si>
  <si>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</si>
  <si>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</si>
  <si>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</si>
  <si>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</si>
  <si>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</si>
  <si>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</si>
  <si>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</si>
  <si>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</si>
  <si>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</si>
  <si>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</si>
  <si>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</si>
  <si>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</si>
  <si>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</si>
  <si>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</si>
  <si>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</si>
  <si>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</si>
  <si>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</si>
  <si>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</si>
  <si>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</si>
  <si>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</si>
  <si>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</si>
  <si>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</si>
  <si>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</si>
  <si>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</si>
  <si>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</si>
  <si>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</si>
  <si>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</si>
  <si>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</si>
  <si>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</si>
  <si>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</si>
  <si>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</si>
  <si>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</si>
  <si>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</si>
  <si>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</si>
  <si>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</si>
  <si>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</si>
  <si>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</si>
  <si>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</si>
  <si>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</si>
  <si>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</si>
  <si>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</si>
  <si>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</si>
  <si>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</si>
  <si>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</si>
  <si>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</si>
  <si>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</si>
  <si>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</si>
  <si>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</si>
  <si>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</si>
  <si>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</si>
  <si>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</si>
  <si>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</si>
  <si>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</si>
  <si>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</si>
  <si>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</si>
  <si>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</si>
  <si>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</si>
  <si>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</si>
  <si>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</si>
  <si>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</si>
  <si>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</si>
  <si>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</si>
  <si>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</si>
  <si>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</si>
  <si>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</si>
  <si>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</si>
  <si>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</si>
  <si>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</si>
  <si>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</si>
  <si>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</si>
  <si>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</si>
  <si>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</si>
  <si>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</si>
  <si>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</si>
  <si>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</si>
  <si>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</si>
  <si>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</si>
  <si>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</si>
  <si>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</si>
  <si>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</si>
  <si>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</si>
  <si>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</si>
  <si>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</si>
  <si>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</si>
  <si>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</si>
  <si>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</si>
  <si>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</si>
  <si>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</si>
  <si>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</si>
  <si>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</si>
  <si>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</si>
  <si>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</si>
  <si>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</si>
  <si>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</si>
  <si>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</si>
  <si>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</si>
  <si>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</si>
  <si>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</si>
  <si>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</si>
  <si>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</si>
  <si>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</si>
  <si>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</si>
  <si>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</si>
  <si>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</si>
  <si>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</si>
  <si>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</si>
  <si>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</si>
  <si>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</si>
  <si>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</si>
  <si>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</si>
  <si>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</si>
  <si>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</si>
  <si>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</si>
  <si>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</si>
  <si>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</si>
  <si>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</si>
  <si>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</si>
  <si>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</si>
  <si>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</si>
  <si>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</si>
  <si>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</si>
  <si>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</si>
  <si>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</si>
  <si>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</si>
  <si>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</si>
  <si>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</si>
  <si>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</si>
  <si>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</si>
  <si>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</si>
  <si>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</si>
  <si>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</si>
  <si>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</si>
  <si>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</si>
  <si>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</si>
  <si>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</si>
  <si>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</si>
  <si>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</si>
  <si>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</si>
  <si>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</si>
  <si>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</si>
  <si>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</si>
  <si>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</si>
  <si>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</si>
  <si>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</si>
  <si>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</si>
  <si>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</si>
  <si>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</si>
  <si>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</si>
  <si>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</si>
  <si>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</si>
  <si>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</si>
  <si>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</si>
  <si>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</si>
  <si>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</si>
  <si>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</si>
  <si>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</si>
  <si>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</si>
  <si>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</si>
  <si>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</si>
  <si>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</si>
  <si>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</si>
  <si>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</si>
  <si>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</si>
  <si>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</si>
  <si>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</si>
  <si>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</si>
  <si>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</si>
  <si>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</si>
  <si>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</si>
  <si>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</si>
  <si>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</si>
  <si>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</si>
  <si>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</si>
  <si>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</si>
  <si>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</si>
  <si>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</si>
  <si>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</si>
  <si>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</si>
  <si>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</si>
  <si>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</si>
  <si>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</si>
  <si>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</si>
  <si>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</si>
  <si>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</si>
  <si>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</si>
  <si>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</si>
  <si>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</si>
  <si>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</si>
  <si>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</si>
  <si>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</si>
  <si>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</si>
  <si>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</si>
  <si>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</si>
  <si>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</si>
  <si>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</si>
  <si>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</si>
  <si>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</si>
  <si>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</si>
  <si>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</si>
  <si>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</si>
  <si>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</si>
  <si>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</si>
  <si>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</si>
  <si>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</si>
  <si>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</si>
  <si>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</si>
  <si>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</si>
  <si>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</si>
  <si>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</si>
  <si>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</si>
  <si>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</si>
  <si>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</si>
  <si>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</si>
  <si>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</si>
  <si>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</si>
  <si>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</si>
  <si>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</si>
  <si>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</si>
  <si>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</si>
  <si>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</si>
  <si>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</si>
  <si>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</si>
  <si>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</si>
  <si>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</si>
  <si>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</si>
  <si>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</si>
  <si>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</si>
  <si>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</si>
  <si>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</si>
  <si>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</si>
  <si>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</si>
  <si>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</si>
  <si>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</si>
  <si>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</si>
  <si>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</si>
  <si>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</si>
  <si>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</si>
  <si>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</si>
  <si>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</si>
  <si>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</si>
  <si>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</si>
  <si>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</si>
  <si>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</si>
  <si>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</si>
  <si>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</si>
  <si>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</si>
  <si>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</si>
  <si>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</si>
  <si>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</si>
  <si>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</si>
  <si>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</si>
  <si>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</si>
  <si>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</si>
  <si>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</si>
  <si>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</si>
  <si>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</si>
  <si>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</si>
  <si>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</si>
  <si>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</si>
  <si>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</si>
  <si>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</si>
  <si>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 xml:space="preserve">Tender – Project A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</si>
  <si>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</si>
  <si>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</si>
  <si>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</si>
  <si>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</si>
  <si>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</si>
  <si>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</si>
  <si>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</si>
  <si>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</si>
  <si>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</si>
  <si>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</si>
  <si>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</si>
  <si>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</si>
  <si>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</si>
  <si>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</si>
  <si>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</si>
  <si>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</si>
  <si>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</si>
  <si>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</si>
  <si>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</si>
  <si>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</si>
  <si>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</si>
  <si>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
  </si>
  <si>
    <t/>
  </si>
  <si>
    <t>2.5a</t>
  </si>
  <si>
    <t>Full roof</t>
  </si>
  <si>
    <t>3.3a</t>
  </si>
  <si>
    <t>5.3a</t>
  </si>
  <si>
    <t>Full system</t>
  </si>
  <si>
    <t>5.14a</t>
  </si>
  <si>
    <t>5.26a</t>
  </si>
  <si>
    <t/>
  </si>
  <si>
    <t/>
  </si>
  <si>
    <t/>
  </si>
  <si>
    <t/>
  </si>
  <si>
    <t/>
  </si>
  <si>
    <t/>
  </si>
  <si>
    <t xml:space="preserve">Project A tender (29 Sep 2026): builder's work for the rewire of 49 flats and a house, median of 4 bids ÷ 0.94 = £27/m²; Basic and High scaled from 5.26a; New build columns = 5.26a</t>
  </si>
  <si>
    <t xml:space="preserve">Project A tender (29 Sep 2026): data, telephone and TV aerial per flat plus communal cabling, median of 4 bids ÷ 0.94 = £24.5/m²; Basic and High scaled from 5.14a; New build columns = 5.14a</t>
  </si>
  <si>
    <t>Scope: Extract fans only</t>
  </si>
  <si>
    <t xml:space="preserve">Project A tender (29 Sep 2026): bathroom and kitchen extract fans, ducting and electrical connections, median of 4 bids ÷ 0.94 = £18.5/m²; Basic and High scaled from 5.3a</t>
  </si>
  <si>
    <t xml:space="preserve">Project A tender (29 Sep 2026): overboard and redecorate ceilings in flats and stair cores, median of 4 bids ÷ 0.94 = £30/m²; Basic and High scaled from 3.3a; New build columns = 3.3a</t>
  </si>
  <si>
    <t xml:space="preserve">Project A tender (29 Sep 2026): latex screed, sheet vinyl and skirtings in flats and stair cores, median of 4 bids ÷ 0.94 = £51/m²; Std £50, Basic and High scaled from 3.2a; New build columns = 3.2a</t>
  </si>
  <si>
    <t>Scope: Loft insulation only</t>
  </si>
  <si>
    <t xml:space="preserve">Project A tender (29 Sep 2026): 1,099 m² of 300 mm quilt incl. removing old insulation, median of 4 bids ÷ 0.94 = £32/m²</t>
  </si>
  <si>
    <t>Scope: Full roof</t>
  </si>
  <si>
    <t>Scope: Full system</t>
  </si>
  <si>
    <t xml:space="preserve">v4.5 0.5. No source recorded in v4.5 · Sep 2026: rates from the Project A tender returns (see 'Tender check' on '2. Rates')</t>
  </si>
  <si>
    <t xml:space="preserve">v4.5 4.2-RES. No source recorded in v4.5 · Sep 2026: rates from the Project A tender returns (see 'Tender check' on '2. Rates')</t>
  </si>
  <si>
    <t xml:space="preserve">v4.5 4.3. No source recorded in v4.5 · Sep 2026: rates from the Project A tender returns (see 'Tender check' on '2. Rates')</t>
  </si>
  <si>
    <t xml:space="preserve">v4.5 5.7 switchgear + 5.8 wiring (no sub-distribution row for residential in v4.5) · Sep 2026: rates from the Project A tender returns (see 'Tender check' on '2. Rates')</t>
  </si>
  <si>
    <t xml:space="preserve">Project A tender, Sep 2026: 50 dwellings on 3,306 m², one bathroom each</t>
  </si>
  <si>
    <t>Tender check</t>
  </si>
  <si>
    <t/>
  </si>
  <si>
    <t>v5.7 — 30 Sept 2026</t>
  </si>
  <si>
    <t/>
  </si>
  <si>
    <t>v5.8 — 1 Oct 2026</t>
  </si>
  <si>
    <t/>
  </si>
  <si>
    <t/>
  </si>
  <si>
    <t/>
  </si>
  <si>
    <t/>
  </si>
  <si>
    <t/>
  </si>
  <si>
    <t/>
  </si>
  <si>
    <t/>
  </si>
  <si>
    <t/>
  </si>
  <si>
    <t>v5.9 — 2 Oct 2026</t>
  </si>
  <si>
    <t/>
  </si>
  <si>
    <t/>
  </si>
  <si>
    <t/>
  </si>
  <si>
    <t/>
  </si>
  <si>
    <t/>
  </si>
  <si>
    <t/>
  </si>
  <si>
    <t/>
  </si>
  <si>
    <t/>
  </si>
  <si>
    <t/>
  </si>
  <si>
    <t/>
  </si>
  <si>
    <t/>
  </si>
  <si>
    <t/>
  </si>
  <si>
    <t/>
  </si>
  <si>
    <t/>
  </si>
  <si>
    <t/>
  </si>
  <si>
    <t/>
  </si>
  <si>
    <t/>
  </si>
  <si>
    <t/>
  </si>
  <si>
    <t/>
  </si>
  <si>
    <t/>
  </si>
  <si>
    <t/>
  </si>
  <si>
    <t/>
  </si>
  <si>
    <t/>
  </si>
  <si>
    <t/>
  </si>
  <si>
    <t/>
  </si>
  <si>
    <t>v5.10 — 3 Oct 2026</t>
  </si>
  <si>
    <t/>
  </si>
  <si>
    <t/>
  </si>
  <si>
    <t/>
  </si>
  <si>
    <t/>
  </si>
  <si>
    <t/>
  </si>
  <si>
    <t/>
  </si>
  <si>
    <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</si>
  <si>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</si>
  <si>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</si>
  <si>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</si>
  <si>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</si>
  <si>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</si>
  <si>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</si>
  <si>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</si>
  <si>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
  </si>
  <si>
    <t>v5.19 — 9 Oct 2026</t>
  </si>
  <si>
    <t>Wording only, no figure changed: ▶ risk_allowance label 'ageing M&amp;E, being replaced' → 'ageing M&amp;E being replaced' (it read as two items in the report).</t>
  </si>
  <si>
    <t>v5.18 — 8 Oct 2026</t>
  </si>
  <si>
    <t xml:space="preserve">Professional fees by procurement route: new ▶ route_fees on '3. Settings'. Design and build: client fees −3 points and contractor's design 2% of construction (Project D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</si>
  <si>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</si>
  <si>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</si>
  <si>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</si>
  <si>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</si>
  <si>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</si>
  <si>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</si>
  <si>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</si>
  <si>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</si>
  <si>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</si>
  <si>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</si>
  <si>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</si>
  <si>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 xml:space="preserve">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Project A tender) so it does not follow 5.2a. Changed rows' Source = 'Your figure'.</t>
  </si>
  <si>
    <t>v5.11 — 4 Oct 2026</t>
  </si>
  <si>
    <t/>
  </si>
  <si>
    <t/>
  </si>
  <si>
    <t/>
  </si>
  <si>
    <t/>
  </si>
  <si>
    <t/>
  </si>
  <si>
    <t/>
  </si>
  <si>
    <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</si>
  <si>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</si>
  <si>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</si>
  <si>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</si>
  <si>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 xml:space="preserve">Keep. Matches the cost consultant pre-tender allowance (£24.5); one low tender (£8) is not enough to cut it.</t>
  </si>
  <si>
    <t xml:space="preserve">Lower. Project C £73 on simple 2-storey masonry; £100 leaves room for framed or taller buildings.</t>
  </si>
  <si>
    <t xml:space="preserve">Keep. Project A, Project D, Project F and Project H all £49–55. Project E and Project G are tiny jobs.</t>
  </si>
  <si>
    <t>Keep. One water-main job (£36); diversions are too site-specific to move the rate.</t>
  </si>
  <si>
    <t xml:space="preserve">Raise. Project B £182 per m² footprint. Project D metal over-roof £517 is a High case.</t>
  </si>
  <si>
    <t xml:space="preserve">Keep. Project A tender.</t>
  </si>
  <si>
    <t xml:space="preserve">Raise. Project B part render £48; Project H full envelope upgrade £171 (cladding, insulated linings).</t>
  </si>
  <si>
    <t xml:space="preserve">Raise. Project H new windows £147; Project B triple glazing £210 (High). Project F was refinish only.</t>
  </si>
  <si>
    <t xml:space="preserve">Raise. Project H £247 (acoustic academic partitions); Project F £26 was a light shop fit-out.</t>
  </si>
  <si>
    <t xml:space="preserve">Raise. Project H £164, Project E £99; Project F £9 reused most doors.</t>
  </si>
  <si>
    <t xml:space="preserve">Keep. Most projects £3–24; Project D £96 out-turn (surveyed occupied residential) is a High case.</t>
  </si>
  <si>
    <t xml:space="preserve">Keep. Project A £72, Project D £99, Project H £39 (decoration only). Project E is toilet-area only.</t>
  </si>
  <si>
    <t xml:space="preserve">Raise slightly. Project H £95 full replacement; Project F £22 kept its floor. Project E is toilet-area only.</t>
  </si>
  <si>
    <t xml:space="preserve">Keep. Project A £51, Project D £38.</t>
  </si>
  <si>
    <t xml:space="preserve">Raise. Project H £110 new suspended ceilings; Project F £21 painted soffits only.</t>
  </si>
  <si>
    <t xml:space="preserve">Keep. Project A £30; Project D £70 was full replacement (High case).</t>
  </si>
  <si>
    <t>Keep as is (owner, 4 Oct 2026).</t>
  </si>
  <si>
    <t xml:space="preserve">Keep. Project A £2,563; Project D £3,869 sits between Std and High.</t>
  </si>
  <si>
    <t xml:space="preserve">Keep. Project A tender £5,296.</t>
  </si>
  <si>
    <t xml:space="preserve">Raise. Project H about £10,300 per tea point (8 assumed); your own review said £5,500.</t>
  </si>
  <si>
    <t xml:space="preserve">Keep. Project H £42, Project D £64, Project F £7.</t>
  </si>
  <si>
    <t xml:space="preserve">Raise slightly. Project H £12, Project F £16 (incl. graphics).</t>
  </si>
  <si>
    <t xml:space="preserve">Raise. Project G café servery £1,438 (bespoke stainless) = High; your own review said Std £1,000.</t>
  </si>
  <si>
    <t>Raise. CS whole heat pump M&amp;E package £224; enter as a figure, not = 5.1a × factor.</t>
  </si>
  <si>
    <t xml:space="preserve">Raise. Project H £135 incl. new LTHW pipework, radiators and pumps off district heating.</t>
  </si>
  <si>
    <t xml:space="preserve">Raise. Project H £105, Project G £124 (small café); Project D £39 and Project F £18 were partial.</t>
  </si>
  <si>
    <t xml:space="preserve">Keep. Project A £20.</t>
  </si>
  <si>
    <t xml:space="preserve">Raise. Project H MVHR £172, Project F £73, Project D out-turn £92.</t>
  </si>
  <si>
    <t xml:space="preserve">Raise slightly. Project A £18.5, Project D £28; Project E £62 is toilet-area only.</t>
  </si>
  <si>
    <t xml:space="preserve">Keep. Project H £34 and Project F £40 cooled only some rooms; no whole-building evidence.</t>
  </si>
  <si>
    <t xml:space="preserve">Raise. Project H £59 (full BMS budget); Project F £11.5; Project D £4 interfaces only.</t>
  </si>
  <si>
    <t xml:space="preserve">Keep. Project H £131, Project E £97, Project F £89. Project G £218 is one supply on a small room.</t>
  </si>
  <si>
    <t xml:space="preserve">Keep. Project A £153, Project D £158.</t>
  </si>
  <si>
    <t>Raise. Five projects £51–198 (median £84); £33 is far too low.</t>
  </si>
  <si>
    <t xml:space="preserve">Raise. Project H £44, Project D £65, Project E £77 for new systems; Project A £19 was partial.</t>
  </si>
  <si>
    <t xml:space="preserve">Raise slightly. Project A £19, Project H £34, Project G £5.</t>
  </si>
  <si>
    <t xml:space="preserve">Keep. Project A £24.5, Project D £19.</t>
  </si>
  <si>
    <t xml:space="preserve">Raise. Project H £22, Project F £58 (retail CCTV and alarm); Project D £4.5 minimal.</t>
  </si>
  <si>
    <t xml:space="preserve">Raise. Project D £112,850 for a replacement passenger lift; £40,000 is a third of that.</t>
  </si>
  <si>
    <t xml:space="preserve">Lower. Project B £8, Project F £3; most builder's work sits inside the M&amp;E prices.</t>
  </si>
  <si>
    <t xml:space="preserve">Keep. Project A £27 (rewire of occupied flats); Project D £11.</t>
  </si>
  <si>
    <t>Keep. CS brick remedials £48.</t>
  </si>
  <si>
    <t xml:space="preserve">Keep. Project H £54.</t>
  </si>
  <si>
    <t xml:space="preserve">Raise. Project H £35 for new internal below-ground drainage (one project).</t>
  </si>
  <si>
    <t xml:space="preserve">Raise. Project H £68 for new district heating and water mains (one project; site-specific).</t>
  </si>
  <si>
    <t xml:space="preserve">Keep. Project C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</si>
  <si>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</si>
  <si>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</si>
  <si>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</si>
  <si>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</si>
  <si>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</si>
  <si>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</si>
  <si>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</si>
  <si>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</si>
  <si>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</si>
  <si>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</si>
  <si>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</si>
  <si>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</si>
  <si>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</si>
  <si>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</si>
  <si>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</si>
  <si>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</si>
  <si>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</si>
  <si>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</si>
  <si>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</si>
  <si>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</si>
  <si>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</si>
  <si>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</si>
  <si>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</si>
  <si>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</si>
  <si>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</si>
  <si>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</si>
  <si>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</si>
  <si>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</si>
  <si>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</si>
  <si>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</si>
  <si>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</si>
  <si>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</si>
  <si>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</si>
  <si>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</si>
  <si>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</si>
  <si>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</si>
  <si>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</si>
  <si>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</si>
  <si>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</si>
  <si>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</si>
  <si>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</si>
  <si>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</si>
  <si>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</si>
  <si>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</si>
  <si>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</si>
  <si>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</si>
  <si>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</si>
  <si>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</si>
  <si>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</si>
  <si>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</si>
  <si>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</si>
  <si>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</si>
  <si>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</si>
  <si>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</si>
  <si>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</si>
  <si>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</si>
  <si>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</si>
  <si>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</si>
  <si>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</si>
  <si>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</si>
  <si>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</si>
  <si>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</si>
  <si>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</si>
  <si>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</si>
  <si>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</si>
  <si>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</si>
  <si>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</si>
  <si>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</si>
  <si>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</si>
  <si>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</si>
  <si>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</si>
  <si>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</si>
  <si>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</si>
  <si>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</si>
  <si>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</si>
  <si>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</si>
  <si>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</si>
  <si>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</si>
  <si>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</si>
  <si>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</si>
  <si>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</si>
  <si>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</si>
  <si>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</si>
  <si>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</si>
  <si>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</si>
  <si>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</si>
  <si>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</si>
  <si>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</si>
  <si>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</si>
  <si>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</si>
  <si>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</si>
  <si>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</si>
  <si>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</si>
  <si>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</si>
  <si>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</si>
  <si>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</si>
  <si>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</si>
  <si>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</si>
  <si>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</si>
  <si>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</si>
  <si>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</si>
  <si>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</si>
  <si>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</si>
  <si>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</si>
  <si>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</si>
  <si>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</si>
  <si>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</si>
  <si>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</si>
  <si>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</si>
  <si>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</si>
  <si>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</si>
  <si>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</si>
  <si>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</si>
  <si>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</si>
  <si>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</si>
  <si>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</si>
  <si>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</si>
  <si>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</si>
  <si>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</si>
  <si>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</si>
  <si>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</si>
  <si>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</si>
  <si>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</si>
  <si>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</si>
  <si>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</si>
  <si>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</si>
  <si>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</si>
  <si>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</si>
  <si>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</si>
  <si>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</si>
  <si>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</si>
  <si>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</si>
  <si>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</si>
  <si>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</si>
  <si>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</si>
  <si>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</si>
  <si>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</si>
  <si>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</si>
  <si>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</si>
  <si>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</si>
  <si>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</si>
  <si>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</si>
  <si>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</si>
  <si>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</si>
  <si>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</si>
  <si>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</si>
  <si>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</si>
  <si>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</si>
  <si>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</si>
  <si>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
  </si>
  <si>
    <t>Stage 4 is shared with the contractor during the pre-construction stage.</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</si>
  <si>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</si>
  <si>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</si>
  <si>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</si>
  <si>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</si>
  <si>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</si>
  <si>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</si>
  <si>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</si>
  <si>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</si>
  <si>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</si>
  <si>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</si>
  <si>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</si>
  <si>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</si>
  <si>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</si>
  <si>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</si>
  <si>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</si>
  <si>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</si>
  <si>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</si>
  <si>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</si>
  <si>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</si>
  <si>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</si>
  <si>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</si>
  <si>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</si>
  <si>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</si>
  <si>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</si>
  <si>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</si>
  <si>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</si>
  <si>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</si>
  <si>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</si>
  <si>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</si>
  <si>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</si>
  <si>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</si>
  <si>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</si>
  <si>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</si>
  <si>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</si>
  <si>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</si>
  <si>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</si>
  <si>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</si>
  <si>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</si>
  <si>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</si>
  <si>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</si>
  <si>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</si>
  <si>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</si>
  <si>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</si>
  <si>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</si>
  <si>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</si>
  <si>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</si>
  <si>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</si>
  <si>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</si>
  <si>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</si>
  <si>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</si>
  <si>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</si>
  <si>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</si>
  <si>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</si>
  <si>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</si>
  <si>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</si>
  <si>
    <t>risk_level_low_max</t>
  </si>
  <si>
    <t>Report risk level: risk + contingency % at or below this reads Low</t>
  </si>
  <si>
    <t>Every report (label only; never changes the estimate)</t>
  </si>
  <si>
    <t>risk_level_medium_max</t>
  </si>
  <si>
    <t>Report risk level: at or below this reads Medium; above it, High</t>
  </si>
  <si>
    <t>v5.23 — 11 Oct 2026</t>
  </si>
  <si>
    <t>No figure the estimate uses changed. The last number the app held in its code now lives here: ▶ factors gains risk_level_low_max (11) and risk_level_medium_max (13) — the risk + contingency % at or below which the report's risk level reads Low or Medium (above: High). The app now also refuses this workbook if a prelims (A) or risk (E) BASE row loses its cap, the OH&amp;P (B) rows leave a works value uncovered, or the fee (C) BASE rows leave a design stage 0–4 uncovered — it no longer has backup percentages to fall back on.</t>
  </si>
  <si>
    <t>Design &amp; Build 1 Stage</t>
  </si>
  <si>
    <t>Design &amp; Build 2 Stage</t>
  </si>
  <si>
    <t>Management Contract / Construction Management</t>
  </si>
  <si>
    <t>v5.24 — 11 Oct 2026</t>
  </si>
  <si>
    <t>No figure changed. The route names in ▶ route_fees follow the RIBA Plan of Work 2020, as the Procurement Reference v2.3 now does: 'Design and build (single stage)' is 'Design &amp; Build 1 Stage', 'Two-stage (PCSA)' is 'Design &amp; Build 2 Stage', 'Construction management' is 'Management Contract / Construction Management'. The fee adjustments are unchanged.</t>
  </si>
  <si>
    <t>1.1d</t>
  </si>
  <si>
    <t>Industrial / warehouse: pad foundations to the portal-frame columns, column casings below slab and a perimeter ground beam under the cladding</t>
  </si>
  <si>
    <t>Shed model: pads, casings, perimeter beam and dock foundations £8.80 per m² GIFA at 29,640 m²; about £13.60 at 4,000 m² (more perimeter per m²) × 1.30 = £18 (p.221)</t>
  </si>
  <si>
    <t>S-0008-04</t>
  </si>
  <si>
    <t>Industrial rate (owner, 12 Oct 2026). Pads £3.02 + casings + perimeter ground beam £3.49 at 29,640 m² (×2.7 for a 4,000 m² unit) + dock foundations £1.13 per m² GIFA × 1.30, rounded up for the smaller spans of a typical unit.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</si>
  <si>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1.1e</t>
  </si>
  <si>
    <t>Industrial / warehouse: foundation type not yet known — priced as standard pad foundations (1.1d) and raises a piling risk</t>
  </si>
  <si>
    <t>S-0008-05</t>
  </si>
  <si>
    <t>Spon's-based (approved) (= 1.1d × 1)</t>
  </si>
  <si>
    <t>Industrial rate (owner, 12 Oct 2026). Prices as 1.1d, like 1.1c prices as 1.1a.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</si>
  <si>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1.2b</t>
  </si>
  <si>
    <t>Industrial / warehouse: 200 mm reinforced ground-bearing slab to FM2 flatness with surface hardener and sealed joints, type 1 sub-base, fill to make up levels and a floor survey</t>
  </si>
  <si>
    <t>Shed model: slab £61 + fill £8.75 + type 1 £8.10 + survey £0.60 = £78.50 per m² × 1.30 = £102 (p.221)</t>
  </si>
  <si>
    <t>S-0009-02</t>
  </si>
  <si>
    <t>Industrial rate (owner, 12 Oct 2026). Ground slab £61, imported fill £8.75, type 1 £8.10, survey and inspection £0.60 per m² GIFA × 1.30 = £102.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</si>
  <si>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2.1b</t>
  </si>
  <si>
    <t>Industrial / warehouse: steel portal frame with cold-rolled roof purlins and wall rails, painted, incl. the frame of an office block inside the shed</t>
  </si>
  <si>
    <t>Shed model: portal frame £70.60 per m² GIFA × 1.30 = £92 (p.221)</t>
  </si>
  <si>
    <t>S-0011-02</t>
  </si>
  <si>
    <t>Industrial rate (owner, 12 Oct 2026). Portal frame 12 m to haunch with cold-rolled sections £69 + decoration £2 = £70.60 per m² GIFA × 1.30 = £92.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</si>
  <si>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2.5c</t>
  </si>
  <si>
    <t>Industrial / warehouse: insulated trapezoidal composite roof panels with rooflights (about 15%), valley and eaves gutters, syphonic rainwater drainage, roof access and fall-arrest system (measured on plan, = footprint)</t>
  </si>
  <si>
    <t>Shed model: roof £90.24 per m² × 1.30 = £117 (p.222)</t>
  </si>
  <si>
    <t>S-0015-03</t>
  </si>
  <si>
    <t>Industrial rate (owner, 12 Oct 2026). Roof panels £54, rooflights, gutters, flashings, syphonic drainage, access and fall arrest = £90.24 per m² roof × 1.30 = £117.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</si>
  <si>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2.6b</t>
  </si>
  <si>
    <t>Industrial / warehouse: insulated composite wall cladding (micro-rib and trapezoidal panels), parapet cladding, flashings and access equipment. Priced for a unit of about 2,000–5,000 m² with 8–10 m eaves; smaller units have more wall per m² GIFA</t>
  </si>
  <si>
    <t>Shed model: cladding about £115 per m² of wall × 1.30 = £150; a 4,000 m² unit has about 0.67 m² of wall per m² GIFA = £100 (p.222)</t>
  </si>
  <si>
    <t>S-0016-02</t>
  </si>
  <si>
    <t>Industrial rate (owner, 12 Oct 2026). Cladding, parapet, flashings and access equipment £1.10m over 9,540 m² of wall = £115 per m² of wall × 1.30 = £150; a 4,000 m² 2:1 unit with 10 m of wall (eaves and parapet) has 2,680 m² of wall = 0.67 m² per m² GIFA → £100 per m² GIFA.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</si>
  <si>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2.7b</t>
  </si>
  <si>
    <t>Industrial / warehouse: office windows, curtain walling and entrance doors, personnel escape doors and plant-room louvres. Loading and dock doors are in 4.13 Warehouse</t>
  </si>
  <si>
    <t>Shed model: office glazing £119 per m² of office (about £14 per m² GIFA at 10% offices) + escape doors and louvres £3.60 = £17.50 × 1.30 = £23 (p.222)</t>
  </si>
  <si>
    <t>S-0017-02</t>
  </si>
  <si>
    <t>Industrial rate (owner, 12 Oct 2026). Office windows and curtain walling 370 m² at £540 + entrance doors and canopy = £119 per m² of office, £14 per m² GIFA at a 10% office share; escape doors and louvres £3.60 per m² GIFA; total £17.50 × 1.30 = £23.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</si>
  <si>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1.2a</t>
  </si>
  <si>
    <t>2.1a</t>
  </si>
  <si>
    <t>2.6a</t>
  </si>
  <si>
    <t>2.7a</t>
  </si>
  <si>
    <t>v5.25 — 12 Oct 2026</t>
  </si>
  <si>
    <t>Industrial / warehouse rates (owner, 12 Oct 2026: industrial may have its own rates). IND rows beside the ALL rows on '2. Rates' and '4. Scope rules' for foundations (1.1d, 1.1e), ground floor slab (1.2b), frame (2.1b), roof (2.5c), external walls (2.6b) and windows and external doors (2.7b): New build &amp; Extension columns from the Spon's 2024 Retail Distribution Unit cost model × 1.30 (a steel portal-frame shed); Refurb &amp; Fit-out columns are the ALL row's, so industrial refurbishment is unchanged. Codes 1.2, 2.1, 2.6, 2.7 became 1.2a, 2.1a, 2.6a, 2.7a. ▶ benchmarks NB IND low 900 → 650 (a shed's works now come out at about £800 per m²). Every other building use prices as before.</t>
  </si>
  <si>
    <t>MAX(0, MIN(EXT_AREA * r.pct_soft, EXT_AREA - Q(S-0073) - Q(S-0074) * r.m2_per_car_space - Q(S-0075)))</t>
  </si>
  <si>
    <t>v5.26 — 12 Oct 2026</t>
  </si>
  <si>
    <t>Two quantity rules on '4. Scope rules' ▶ items (owner, 12 Oct 2026; no rate changed). Soft landscaping (8.10) = the smaller of external area × pct_soft and what is left after paving (8.7), car parking (8.8, × m2_per_car_space) and HGV yard (8.9) — it was 40% of the site on top of them, so a site came to more than 100%. Foul drainage (8.3) on Industrial / warehouse New build and Extension = OFFICES + PRODUCTION, like heating and water — the storage floor has no drainage points; every other building use stays on GIFA.</t>
  </si>
  <si>
    <t>v4.5 2.3. No source recorded in v4.5 v5.27: New build back to v5.11; v5.12's £380 was above Spon's new-build £181–£258.</t>
  </si>
  <si>
    <t>v4.5 2.5. No source recorded in v4.5 v5.27: New build back to v5.11; v5.12's £367 was above Spon's new-build £75–£338.</t>
  </si>
  <si>
    <t>v5.27 — 12 Oct 2026</t>
  </si>
  <si>
    <t>New build roof and external walls (owner, 12 Oct 2026). v5.12 moved each changed row's New build columns by the refurbishment evidence ratio, with no new-build evidence; roof and external walls ended up above Spon's new-build range and go back to their v5.11 rates: roof 2.5a 380/518 → 220/300 (Spon's £181–£258), external walls 2.6a 367/567 → 220/340 (Spon's £75–£338). Tested on the 30 batch-4 scenarios: residential, office and mixed-use new build come back into their expected ranges. Ceilings, lighting and fire alarm were also above Spon's but were kept: lowering them pushed healthcare, hotel, student and education projects below range. Refurb &amp; Fit-out columns unchanged; industrial has its own roof and wall rows (v5.25).</t>
  </si>
  <si>
    <t xml:space="preserve">Tender check (column Q on '2. Rates'): cleared in v5.28. The bid-level evidence behind the calibrated rates is held offline by the owner. The per-project figures stay in columns R–Y as Projects A–H (anonymised), each in the row's unit on this workbook's basis.</t>
  </si>
  <si>
    <t xml:space="preserve">Project C rate</t>
  </si>
  <si>
    <t xml:space="preserve">Column R on '2. Rates': Project C (demolition of low-rise residential blocks, 2026). The contract figure for that row, in the row's unit and on this workbook's basis: line items without the contractor's prelims and OH&amp;P, ÷ 0.94 West Midlands factor, × 1.014 to Q3 2026. Evidence only: the app does not read this column and no rate changed.</t>
  </si>
  <si>
    <t xml:space="preserve">Project D rate</t>
  </si>
  <si>
    <t xml:space="preserve">Column S on '2. Rates': Project D (large occupied student-residence refurbishment, contract 2025). Sub-contract package values without the main contractor's prelims, risk, fee and design, × 1.034 to Q3 2026, ÷ 0.94 West Midlands factor, on the measured GIA. M&amp;E rows include their share (6.5%) of the M&amp;E design, prelims and testing. 2.10 fire stopping is the forecast out-turn, because the contract held only a provisional sum. Evidence only: the app does not read this column and no rate changed.</t>
  </si>
  <si>
    <t xml:space="preserve">Columns T–Y on '2. Rates' hold the other projects' figures (anonymised) in the row's unit and on this workbook's basis, beside Project C (R) and Project D (S): T Project A — occupied residential refurbishment (tender 2026, median of 4 bids); U Project B — decarbonisation refurbishment (tender 2024, mean of 2 bids); V Project E — high-specification WC refurbishment (tender 2026, median of 6 bids; per m² over the WC area only); W Project F — retail fit-out (contract 2025); X Project G — small café servery fit-out (2025; catering kitchen per m² of servery); Y Project H — full refurbishment of an academic building (contract 2024). Each excludes the contractor's prelims, OH&amp;P and design, rebased to Q3 2026 and ÷ 0.94 West Midlands. Column Z is the average of R–Y for the row. Projects differ in scope and specification, so expect spread. Not on '2. Rates': scaffold for envelope works about £33–£42 per m² GIFA; preliminaries on these projects about 5.5–18% of works, the smallest jobs highest. Evidence only: the app does not read these columns and no rate changed. Column AA is a suggested Refurb &amp; Fit-out Standard rate for each row with evidence, and AB the reason (Raise / Lower / Keep). They are suggestions for the owner only: the app does not read them, and a rate changes only when the owner edits the rate columns.</t>
  </si>
  <si>
    <t xml:space="preserve">Tender – Project A (Sep 2026)</t>
  </si>
  <si>
    <t xml:space="preserve">From the Project A tender returns (occupied residential refurbishment, Sep 2026): median of the credible bids on this workbook's basis.</t>
  </si>
  <si>
    <t xml:space="preserve">Evidence only, no rates changed. Six more project columns on '2. Rates' beside Project C (R) and Project D (S), each a plain figure in the row's unit on this workbook's basis: T Project A (15 rows), U Project B (6), V Project E, high spec (12), W Project F (19), X Project G (7), Y Project H (27). Column Z averages R–Y on 47 rows. Row 24 explains the columns. Columns AA–AB: suggested Refurb &amp; Fit-out Std rate and the reason, on all 47 rows (25 raise, 2 lower, 20 keep).</t>
  </si>
  <si>
    <t xml:space="preserve">Evidence only, no rates changed. New column S on '2. Rates' (now 'Project D rate'), from a large occupied student-residence refurbishment (contract 2025), per row's unit: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about £33/m² GIA; main contractor's prelims about 11% of works.</t>
  </si>
  <si>
    <t xml:space="preserve">Evidence only, no rates changed. New column R on '2. Rates' (now 'Project C rate'), from a demolition contract (2026): 0.1 asbestos £8.1/m² GIFA; 0.2 demolition incl. disconnections £73/m² demolished; 0.7 service diversions £36/m² footprint; 8.10 topsoil and seed £2.1/m². Not on '2. Rates': the contractor's prelims incl. hoarding about 17% of works and OH&amp;P about 15%; about 15–16 weeks on site.</t>
  </si>
  <si>
    <t xml:space="preserve">Evidence only, no rates changed. Project B (decarbonisation refurbishment) tender returns, 2024 (mean of two bids × 1.07 ÷ 0.94), added as evidence for 2.5a roof, 2.6 external walls, 2.7 windows, 5.1b air source heat pump, 5.26a builder's work and 7.1a repairs. Suggested for the owner to decide: roof Std about £300; air source heat pump full system Std about £190; a scaffold item of about £40/m² GIFA for envelope works; triple glazing about £210/m² GIFA (an option, or High).</t>
  </si>
  <si>
    <t xml:space="preserve">Project A tender returns (occupied residential refurbishment, Sep 2026): four credible bids used (median ÷ 0.94 West Midlands factor, on the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Project A (Sep 2026)'. Confirmed and kept: wall finishes, water (visible fittings), fire alarm, data, fire stopping (Basic).</t>
  </si>
  <si>
    <t xml:space="preserve">Tender check (cleared in v5.28: the bid-level evidence is held offline by the owner. The per-project figures are in columns R–Y, Projects A–H)</t>
  </si>
  <si>
    <t xml:space="preserve">Project C rate (£ per this row's unit, this workbook's basis: demolition contract 2026, excl. the contractor's prelims and OH&amp;P, ÷ 0.94 × 1.014. Evidence only — the app does not read it)</t>
  </si>
  <si>
    <t xml:space="preserve">Project D rate (£ per this row's unit, this workbook's basis: occupied student-residence refurbishment, contract 2025 — sub-contract packages excl. the main contractor's prelims, risk, fee and design, × 1.034 ÷ 0.94. 2.10 fire stopping is the forecast out-turn. Evidence only — the app does not read it)</t>
  </si>
  <si>
    <t xml:space="preserve">Project A rate (£ per this row's unit, this workbook's basis: occupied residential refurbishment, tender Sep 2026, median of 4 bids ÷ 0.94. Evidence only — the app does not read it)</t>
  </si>
  <si>
    <t xml:space="preserve">Project B rate (£ per this row's unit, this workbook's basis: decarbonisation refurbishment, tender 2024, mean of 2 bids × 1.07 ÷ 0.94; roof per m² footprint; 5.1b is the whole M&amp;E package. Evidence only)</t>
  </si>
  <si>
    <t xml:space="preserve">Project E rate (£ per this row's unit, this workbook's basis: high-specification WC refurbishment, tender 2026, median of 6 bids × 1.007 ÷ 0.94; per m² figures over the WC area only. Evidence only)</t>
  </si>
  <si>
    <t xml:space="preserve">Project F rate (£ per this row's unit, this workbook's basis: retail fit-out, contract 2025 × 1.03 ÷ 0.94. Evidence only)</t>
  </si>
  <si>
    <t xml:space="preserve">Project G rate (£ per this row's unit, this workbook's basis: small café servery fit-out, 2025 × 1.035 ÷ 0.94; catering kitchen per m² of servery. Evidence only)</t>
  </si>
  <si>
    <t xml:space="preserve">Project H rate (£ per this row's unit, this workbook's basis: full refurbishment of an academic building, contract 2024 × 1.05 ÷ 0.94. Evidence only)</t>
  </si>
  <si>
    <t xml:space="preserve">The contractor's team does Stage 4. Contractor's design 2% (Project D, design and build: 2.1%).</t>
  </si>
  <si>
    <t xml:space="preserve">v5.28 — 16 Oct 2026</t>
  </si>
  <si>
    <t xml:space="preserve">Evidence columns anonymised. No rate, option, rule or formula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</si>
</sst>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12"/>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1725</v>
      </c>
      <c r="B1" s="17"/>
      <c r="C1" s="33"/>
    </row>
    <row r="2" spans="1:3" x14ac:dyDescent="0.2">
      <c r="A2" s="15" t="s">
        <v>1525</v>
      </c>
      <c r="B2" s="17"/>
      <c r="C2" s="33"/>
    </row>
    <row r="3" spans="1:3" x14ac:dyDescent="0.2">
      <c r="A3" s="15"/>
      <c r="B3" s="17"/>
      <c r="C3" s="33"/>
    </row>
    <row r="4" spans="1:3" x14ac:dyDescent="0.2">
      <c r="A4" s="13" t="s">
        <v>1526</v>
      </c>
      <c r="B4" s="16"/>
      <c r="C4" s="34"/>
    </row>
    <row r="5" spans="1:3" x14ac:dyDescent="0.2">
      <c r="A5" s="15" t="s">
        <v>1527</v>
      </c>
      <c r="B5" s="17" t="s">
        <v>1528</v>
      </c>
      <c r="C5" s="33"/>
    </row>
    <row r="6" spans="1:3" ht="25.5" x14ac:dyDescent="0.2">
      <c r="A6" s="15" t="s">
        <v>0</v>
      </c>
      <c r="B6" s="17" t="s">
        <v>1529</v>
      </c>
      <c r="C6" s="33"/>
    </row>
    <row r="7" spans="1:3" ht="25.5" x14ac:dyDescent="0.2">
      <c r="A7" s="15" t="s">
        <v>1530</v>
      </c>
      <c r="B7" s="17" t="s">
        <v>1531</v>
      </c>
      <c r="C7" s="33"/>
    </row>
    <row r="8" spans="1:3" x14ac:dyDescent="0.2">
      <c r="A8" s="15" t="s">
        <v>1</v>
      </c>
      <c r="B8" s="17" t="s">
        <v>1532</v>
      </c>
      <c r="C8" s="33"/>
    </row>
    <row r="9" spans="1:3" x14ac:dyDescent="0.2">
      <c r="A9" s="15"/>
      <c r="B9" s="17"/>
      <c r="C9" s="33"/>
    </row>
    <row r="10" spans="1:3" x14ac:dyDescent="0.2">
      <c r="A10" s="13" t="s">
        <v>1533</v>
      </c>
      <c r="B10" s="16"/>
      <c r="C10" s="34"/>
    </row>
    <row r="11" spans="1:3" x14ac:dyDescent="0.2">
      <c r="A11" s="15" t="s">
        <v>1534</v>
      </c>
      <c r="B11" s="17" t="s">
        <v>1535</v>
      </c>
      <c r="C11" s="33"/>
    </row>
    <row r="12" spans="1:3" ht="25.5" x14ac:dyDescent="0.2">
      <c r="A12" s="15" t="s">
        <v>1536</v>
      </c>
      <c r="B12" s="17" t="s">
        <v>1537</v>
      </c>
      <c r="C12" s="33"/>
    </row>
    <row r="13" spans="1:3" x14ac:dyDescent="0.2">
      <c r="A13" s="15" t="s">
        <v>1538</v>
      </c>
      <c r="B13" s="17" t="s">
        <v>1539</v>
      </c>
      <c r="C13" s="33"/>
    </row>
    <row r="14" spans="1:3" x14ac:dyDescent="0.2">
      <c r="A14" s="15" t="s">
        <v>1540</v>
      </c>
      <c r="B14" s="17" t="s">
        <v>1541</v>
      </c>
      <c r="C14" s="33"/>
    </row>
    <row r="15" spans="1:3" ht="25.5" x14ac:dyDescent="0.2">
      <c r="A15" s="15" t="s">
        <v>835</v>
      </c>
      <c r="B15" s="17" t="s">
        <v>1542</v>
      </c>
      <c r="C15" s="33"/>
    </row>
    <row r="16" spans="1:3" ht="25.5" x14ac:dyDescent="0.2">
      <c r="A16" s="15" t="s">
        <v>1543</v>
      </c>
      <c r="B16" s="17" t="s">
        <v>1544</v>
      </c>
      <c r="C16" s="33"/>
    </row>
    <row r="17" spans="1:3" ht="38.25" x14ac:dyDescent="0.2">
      <c r="A17" s="15" t="s">
        <v>1545</v>
      </c>
      <c r="B17" s="17" t="s">
        <v>1546</v>
      </c>
      <c r="C17" s="33"/>
    </row>
    <row r="18" spans="1:3" ht="25.5" x14ac:dyDescent="0.2">
      <c r="A18" s="15" t="s">
        <v>1547</v>
      </c>
      <c r="B18" s="17" t="s">
        <v>1548</v>
      </c>
      <c r="C18" s="33"/>
    </row>
    <row r="19" spans="1:3" x14ac:dyDescent="0.2">
      <c r="A19" s="15" t="s">
        <v>1549</v>
      </c>
      <c r="B19" s="17" t="s">
        <v>1550</v>
      </c>
      <c r="C19" s="33"/>
    </row>
    <row r="20" spans="1:3" ht="25.5" x14ac:dyDescent="0.2">
      <c r="A20" s="15" t="s">
        <v>1551</v>
      </c>
      <c r="B20" s="17" t="s">
        <v>1552</v>
      </c>
      <c r="C20" s="33"/>
    </row>
    <row r="21" spans="1:3" ht="114.75" x14ac:dyDescent="0.2">
      <c r="A21" s="15" t="s">
        <v>1673</v>
      </c>
      <c r="B21" s="17" t="s">
        <v>2067</v>
      </c>
      <c r="C21" s="33"/>
    </row>
    <row r="22" spans="1:3" ht="63.75" customHeight="1" x14ac:dyDescent="0.2">
      <c r="A22" s="15" t="s">
        <v>2068</v>
      </c>
      <c r="B22" s="17" t="s">
        <v>2069</v>
      </c>
      <c r="C22" s="33"/>
    </row>
    <row r="23" spans="1:3" ht="91.35" customHeight="1" x14ac:dyDescent="0.2">
      <c r="A23" s="15" t="s">
        <v>2070</v>
      </c>
      <c r="B23" s="17" t="s">
        <v>2071</v>
      </c>
      <c r="C23" s="33"/>
    </row>
    <row r="24" spans="1:3" ht="153" x14ac:dyDescent="0.2">
      <c r="A24" s="15" t="s">
        <v>1726</v>
      </c>
      <c r="B24" s="17" t="s">
        <v>2072</v>
      </c>
    </row>
    <row r="25" spans="1:3" x14ac:dyDescent="0.2">
      <c r="A25" s="13" t="s">
        <v>1553</v>
      </c>
      <c r="B25" s="16"/>
      <c r="C25" s="34"/>
    </row>
    <row r="26" spans="1:3" x14ac:dyDescent="0.2">
      <c r="A26" s="15" t="s">
        <v>1064</v>
      </c>
      <c r="B26" s="17" t="s">
        <v>1554</v>
      </c>
      <c r="C26" s="33"/>
    </row>
    <row r="27" spans="1:3" x14ac:dyDescent="0.2">
      <c r="A27" s="15" t="s">
        <v>1086</v>
      </c>
      <c r="B27" s="17" t="s">
        <v>1555</v>
      </c>
      <c r="C27" s="33"/>
    </row>
    <row r="28" spans="1:3" x14ac:dyDescent="0.2">
      <c r="A28" s="15" t="s">
        <v>1106</v>
      </c>
      <c r="B28" s="17" t="s">
        <v>1556</v>
      </c>
      <c r="C28" s="33"/>
    </row>
    <row r="29" spans="1:3" x14ac:dyDescent="0.2">
      <c r="A29" s="15" t="s">
        <v>1167</v>
      </c>
      <c r="B29" s="17" t="s">
        <v>1557</v>
      </c>
      <c r="C29" s="33"/>
    </row>
    <row r="30" spans="1:3" x14ac:dyDescent="0.2">
      <c r="A30" s="15" t="s">
        <v>1162</v>
      </c>
      <c r="B30" s="17" t="s">
        <v>1558</v>
      </c>
      <c r="C30" s="33"/>
    </row>
    <row r="31" spans="1:3" x14ac:dyDescent="0.2">
      <c r="A31" s="15" t="s">
        <v>2073</v>
      </c>
      <c r="B31" s="17" t="s">
        <v>2074</v>
      </c>
      <c r="C31" s="33"/>
    </row>
    <row r="32" spans="1:3" x14ac:dyDescent="0.2">
      <c r="A32" s="15"/>
      <c r="B32" s="17"/>
      <c r="C32" s="33"/>
    </row>
    <row r="33" spans="1:3" x14ac:dyDescent="0.2">
      <c r="A33" s="13" t="s">
        <v>7</v>
      </c>
      <c r="B33" s="16"/>
      <c r="C33" s="34"/>
    </row>
    <row r="34" spans="1:3" x14ac:dyDescent="0.2">
      <c r="A34" s="15" t="s">
        <v>1559</v>
      </c>
      <c r="B34" s="17" t="s">
        <v>1560</v>
      </c>
      <c r="C34" s="33"/>
    </row>
    <row r="35" spans="1:3" x14ac:dyDescent="0.2">
      <c r="A35" s="15" t="s">
        <v>8</v>
      </c>
      <c r="B35" s="17" t="s">
        <v>1561</v>
      </c>
      <c r="C35" s="33"/>
    </row>
    <row r="36" spans="1:3" x14ac:dyDescent="0.2">
      <c r="A36" s="15" t="s">
        <v>1562</v>
      </c>
      <c r="B36" s="17" t="s">
        <v>1563</v>
      </c>
      <c r="C36" s="33"/>
    </row>
    <row r="37" spans="1:3" x14ac:dyDescent="0.2">
      <c r="A37" s="15" t="s">
        <v>1564</v>
      </c>
      <c r="B37" s="32" t="s">
        <v>1565</v>
      </c>
      <c r="C37" s="33"/>
    </row>
    <row r="38" spans="1:3" x14ac:dyDescent="0.2">
      <c r="A38" s="15" t="s">
        <v>1566</v>
      </c>
      <c r="B38" s="32" t="s">
        <v>1567</v>
      </c>
      <c r="C38" s="33"/>
    </row>
    <row r="39" spans="1:3" x14ac:dyDescent="0.2">
      <c r="A39" s="15" t="s">
        <v>9</v>
      </c>
      <c r="B39" s="17" t="s">
        <v>1568</v>
      </c>
      <c r="C39" s="33"/>
    </row>
    <row r="40" spans="1:3" x14ac:dyDescent="0.2">
      <c r="A40" s="15" t="s">
        <v>2</v>
      </c>
      <c r="B40" s="17" t="s">
        <v>1569</v>
      </c>
      <c r="C40" s="33"/>
    </row>
    <row r="41" spans="1:3" x14ac:dyDescent="0.2">
      <c r="A41" s="15"/>
      <c r="B41" s="17"/>
      <c r="C41" s="33"/>
    </row>
    <row r="42" spans="1:3" x14ac:dyDescent="0.2">
      <c r="A42" s="13" t="s">
        <v>1570</v>
      </c>
      <c r="B42" s="16"/>
      <c r="C42" s="34"/>
    </row>
    <row r="43" spans="1:3" ht="25.5" x14ac:dyDescent="0.2">
      <c r="A43" s="15" t="s">
        <v>1571</v>
      </c>
      <c r="B43" s="17" t="s">
        <v>1572</v>
      </c>
      <c r="C43" s="33"/>
    </row>
    <row r="44" spans="1:3" ht="25.5" x14ac:dyDescent="0.2">
      <c r="A44" s="15" t="s">
        <v>1573</v>
      </c>
      <c r="B44" s="17" t="s">
        <v>3</v>
      </c>
      <c r="C44" s="33"/>
    </row>
    <row r="45" spans="1:3" x14ac:dyDescent="0.2">
      <c r="A45" s="15" t="s">
        <v>1574</v>
      </c>
      <c r="B45" s="17" t="s">
        <v>1575</v>
      </c>
      <c r="C45" s="33"/>
    </row>
    <row r="46" spans="1:3" x14ac:dyDescent="0.2">
      <c r="A46" s="15" t="s">
        <v>1576</v>
      </c>
      <c r="B46" s="17" t="s">
        <v>1577</v>
      </c>
      <c r="C46" s="33"/>
    </row>
    <row r="47" spans="1:3" x14ac:dyDescent="0.2">
      <c r="A47" s="15" t="s">
        <v>5</v>
      </c>
      <c r="B47" s="17" t="s">
        <v>1578</v>
      </c>
      <c r="C47" s="33"/>
    </row>
    <row r="48" spans="1:3" ht="25.5" x14ac:dyDescent="0.2">
      <c r="A48" s="15" t="s">
        <v>40</v>
      </c>
      <c r="B48" s="17" t="s">
        <v>1617</v>
      </c>
      <c r="C48" s="33"/>
    </row>
    <row r="49" spans="1:3" x14ac:dyDescent="0.2">
      <c r="A49" s="15" t="s">
        <v>43</v>
      </c>
      <c r="B49" s="17" t="s">
        <v>1579</v>
      </c>
      <c r="C49" s="33"/>
    </row>
    <row r="50" spans="1:3" ht="25.5" x14ac:dyDescent="0.2">
      <c r="A50" s="15" t="s">
        <v>1580</v>
      </c>
      <c r="B50" s="17" t="s">
        <v>1581</v>
      </c>
      <c r="C50" s="33"/>
    </row>
    <row r="51" spans="1:3" ht="25.5" x14ac:dyDescent="0.2">
      <c r="A51" s="15" t="s">
        <v>1582</v>
      </c>
      <c r="B51" s="17" t="s">
        <v>1583</v>
      </c>
      <c r="C51" s="33"/>
    </row>
    <row r="52" spans="1:3" x14ac:dyDescent="0.2">
      <c r="A52" s="15" t="s">
        <v>1584</v>
      </c>
      <c r="B52" s="17" t="s">
        <v>1585</v>
      </c>
      <c r="C52" s="33"/>
    </row>
    <row r="53" spans="1:3" x14ac:dyDescent="0.2">
      <c r="A53" s="15" t="s">
        <v>1586</v>
      </c>
      <c r="B53" s="17" t="s">
        <v>1587</v>
      </c>
      <c r="C53" s="33"/>
    </row>
    <row r="54" spans="1:3" x14ac:dyDescent="0.2">
      <c r="A54" s="15" t="s">
        <v>4</v>
      </c>
      <c r="B54" s="17" t="s">
        <v>1588</v>
      </c>
      <c r="C54" s="33"/>
    </row>
    <row r="55" spans="1:3" ht="25.5" x14ac:dyDescent="0.2">
      <c r="A55" s="15" t="s">
        <v>6</v>
      </c>
      <c r="B55" s="17" t="s">
        <v>1589</v>
      </c>
      <c r="C55" s="33"/>
    </row>
    <row r="56" spans="1:3" x14ac:dyDescent="0.2">
      <c r="A56" s="15" t="s">
        <v>1590</v>
      </c>
      <c r="B56" s="17" t="s">
        <v>1591</v>
      </c>
      <c r="C56" s="33"/>
    </row>
    <row r="57" spans="1:3" x14ac:dyDescent="0.2">
      <c r="A57" s="15" t="s">
        <v>46</v>
      </c>
      <c r="B57" s="17" t="s">
        <v>1592</v>
      </c>
      <c r="C57" s="33"/>
    </row>
    <row r="58" spans="1:3" x14ac:dyDescent="0.2">
      <c r="A58" s="15" t="s">
        <v>1593</v>
      </c>
      <c r="B58" s="17" t="s">
        <v>1594</v>
      </c>
      <c r="C58" s="33"/>
    </row>
    <row r="59" spans="1:3" x14ac:dyDescent="0.2">
      <c r="A59" s="15" t="s">
        <v>56</v>
      </c>
      <c r="B59" s="17" t="s">
        <v>1595</v>
      </c>
      <c r="C59" s="33"/>
    </row>
    <row r="60" spans="1:3" x14ac:dyDescent="0.2">
      <c r="A60" s="15"/>
      <c r="B60" s="17"/>
      <c r="C60" s="33"/>
    </row>
    <row r="61" spans="1:3" x14ac:dyDescent="0.2">
      <c r="A61" s="13" t="s">
        <v>11</v>
      </c>
      <c r="B61" s="16"/>
      <c r="C61" s="34"/>
    </row>
    <row r="62" spans="1:3" x14ac:dyDescent="0.2">
      <c r="A62" s="15" t="s">
        <v>1596</v>
      </c>
      <c r="B62" s="17"/>
      <c r="C62" s="33">
        <f>SUMPRODUCT(('2. Rates'!O6:O159&lt;&gt;"")*(COUNTIF('2. Rates'!O6:O159,'2. Rates'!O6:O159)&gt;1))</f>
        <v>0</v>
      </c>
    </row>
    <row r="63" spans="1:3" x14ac:dyDescent="0.2">
      <c r="A63" s="15" t="s">
        <v>1597</v>
      </c>
      <c r="B63" s="17"/>
      <c r="C63" s="33">
        <f>SUMPRODUCT(('2. Rates'!O6:O159&lt;&gt;"")*(COUNTIF('4. Scope rules'!A91:A236,'2. Rates'!O6:O159)=0))</f>
        <v>0</v>
      </c>
    </row>
    <row r="64" spans="1:3" x14ac:dyDescent="0.2">
      <c r="A64" s="15" t="s">
        <v>1598</v>
      </c>
      <c r="B64" s="17"/>
      <c r="C64" s="33">
        <f>SUMPRODUCT(('4. Scope rules'!A91:A236&lt;&gt;"")*(COUNTIF('2. Rates'!O6:O159,'4. Scope rules'!A91:A236)=0))</f>
        <v>0</v>
      </c>
    </row>
    <row r="65" spans="1:3" x14ac:dyDescent="0.2">
      <c r="A65" s="15" t="s">
        <v>1599</v>
      </c>
      <c r="B65" s="17"/>
      <c r="C65" s="33">
        <f>SUMPRODUCT(('4. Scope rules'!A91:A236&lt;&gt;"")*(COUNTIF('4. Scope rules'!A6:A87,'4. Scope rules'!B91:B236)=0))</f>
        <v>0</v>
      </c>
    </row>
    <row r="66" spans="1:3" x14ac:dyDescent="0.2">
      <c r="A66" s="15" t="s">
        <v>1600</v>
      </c>
      <c r="B66" s="17"/>
      <c r="C66" s="33">
        <f>SUMPRODUCT(('2. Rates'!O6:O159&lt;&gt;"")*('2. Rates'!M6:M159=""))</f>
        <v>0</v>
      </c>
    </row>
    <row r="67" spans="1:3" x14ac:dyDescent="0.2">
      <c r="A67" s="15" t="s">
        <v>1601</v>
      </c>
      <c r="B67" s="17"/>
      <c r="C67" s="33">
        <f>SUMPRODUCT(('4. Scope rules'!A6:A87&lt;&gt;"")*(ROUND('4. Scope rules'!M6:M87+'4. Scope rules'!O6:O87,4)&lt;&gt;1))</f>
        <v>0</v>
      </c>
    </row>
    <row r="68" spans="1:3" x14ac:dyDescent="0.2">
      <c r="A68" s="15" t="s">
        <v>14</v>
      </c>
      <c r="B68" s="17"/>
      <c r="C68" s="33">
        <f>SUMPRODUCT(('4. Scope rules'!A6:A87&lt;&gt;"")*(COUNTIFS('4. Scope rules'!B91:B236,'4. Scope rules'!A6:A87,'4. Scope rules'!E91:E236,"Yes")=0))</f>
        <v>0</v>
      </c>
    </row>
    <row r="69" spans="1:3" x14ac:dyDescent="0.2">
      <c r="A69" s="15" t="s">
        <v>1602</v>
      </c>
      <c r="B69" s="17"/>
      <c r="C69" s="33">
        <f>SUMPRODUCT(('4. Scope rules'!A6:A87&lt;&gt;"")*('4. Scope rules'!F6:F87="One")*(COUNTIFS('4. Scope rules'!B91:B236,'4. Scope rules'!A6:A87,'4. Scope rules'!E91:E236,"Yes")&gt;1))</f>
        <v>0</v>
      </c>
    </row>
    <row r="70" spans="1:3" x14ac:dyDescent="0.2">
      <c r="A70" s="15" t="s">
        <v>1603</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Rates'!D6:D159,"RES",""),"STU",""),"OFF",""),"EDU",""),"HEA",""),"RET",""),"IND",""),"HOS",""),"MIX",""),"OTH",""),"ALL","")))&gt;0))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1604</v>
      </c>
      <c r="B78" s="17"/>
      <c r="C78" s="33">
        <f>COUNTA('2. Rates'!O6:O159)</f>
        <v>146</v>
      </c>
    </row>
    <row r="79" spans="1:3" x14ac:dyDescent="0.2">
      <c r="A79" s="15"/>
      <c r="B79" s="17"/>
      <c r="C79" s="33"/>
    </row>
    <row r="80" spans="1:3" x14ac:dyDescent="0.2">
      <c r="A80" s="13" t="s">
        <v>22</v>
      </c>
      <c r="B80" s="16"/>
      <c r="C80" s="34"/>
    </row>
    <row r="81" spans="1:2" s="54" customFormat="1" ht="25.5" x14ac:dyDescent="0.2">
      <c r="A81" s="17" t="s">
        <v>2090</v>
      </c>
      <c r="B81" s="17" t="s">
        <v>2091</v>
      </c>
    </row>
    <row r="82" spans="1:2" s="54" customFormat="1" ht="76.5" x14ac:dyDescent="0.2">
      <c r="A82" s="17" t="s">
        <v>2065</v>
      </c>
      <c r="B82" s="17" t="s">
        <v>2066</v>
      </c>
    </row>
    <row r="83" spans="1:2" s="54" customFormat="1" ht="51" x14ac:dyDescent="0.2">
      <c r="A83" s="17" t="s">
        <v>2061</v>
      </c>
      <c r="B83" s="17" t="s">
        <v>2062</v>
      </c>
    </row>
    <row r="84" spans="1:2" s="54" customFormat="1" ht="63.75" x14ac:dyDescent="0.2">
      <c r="A84" s="17" t="s">
        <v>2058</v>
      </c>
      <c r="B84" s="17" t="s">
        <v>2059</v>
      </c>
    </row>
    <row r="85" spans="1:2" s="54" customFormat="1" ht="38.25" x14ac:dyDescent="0.2">
      <c r="A85" s="17" t="s">
        <v>2017</v>
      </c>
      <c r="B85" s="17" t="s">
        <v>2018</v>
      </c>
    </row>
    <row r="86" spans="1:2" s="54" customFormat="1" ht="51" x14ac:dyDescent="0.2">
      <c r="A86" s="17" t="s">
        <v>2012</v>
      </c>
      <c r="B86" s="17" t="s">
        <v>2013</v>
      </c>
    </row>
    <row r="87" spans="1:2" s="54" customFormat="1" ht="63.75" x14ac:dyDescent="0.2">
      <c r="A87" s="17" t="s">
        <v>2005</v>
      </c>
      <c r="B87" s="17" t="s">
        <v>2006</v>
      </c>
    </row>
    <row r="88" spans="1:2" s="54" customFormat="1" ht="63.75" x14ac:dyDescent="0.2">
      <c r="A88" s="17" t="s">
        <v>1992</v>
      </c>
      <c r="B88" s="17" t="s">
        <v>1993</v>
      </c>
    </row>
    <row r="89" spans="1:2" s="54" customFormat="1" ht="63.75" x14ac:dyDescent="0.2">
      <c r="A89" s="17" t="s">
        <v>1963</v>
      </c>
      <c r="B89" s="17" t="s">
        <v>1964</v>
      </c>
    </row>
    <row r="90" spans="1:2" s="54" customFormat="1" ht="25.5" x14ac:dyDescent="0.2">
      <c r="A90" s="17" t="s">
        <v>1728</v>
      </c>
      <c r="B90" s="17" t="s">
        <v>1729</v>
      </c>
    </row>
    <row r="91" spans="1:2" s="54" customFormat="1" ht="38.25" x14ac:dyDescent="0.2">
      <c r="A91" s="17" t="s">
        <v>1730</v>
      </c>
      <c r="B91" s="17" t="s">
        <v>1731</v>
      </c>
    </row>
    <row r="92" spans="1:2" s="54" customFormat="1" ht="25.5" x14ac:dyDescent="0.2">
      <c r="A92" s="17" t="s">
        <v>1732</v>
      </c>
      <c r="B92" s="17" t="s">
        <v>1733</v>
      </c>
    </row>
    <row r="93" spans="1:2" s="54" customFormat="1" ht="38.25" x14ac:dyDescent="0.2">
      <c r="A93" s="17" t="s">
        <v>1734</v>
      </c>
      <c r="B93" s="17" t="s">
        <v>1735</v>
      </c>
    </row>
    <row r="94" spans="1:2" s="54" customFormat="1" ht="38.25" x14ac:dyDescent="0.2">
      <c r="A94" s="17" t="s">
        <v>1736</v>
      </c>
      <c r="B94" s="17" t="s">
        <v>1737</v>
      </c>
    </row>
    <row r="95" spans="1:2" s="54" customFormat="1" ht="38.25" x14ac:dyDescent="0.2">
      <c r="A95" s="17" t="s">
        <v>1738</v>
      </c>
      <c r="B95" s="17" t="s">
        <v>1739</v>
      </c>
    </row>
    <row r="96" spans="1:2" s="54" customFormat="1" ht="38.25" x14ac:dyDescent="0.2">
      <c r="A96" s="17" t="s">
        <v>1740</v>
      </c>
      <c r="B96" s="17" t="s">
        <v>1741</v>
      </c>
    </row>
    <row r="97" spans="1:2" s="54" customFormat="1" ht="114.75" x14ac:dyDescent="0.2">
      <c r="A97" s="17" t="s">
        <v>1742</v>
      </c>
      <c r="B97" s="17" t="s">
        <v>1743</v>
      </c>
    </row>
    <row r="98" spans="1:3" s="54" customFormat="1" ht="63.75" x14ac:dyDescent="0.2">
      <c r="A98" s="17" t="s">
        <v>1744</v>
      </c>
      <c r="B98" s="17" t="s">
        <v>2075</v>
      </c>
    </row>
    <row r="99" spans="1:3" s="54" customFormat="1" ht="104.1" customHeight="1" x14ac:dyDescent="0.2">
      <c r="A99" s="17" t="s">
        <v>1712</v>
      </c>
      <c r="B99" s="17" t="s">
        <v>2076</v>
      </c>
      <c r="C99" s="60"/>
    </row>
    <row r="100" spans="1:3" s="54" customFormat="1" ht="89.25" customHeight="1" x14ac:dyDescent="0.2">
      <c r="A100" s="17" t="s">
        <v>1686</v>
      </c>
      <c r="B100" s="17" t="s">
        <v>2077</v>
      </c>
      <c r="C100" s="60"/>
    </row>
    <row r="101" spans="1:3" s="54" customFormat="1" ht="76.5" x14ac:dyDescent="0.2">
      <c r="A101" s="17" t="s">
        <v>1677</v>
      </c>
      <c r="B101" s="17" t="s">
        <v>2078</v>
      </c>
      <c r="C101" s="60"/>
    </row>
    <row r="102" spans="1:3" s="54" customFormat="1" ht="89.25" x14ac:dyDescent="0.2">
      <c r="A102" s="17" t="s">
        <v>1675</v>
      </c>
      <c r="B102" s="17" t="s">
        <v>2079</v>
      </c>
      <c r="C102" s="60"/>
    </row>
    <row r="103" spans="1:3" s="54" customFormat="1" ht="76.5" x14ac:dyDescent="0.2">
      <c r="A103" s="17" t="s">
        <v>1616</v>
      </c>
      <c r="B103" s="17" t="s">
        <v>1618</v>
      </c>
      <c r="C103" s="60"/>
    </row>
    <row r="104" spans="1:3" ht="102" x14ac:dyDescent="0.2">
      <c r="A104" s="15" t="s">
        <v>1605</v>
      </c>
      <c r="B104" s="17" t="s">
        <v>1606</v>
      </c>
      <c r="C104" s="33"/>
    </row>
    <row r="105" spans="1:3" ht="51" x14ac:dyDescent="0.2">
      <c r="A105" s="15" t="s">
        <v>1048</v>
      </c>
      <c r="B105" s="17" t="s">
        <v>1049</v>
      </c>
      <c r="C105" s="33"/>
    </row>
    <row r="106" spans="1:3" ht="38.25" x14ac:dyDescent="0.2">
      <c r="A106" s="15" t="s">
        <v>1039</v>
      </c>
      <c r="B106" s="17" t="s">
        <v>1040</v>
      </c>
      <c r="C106" s="33"/>
    </row>
    <row r="107" spans="1:3" x14ac:dyDescent="0.2">
      <c r="A107" s="15" t="s">
        <v>23</v>
      </c>
      <c r="B107" s="17" t="s">
        <v>24</v>
      </c>
      <c r="C107" s="33"/>
    </row>
    <row r="108" spans="1:3" ht="38.25" x14ac:dyDescent="0.2">
      <c r="A108" s="15" t="s">
        <v>25</v>
      </c>
      <c r="B108" s="17" t="s">
        <v>26</v>
      </c>
      <c r="C108" s="33"/>
    </row>
    <row r="109" spans="1:3" ht="25.5" x14ac:dyDescent="0.2">
      <c r="A109" s="15" t="s">
        <v>27</v>
      </c>
      <c r="B109" s="17" t="s">
        <v>28</v>
      </c>
      <c r="C109" s="33"/>
    </row>
    <row r="110" spans="1:3" x14ac:dyDescent="0.2">
      <c r="A110" s="15" t="s">
        <v>29</v>
      </c>
      <c r="B110" s="17" t="s">
        <v>30</v>
      </c>
      <c r="C110" s="33"/>
    </row>
    <row r="111" spans="1:3" x14ac:dyDescent="0.2">
      <c r="A111" s="15" t="s">
        <v>31</v>
      </c>
      <c r="B111" s="17" t="s">
        <v>32</v>
      </c>
      <c r="C111" s="33"/>
    </row>
    <row r="112" spans="1:3" x14ac:dyDescent="0.2">
      <c r="A112" s="15"/>
      <c r="B112" s="17"/>
      <c r="C112"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9"/>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1050</v>
      </c>
    </row>
    <row r="2" spans="1:28" x14ac:dyDescent="0.2">
      <c r="A2" s="10" t="s">
        <v>1051</v>
      </c>
    </row>
    <row r="3" spans="1:28" x14ac:dyDescent="0.2">
      <c r="A3" s="10" t="s">
        <v>1052</v>
      </c>
    </row>
    <row r="5" spans="1:28" ht="42" customHeight="1" x14ac:dyDescent="0.2">
      <c r="A5" s="12" t="s">
        <v>747</v>
      </c>
      <c r="B5" s="12" t="s">
        <v>37</v>
      </c>
      <c r="C5" s="12" t="s">
        <v>39</v>
      </c>
      <c r="D5" s="12" t="s">
        <v>835</v>
      </c>
      <c r="E5" s="12" t="s">
        <v>38</v>
      </c>
      <c r="F5" s="12" t="s">
        <v>1053</v>
      </c>
      <c r="G5" s="12" t="s">
        <v>41</v>
      </c>
      <c r="H5" s="36" t="s">
        <v>1054</v>
      </c>
      <c r="I5" s="36" t="s">
        <v>1055</v>
      </c>
      <c r="J5" s="36" t="s">
        <v>1056</v>
      </c>
      <c r="K5" s="36" t="s">
        <v>1057</v>
      </c>
      <c r="L5" s="36" t="s">
        <v>1058</v>
      </c>
      <c r="M5" s="12" t="s">
        <v>873</v>
      </c>
      <c r="N5" s="12" t="s">
        <v>1059</v>
      </c>
      <c r="O5" s="12" t="s">
        <v>33</v>
      </c>
      <c r="P5" s="8" t="s">
        <v>1608</v>
      </c>
      <c r="Q5" s="12" t="s">
        <v>2080</v>
      </c>
      <c r="R5" s="12" t="s">
        <v>2081</v>
      </c>
      <c r="S5" s="12" t="s">
        <v>2082</v>
      </c>
      <c r="T5" s="12" t="s">
        <v>2083</v>
      </c>
      <c r="U5" s="12" t="s">
        <v>2084</v>
      </c>
      <c r="V5" s="12" t="s">
        <v>2085</v>
      </c>
      <c r="W5" s="12" t="s">
        <v>2086</v>
      </c>
      <c r="X5" s="12" t="s">
        <v>2087</v>
      </c>
      <c r="Y5" s="12" t="s">
        <v>2088</v>
      </c>
      <c r="Z5" s="12" t="s">
        <v>1752</v>
      </c>
      <c r="AA5" s="12" t="s">
        <v>1753</v>
      </c>
      <c r="AB5" s="12" t="s">
        <v>1754</v>
      </c>
    </row>
    <row r="6" spans="1:28" x14ac:dyDescent="0.2">
      <c r="A6" s="18" t="s">
        <v>1060</v>
      </c>
      <c r="B6" s="19"/>
      <c r="C6" s="19"/>
      <c r="D6" s="18"/>
      <c r="E6" s="19"/>
      <c r="F6" s="19"/>
      <c r="G6" s="18"/>
      <c r="H6" s="37"/>
      <c r="I6" s="38"/>
      <c r="J6" s="37"/>
      <c r="K6" s="38"/>
      <c r="L6" s="37"/>
      <c r="M6" s="19"/>
      <c r="N6" s="19"/>
      <c r="O6" s="20"/>
    </row>
    <row r="7" spans="1:28" ht="76.5" x14ac:dyDescent="0.2">
      <c r="A7" s="21" t="s">
        <v>71</v>
      </c>
      <c r="B7" s="22" t="s">
        <v>62</v>
      </c>
      <c r="C7" s="22"/>
      <c r="D7" s="23" t="s">
        <v>65</v>
      </c>
      <c r="E7" s="22" t="s">
        <v>1061</v>
      </c>
      <c r="F7" s="22" t="s">
        <v>1062</v>
      </c>
      <c r="G7" s="23" t="s">
        <v>1063</v>
      </c>
      <c r="H7" s="39"/>
      <c r="I7" s="40">
        <v>25</v>
      </c>
      <c r="J7" s="39"/>
      <c r="K7" s="40">
        <v>25</v>
      </c>
      <c r="L7" s="39"/>
      <c r="M7" s="22" t="s">
        <v>1064</v>
      </c>
      <c r="N7" s="22" t="s">
        <v>1065</v>
      </c>
      <c r="O7" s="24" t="s">
        <v>58</v>
      </c>
      <c r="Q7" s="22"/>
      <c r="R7" s="22">
        <v>8.1</v>
      </c>
      <c r="Z7" s="40">
        <f>AVERAGE(R7:Y7)</f>
        <v>8.1</v>
      </c>
      <c r="AA7" s="40">
        <v>25</v>
      </c>
      <c r="AB7" s="22" t="s">
        <v>1755</v>
      </c>
    </row>
    <row r="8" spans="1:28" ht="153" x14ac:dyDescent="0.2">
      <c r="A8" s="21" t="s">
        <v>81</v>
      </c>
      <c r="B8" s="22" t="s">
        <v>74</v>
      </c>
      <c r="C8" s="22"/>
      <c r="D8" s="23" t="s">
        <v>65</v>
      </c>
      <c r="E8" s="22" t="s">
        <v>1066</v>
      </c>
      <c r="F8" s="22" t="s">
        <v>1067</v>
      </c>
      <c r="G8" s="23" t="s">
        <v>75</v>
      </c>
      <c r="H8" s="39"/>
      <c r="I8" s="40">
        <v>100</v>
      </c>
      <c r="J8" s="39"/>
      <c r="K8" s="40">
        <v>100</v>
      </c>
      <c r="L8" s="39"/>
      <c r="M8" s="22" t="s">
        <v>1064</v>
      </c>
      <c r="N8" s="22" t="s">
        <v>1068</v>
      </c>
      <c r="O8" s="24" t="s">
        <v>72</v>
      </c>
      <c r="Q8" s="22"/>
      <c r="R8" s="22">
        <v>73.3</v>
      </c>
      <c r="Z8" s="40">
        <f>AVERAGE(R8:Y8)</f>
        <v>73.3</v>
      </c>
      <c r="AA8" s="40">
        <v>100</v>
      </c>
      <c r="AB8" s="22" t="s">
        <v>1756</v>
      </c>
    </row>
    <row r="9" spans="1:28" ht="63.75" x14ac:dyDescent="0.2">
      <c r="A9" s="21" t="s">
        <v>94</v>
      </c>
      <c r="B9" s="22" t="s">
        <v>84</v>
      </c>
      <c r="C9" s="22"/>
      <c r="D9" s="23" t="s">
        <v>65</v>
      </c>
      <c r="E9" s="22" t="s">
        <v>1069</v>
      </c>
      <c r="F9" s="22" t="s">
        <v>1070</v>
      </c>
      <c r="G9" s="23" t="s">
        <v>1063</v>
      </c>
      <c r="H9" s="39"/>
      <c r="I9" s="40">
        <v>55</v>
      </c>
      <c r="J9" s="39"/>
      <c r="K9" s="40">
        <v>0</v>
      </c>
      <c r="L9" s="39"/>
      <c r="M9" s="22" t="s">
        <v>1621</v>
      </c>
      <c r="N9" s="22" t="s">
        <v>1071</v>
      </c>
      <c r="O9" s="24" t="s">
        <v>82</v>
      </c>
      <c r="Q9" s="22"/>
      <c r="S9" s="22">
        <v>51.4</v>
      </c>
      <c r="T9" s="22">
        <v>54</v>
      </c>
      <c r="V9" s="22">
        <v>217</v>
      </c>
      <c r="W9" s="22">
        <v>48.8</v>
      </c>
      <c r="X9" s="22">
        <v>11.5</v>
      </c>
      <c r="Y9" s="22">
        <v>54.9</v>
      </c>
      <c r="Z9" s="40">
        <f>AVERAGE(R9:Y9)</f>
        <v>72.933333333333323</v>
      </c>
      <c r="AA9" s="40">
        <v>55</v>
      </c>
      <c r="AB9" s="22" t="s">
        <v>1757</v>
      </c>
    </row>
    <row r="10" spans="1:28" ht="38.25" x14ac:dyDescent="0.2">
      <c r="A10" s="21" t="s">
        <v>100</v>
      </c>
      <c r="B10" s="22" t="s">
        <v>91</v>
      </c>
      <c r="C10" s="22"/>
      <c r="D10" s="23" t="s">
        <v>65</v>
      </c>
      <c r="E10" s="22" t="s">
        <v>1072</v>
      </c>
      <c r="F10" s="22" t="s">
        <v>1073</v>
      </c>
      <c r="G10" s="23" t="s">
        <v>1063</v>
      </c>
      <c r="H10" s="39"/>
      <c r="I10" s="40">
        <v>0</v>
      </c>
      <c r="J10" s="39"/>
      <c r="K10" s="40">
        <v>60</v>
      </c>
      <c r="L10" s="39"/>
      <c r="M10" s="22" t="s">
        <v>1064</v>
      </c>
      <c r="N10" s="22" t="s">
        <v>1074</v>
      </c>
      <c r="O10" s="24" t="s">
        <v>89</v>
      </c>
    </row>
    <row r="11" spans="1:28" ht="25.5" x14ac:dyDescent="0.2">
      <c r="A11" s="21" t="s">
        <v>88</v>
      </c>
      <c r="B11" s="22" t="s">
        <v>97</v>
      </c>
      <c r="C11" s="22"/>
      <c r="D11" s="23" t="s">
        <v>65</v>
      </c>
      <c r="E11" s="22" t="s">
        <v>1075</v>
      </c>
      <c r="F11" s="22" t="s">
        <v>1076</v>
      </c>
      <c r="G11" s="23" t="s">
        <v>630</v>
      </c>
      <c r="H11" s="39"/>
      <c r="I11" s="40">
        <v>0</v>
      </c>
      <c r="J11" s="39"/>
      <c r="K11" s="40">
        <v>35</v>
      </c>
      <c r="L11" s="39"/>
      <c r="M11" s="22" t="s">
        <v>1064</v>
      </c>
      <c r="N11" s="22"/>
      <c r="O11" s="24" t="s">
        <v>95</v>
      </c>
    </row>
    <row r="12" spans="1:28" ht="25.5" x14ac:dyDescent="0.2">
      <c r="A12" s="21" t="s">
        <v>110</v>
      </c>
      <c r="B12" s="22" t="s">
        <v>103</v>
      </c>
      <c r="C12" s="22"/>
      <c r="D12" s="23" t="s">
        <v>65</v>
      </c>
      <c r="E12" s="22" t="s">
        <v>1077</v>
      </c>
      <c r="F12" s="22" t="s">
        <v>1078</v>
      </c>
      <c r="G12" s="23" t="s">
        <v>104</v>
      </c>
      <c r="H12" s="39"/>
      <c r="I12" s="40">
        <v>750</v>
      </c>
      <c r="J12" s="39"/>
      <c r="K12" s="40">
        <v>750</v>
      </c>
      <c r="L12" s="39"/>
      <c r="M12" s="22" t="s">
        <v>1064</v>
      </c>
      <c r="N12" s="22" t="s">
        <v>1079</v>
      </c>
      <c r="O12" s="24" t="s">
        <v>101</v>
      </c>
    </row>
    <row r="13" spans="1:28" ht="102" x14ac:dyDescent="0.2">
      <c r="A13" s="21" t="s">
        <v>117</v>
      </c>
      <c r="B13" s="22" t="s">
        <v>113</v>
      </c>
      <c r="C13" s="22"/>
      <c r="D13" s="23" t="s">
        <v>65</v>
      </c>
      <c r="E13" s="22" t="s">
        <v>1080</v>
      </c>
      <c r="F13" s="22" t="s">
        <v>1081</v>
      </c>
      <c r="G13" s="23" t="s">
        <v>630</v>
      </c>
      <c r="H13" s="39"/>
      <c r="I13" s="40">
        <v>100</v>
      </c>
      <c r="J13" s="39"/>
      <c r="K13" s="40">
        <v>100</v>
      </c>
      <c r="L13" s="39"/>
      <c r="M13" s="22" t="s">
        <v>1064</v>
      </c>
      <c r="N13" s="22"/>
      <c r="O13" s="24" t="s">
        <v>111</v>
      </c>
      <c r="Q13" s="22"/>
      <c r="R13" s="22">
        <v>36.299999999999997</v>
      </c>
      <c r="Z13" s="40">
        <f>AVERAGE(R13:Y13)</f>
        <v>36.299999999999997</v>
      </c>
      <c r="AA13" s="40">
        <v>100</v>
      </c>
      <c r="AB13" s="22" t="s">
        <v>1758</v>
      </c>
    </row>
    <row r="14" spans="1:28" x14ac:dyDescent="0.2">
      <c r="A14" s="25" t="s">
        <v>1082</v>
      </c>
      <c r="B14" s="26"/>
      <c r="C14" s="26"/>
      <c r="D14" s="25"/>
      <c r="E14" s="26"/>
      <c r="F14" s="26"/>
      <c r="G14" s="25"/>
      <c r="H14" s="41"/>
      <c r="I14" s="42"/>
      <c r="J14" s="41"/>
      <c r="K14" s="42"/>
      <c r="L14" s="41"/>
      <c r="M14" s="26"/>
      <c r="N14" s="26"/>
      <c r="O14" s="27"/>
    </row>
    <row r="15" spans="1:28" ht="25.5" x14ac:dyDescent="0.2">
      <c r="A15" s="23" t="s">
        <v>1083</v>
      </c>
      <c r="B15" s="22" t="s">
        <v>123</v>
      </c>
      <c r="C15" s="22" t="s">
        <v>64</v>
      </c>
      <c r="D15" s="23" t="s">
        <v>65</v>
      </c>
      <c r="E15" s="22" t="s">
        <v>1084</v>
      </c>
      <c r="F15" s="22" t="s">
        <v>1085</v>
      </c>
      <c r="G15" s="23" t="s">
        <v>630</v>
      </c>
      <c r="H15" s="39"/>
      <c r="I15" s="40">
        <v>0</v>
      </c>
      <c r="J15" s="39"/>
      <c r="K15" s="40">
        <v>115</v>
      </c>
      <c r="L15" s="39">
        <v>140</v>
      </c>
      <c r="M15" s="22" t="s">
        <v>1086</v>
      </c>
      <c r="N15" s="22" t="s">
        <v>1087</v>
      </c>
      <c r="O15" s="24" t="s">
        <v>120</v>
      </c>
    </row>
    <row r="16" spans="1:28" ht="76.5" x14ac:dyDescent="0.2">
      <c r="A16" s="23" t="s">
        <v>2019</v>
      </c>
      <c r="B16" s="22" t="s">
        <v>123</v>
      </c>
      <c r="C16" s="22" t="s">
        <v>64</v>
      </c>
      <c r="D16" s="23" t="s">
        <v>345</v>
      </c>
      <c r="E16" s="22" t="s">
        <v>2020</v>
      </c>
      <c r="F16" s="22" t="s">
        <v>1085</v>
      </c>
      <c r="G16" s="23" t="s">
        <v>630</v>
      </c>
      <c r="H16" s="39"/>
      <c r="I16" s="40">
        <v>0</v>
      </c>
      <c r="J16" s="39"/>
      <c r="K16" s="40">
        <v>22</v>
      </c>
      <c r="L16" s="39">
        <v>30</v>
      </c>
      <c r="M16" s="22" t="s">
        <v>1086</v>
      </c>
      <c r="N16" s="22" t="s">
        <v>2021</v>
      </c>
      <c r="O16" s="24" t="s">
        <v>2022</v>
      </c>
    </row>
    <row r="17" spans="1:28" ht="25.5" x14ac:dyDescent="0.2">
      <c r="A17" s="23" t="s">
        <v>1088</v>
      </c>
      <c r="B17" s="22" t="s">
        <v>123</v>
      </c>
      <c r="C17" s="22" t="s">
        <v>1089</v>
      </c>
      <c r="D17" s="23" t="s">
        <v>65</v>
      </c>
      <c r="E17" s="22" t="s">
        <v>1090</v>
      </c>
      <c r="F17" s="22" t="s">
        <v>1085</v>
      </c>
      <c r="G17" s="23" t="s">
        <v>630</v>
      </c>
      <c r="H17" s="39"/>
      <c r="I17" s="40">
        <v>0</v>
      </c>
      <c r="J17" s="39"/>
      <c r="K17" s="40">
        <v>260</v>
      </c>
      <c r="L17" s="39">
        <v>320</v>
      </c>
      <c r="M17" s="22" t="s">
        <v>1086</v>
      </c>
      <c r="N17" s="22" t="s">
        <v>1091</v>
      </c>
      <c r="O17" s="24" t="s">
        <v>131</v>
      </c>
    </row>
    <row r="18" spans="1:28" ht="25.5" x14ac:dyDescent="0.2">
      <c r="A18" s="23" t="s">
        <v>1092</v>
      </c>
      <c r="B18" s="22" t="s">
        <v>123</v>
      </c>
      <c r="C18" s="22" t="s">
        <v>1093</v>
      </c>
      <c r="D18" s="23" t="s">
        <v>65</v>
      </c>
      <c r="E18" s="22" t="s">
        <v>1094</v>
      </c>
      <c r="F18" s="22" t="s">
        <v>1085</v>
      </c>
      <c r="G18" s="23" t="s">
        <v>630</v>
      </c>
      <c r="H18" s="39"/>
      <c r="I18" s="40">
        <f>I15*1</f>
        <v>0</v>
      </c>
      <c r="J18" s="39"/>
      <c r="K18" s="40">
        <f>K15*1</f>
        <v>115</v>
      </c>
      <c r="L18" s="39">
        <f>L15*1</f>
        <v>140</v>
      </c>
      <c r="M18" s="22" t="s">
        <v>1095</v>
      </c>
      <c r="N18" s="22"/>
      <c r="O18" s="24" t="s">
        <v>134</v>
      </c>
    </row>
    <row r="19" spans="1:28" ht="38.25" x14ac:dyDescent="0.2">
      <c r="A19" s="23" t="s">
        <v>2024</v>
      </c>
      <c r="B19" s="22" t="s">
        <v>123</v>
      </c>
      <c r="C19" s="22" t="s">
        <v>1093</v>
      </c>
      <c r="D19" s="23" t="s">
        <v>345</v>
      </c>
      <c r="E19" s="22" t="s">
        <v>2025</v>
      </c>
      <c r="F19" s="22" t="s">
        <v>1085</v>
      </c>
      <c r="G19" s="23" t="s">
        <v>630</v>
      </c>
      <c r="H19" s="39"/>
      <c r="I19" s="40">
        <f>I16*1</f>
        <v>0</v>
      </c>
      <c r="J19" s="39"/>
      <c r="K19" s="40">
        <f>K16*1</f>
        <v>22</v>
      </c>
      <c r="L19" s="39">
        <f>L16*1</f>
        <v>30</v>
      </c>
      <c r="M19" s="22" t="s">
        <v>2027</v>
      </c>
      <c r="N19" s="22"/>
      <c r="O19" s="24" t="s">
        <v>2026</v>
      </c>
    </row>
    <row r="20" spans="1:28" ht="25.5" x14ac:dyDescent="0.2">
      <c r="A20" s="21" t="s">
        <v>2054</v>
      </c>
      <c r="B20" s="22" t="s">
        <v>140</v>
      </c>
      <c r="C20" s="22"/>
      <c r="D20" s="23" t="s">
        <v>65</v>
      </c>
      <c r="E20" s="22" t="s">
        <v>1097</v>
      </c>
      <c r="F20" s="22" t="s">
        <v>1098</v>
      </c>
      <c r="G20" s="23" t="s">
        <v>630</v>
      </c>
      <c r="H20" s="39"/>
      <c r="I20" s="40">
        <v>0</v>
      </c>
      <c r="J20" s="39"/>
      <c r="K20" s="40">
        <v>160</v>
      </c>
      <c r="L20" s="39">
        <v>195</v>
      </c>
      <c r="M20" s="22" t="s">
        <v>1086</v>
      </c>
      <c r="N20" s="22" t="s">
        <v>1099</v>
      </c>
      <c r="O20" s="24" t="s">
        <v>138</v>
      </c>
    </row>
    <row r="21" spans="1:28" ht="51" x14ac:dyDescent="0.2">
      <c r="A21" s="21" t="s">
        <v>2029</v>
      </c>
      <c r="B21" s="22" t="s">
        <v>140</v>
      </c>
      <c r="C21" s="22"/>
      <c r="D21" s="23" t="s">
        <v>345</v>
      </c>
      <c r="E21" s="22" t="s">
        <v>2030</v>
      </c>
      <c r="F21" s="22" t="s">
        <v>1098</v>
      </c>
      <c r="G21" s="23" t="s">
        <v>630</v>
      </c>
      <c r="H21" s="39"/>
      <c r="I21" s="40">
        <v>0</v>
      </c>
      <c r="J21" s="39"/>
      <c r="K21" s="40">
        <v>100</v>
      </c>
      <c r="L21" s="39">
        <v>125</v>
      </c>
      <c r="M21" s="22" t="s">
        <v>1086</v>
      </c>
      <c r="N21" s="22" t="s">
        <v>2031</v>
      </c>
      <c r="O21" s="24" t="s">
        <v>2032</v>
      </c>
    </row>
    <row r="22" spans="1:28" ht="38.25" x14ac:dyDescent="0.2">
      <c r="A22" s="21" t="s">
        <v>142</v>
      </c>
      <c r="B22" s="22" t="s">
        <v>145</v>
      </c>
      <c r="C22" s="22"/>
      <c r="D22" s="23" t="s">
        <v>65</v>
      </c>
      <c r="E22" s="22" t="s">
        <v>1100</v>
      </c>
      <c r="F22" s="22" t="s">
        <v>1101</v>
      </c>
      <c r="G22" s="23" t="s">
        <v>146</v>
      </c>
      <c r="H22" s="39"/>
      <c r="I22" s="40">
        <v>0</v>
      </c>
      <c r="J22" s="39"/>
      <c r="K22" s="40">
        <v>600</v>
      </c>
      <c r="L22" s="39">
        <v>1000</v>
      </c>
      <c r="M22" s="22" t="s">
        <v>1064</v>
      </c>
      <c r="N22" s="22" t="s">
        <v>1102</v>
      </c>
      <c r="O22" s="24" t="s">
        <v>143</v>
      </c>
    </row>
    <row r="23" spans="1:28" x14ac:dyDescent="0.2">
      <c r="A23" s="25" t="s">
        <v>1103</v>
      </c>
      <c r="B23" s="26"/>
      <c r="C23" s="26"/>
      <c r="D23" s="25"/>
      <c r="E23" s="26"/>
      <c r="F23" s="26"/>
      <c r="G23" s="25"/>
      <c r="H23" s="41"/>
      <c r="I23" s="42"/>
      <c r="J23" s="41"/>
      <c r="K23" s="42"/>
      <c r="L23" s="41"/>
      <c r="M23" s="26"/>
      <c r="N23" s="26"/>
      <c r="O23" s="27"/>
    </row>
    <row r="24" spans="1:28" ht="38.25" x14ac:dyDescent="0.2">
      <c r="A24" s="21" t="s">
        <v>2055</v>
      </c>
      <c r="B24" s="22" t="s">
        <v>154</v>
      </c>
      <c r="C24" s="22"/>
      <c r="D24" s="23" t="s">
        <v>65</v>
      </c>
      <c r="E24" s="22" t="s">
        <v>1104</v>
      </c>
      <c r="F24" s="22" t="s">
        <v>1105</v>
      </c>
      <c r="G24" s="23" t="s">
        <v>1063</v>
      </c>
      <c r="H24" s="39" t="s">
        <v>1607</v>
      </c>
      <c r="I24" s="40" t="s">
        <v>1607</v>
      </c>
      <c r="J24" s="40" t="s">
        <v>1607</v>
      </c>
      <c r="K24" s="40">
        <v>350</v>
      </c>
      <c r="L24" s="39">
        <v>550</v>
      </c>
      <c r="M24" s="22" t="s">
        <v>1106</v>
      </c>
      <c r="N24" s="22" t="s">
        <v>1107</v>
      </c>
      <c r="O24" s="24" t="s">
        <v>150</v>
      </c>
    </row>
    <row r="25" spans="1:28" ht="38.25" x14ac:dyDescent="0.2">
      <c r="A25" s="21" t="s">
        <v>2034</v>
      </c>
      <c r="B25" s="22" t="s">
        <v>154</v>
      </c>
      <c r="C25" s="22"/>
      <c r="D25" s="23" t="s">
        <v>345</v>
      </c>
      <c r="E25" s="22" t="s">
        <v>2035</v>
      </c>
      <c r="F25" s="22" t="s">
        <v>1105</v>
      </c>
      <c r="G25" s="23" t="s">
        <v>1063</v>
      </c>
      <c r="H25" s="39" t="s">
        <v>1607</v>
      </c>
      <c r="I25" s="40" t="s">
        <v>1607</v>
      </c>
      <c r="J25" s="40" t="s">
        <v>1607</v>
      </c>
      <c r="K25" s="40">
        <v>90</v>
      </c>
      <c r="L25" s="39">
        <v>120</v>
      </c>
      <c r="M25" s="22" t="s">
        <v>1086</v>
      </c>
      <c r="N25" s="22" t="s">
        <v>2036</v>
      </c>
      <c r="O25" s="24" t="s">
        <v>2037</v>
      </c>
    </row>
    <row r="26" spans="1:28" ht="38.25" x14ac:dyDescent="0.2">
      <c r="A26" s="21" t="s">
        <v>164</v>
      </c>
      <c r="B26" s="22" t="s">
        <v>159</v>
      </c>
      <c r="C26" s="22"/>
      <c r="D26" s="23" t="s">
        <v>65</v>
      </c>
      <c r="E26" s="22" t="s">
        <v>1108</v>
      </c>
      <c r="F26" s="22" t="s">
        <v>1109</v>
      </c>
      <c r="G26" s="23" t="s">
        <v>1110</v>
      </c>
      <c r="H26" s="39" t="s">
        <v>1607</v>
      </c>
      <c r="I26" s="40" t="s">
        <v>1607</v>
      </c>
      <c r="J26" s="40" t="s">
        <v>1607</v>
      </c>
      <c r="K26" s="40">
        <v>110</v>
      </c>
      <c r="L26" s="39">
        <v>135</v>
      </c>
      <c r="M26" s="22" t="s">
        <v>1086</v>
      </c>
      <c r="N26" s="22" t="s">
        <v>1111</v>
      </c>
      <c r="O26" s="24" t="s">
        <v>157</v>
      </c>
    </row>
    <row r="27" spans="1:28" ht="25.5" x14ac:dyDescent="0.2">
      <c r="A27" s="21" t="s">
        <v>184</v>
      </c>
      <c r="B27" s="22" t="s">
        <v>167</v>
      </c>
      <c r="C27" s="22"/>
      <c r="D27" s="23" t="s">
        <v>65</v>
      </c>
      <c r="E27" s="22" t="s">
        <v>1112</v>
      </c>
      <c r="F27" s="22" t="s">
        <v>1113</v>
      </c>
      <c r="G27" s="23" t="s">
        <v>1063</v>
      </c>
      <c r="H27" s="39" t="s">
        <v>1607</v>
      </c>
      <c r="I27" s="40" t="s">
        <v>1607</v>
      </c>
      <c r="J27" s="40" t="s">
        <v>1607</v>
      </c>
      <c r="K27" s="40">
        <v>20</v>
      </c>
      <c r="L27" s="39">
        <v>35</v>
      </c>
      <c r="M27" s="22" t="s">
        <v>1086</v>
      </c>
      <c r="N27" s="22" t="s">
        <v>1114</v>
      </c>
      <c r="O27" s="24" t="s">
        <v>165</v>
      </c>
    </row>
    <row r="28" spans="1:28" ht="25.5" x14ac:dyDescent="0.2">
      <c r="A28" s="21" t="s">
        <v>170</v>
      </c>
      <c r="B28" s="22" t="s">
        <v>173</v>
      </c>
      <c r="C28" s="22"/>
      <c r="D28" s="23" t="s">
        <v>65</v>
      </c>
      <c r="E28" s="22" t="s">
        <v>1115</v>
      </c>
      <c r="F28" s="22" t="s">
        <v>1116</v>
      </c>
      <c r="G28" s="23" t="s">
        <v>174</v>
      </c>
      <c r="H28" s="39">
        <v>180</v>
      </c>
      <c r="I28" s="40">
        <v>250</v>
      </c>
      <c r="J28" s="40">
        <v>350</v>
      </c>
      <c r="K28" s="40">
        <v>250</v>
      </c>
      <c r="L28" s="39">
        <v>350</v>
      </c>
      <c r="M28" s="22" t="s">
        <v>1106</v>
      </c>
      <c r="N28" s="22" t="s">
        <v>1117</v>
      </c>
      <c r="O28" s="24" t="s">
        <v>171</v>
      </c>
    </row>
    <row r="29" spans="1:28" ht="191.25" x14ac:dyDescent="0.2">
      <c r="A29" s="21" t="s">
        <v>1645</v>
      </c>
      <c r="B29" s="22" t="s">
        <v>183</v>
      </c>
      <c r="C29" s="22" t="s">
        <v>1646</v>
      </c>
      <c r="D29" s="23" t="s">
        <v>65</v>
      </c>
      <c r="E29" s="22" t="s">
        <v>1118</v>
      </c>
      <c r="F29" s="22" t="s">
        <v>1119</v>
      </c>
      <c r="G29" s="23" t="s">
        <v>696</v>
      </c>
      <c r="H29" s="39">
        <v>155</v>
      </c>
      <c r="I29" s="40">
        <v>190</v>
      </c>
      <c r="J29" s="39">
        <v>345</v>
      </c>
      <c r="K29" s="40">
        <v>220</v>
      </c>
      <c r="L29" s="39">
        <v>300</v>
      </c>
      <c r="M29" s="22" t="s">
        <v>1064</v>
      </c>
      <c r="N29" s="22" t="s">
        <v>1120</v>
      </c>
      <c r="O29" s="24" t="s">
        <v>180</v>
      </c>
      <c r="Q29" s="22"/>
      <c r="S29" s="22">
        <v>516.9</v>
      </c>
      <c r="U29" s="22">
        <v>182</v>
      </c>
      <c r="Z29" s="40">
        <f t="shared" ref="Z29:Z38" si="0">AVERAGE(R29:Y29)</f>
        <v>349.45</v>
      </c>
      <c r="AA29" s="40">
        <v>190</v>
      </c>
      <c r="AB29" s="22" t="s">
        <v>1759</v>
      </c>
    </row>
    <row r="30" spans="1:28" ht="51" x14ac:dyDescent="0.2">
      <c r="A30" s="21" t="s">
        <v>2039</v>
      </c>
      <c r="B30" s="22" t="s">
        <v>183</v>
      </c>
      <c r="C30" s="22" t="s">
        <v>1646</v>
      </c>
      <c r="D30" s="23" t="s">
        <v>345</v>
      </c>
      <c r="E30" s="22" t="s">
        <v>2040</v>
      </c>
      <c r="F30" s="22" t="s">
        <v>1119</v>
      </c>
      <c r="G30" s="23" t="s">
        <v>696</v>
      </c>
      <c r="H30" s="39">
        <v>155</v>
      </c>
      <c r="I30" s="40">
        <v>190</v>
      </c>
      <c r="J30" s="39">
        <v>345</v>
      </c>
      <c r="K30" s="40">
        <v>115</v>
      </c>
      <c r="L30" s="39">
        <v>150</v>
      </c>
      <c r="M30" s="22" t="s">
        <v>1086</v>
      </c>
      <c r="N30" s="22" t="s">
        <v>2041</v>
      </c>
      <c r="O30" s="24" t="s">
        <v>2042</v>
      </c>
      <c r="Q30" s="22"/>
      <c r="S30" s="22"/>
      <c r="U30" s="22"/>
      <c r="Z30" s="40"/>
      <c r="AA30" s="40"/>
      <c r="AB30" s="22"/>
    </row>
    <row r="31" spans="1:28" ht="38.25" x14ac:dyDescent="0.25">
      <c r="A31" s="21" t="s">
        <v>1638</v>
      </c>
      <c r="B31" s="22" t="s">
        <v>183</v>
      </c>
      <c r="C31" s="22" t="s">
        <v>1639</v>
      </c>
      <c r="D31" s="23" t="s">
        <v>65</v>
      </c>
      <c r="E31" s="22" t="s">
        <v>1640</v>
      </c>
      <c r="F31" s="22" t="s">
        <v>1641</v>
      </c>
      <c r="G31" s="23" t="s">
        <v>696</v>
      </c>
      <c r="H31" s="39"/>
      <c r="I31" s="40">
        <v>32</v>
      </c>
      <c r="J31" s="39"/>
      <c r="K31" s="40">
        <v>0</v>
      </c>
      <c r="L31" s="39"/>
      <c r="M31" s="22" t="s">
        <v>1621</v>
      </c>
      <c r="N31" s="22"/>
      <c r="O31" s="24" t="s">
        <v>1642</v>
      </c>
      <c r="P31"/>
      <c r="Q31" s="22"/>
      <c r="T31" s="22">
        <v>32</v>
      </c>
      <c r="Z31" s="40">
        <f t="shared" si="0"/>
        <v>32</v>
      </c>
      <c r="AA31" s="40">
        <v>32</v>
      </c>
      <c r="AB31" s="22" t="s">
        <v>1760</v>
      </c>
    </row>
    <row r="32" spans="1:28" ht="51" x14ac:dyDescent="0.2">
      <c r="A32" s="21" t="s">
        <v>2056</v>
      </c>
      <c r="B32" s="22" t="s">
        <v>187</v>
      </c>
      <c r="C32" s="22"/>
      <c r="D32" s="23" t="s">
        <v>65</v>
      </c>
      <c r="E32" s="22" t="s">
        <v>1121</v>
      </c>
      <c r="F32" s="22" t="s">
        <v>1122</v>
      </c>
      <c r="G32" s="23" t="s">
        <v>1063</v>
      </c>
      <c r="H32" s="39">
        <v>50</v>
      </c>
      <c r="I32" s="40">
        <v>100</v>
      </c>
      <c r="J32" s="39">
        <v>183</v>
      </c>
      <c r="K32" s="40">
        <v>220</v>
      </c>
      <c r="L32" s="39">
        <v>340</v>
      </c>
      <c r="M32" s="22" t="s">
        <v>1064</v>
      </c>
      <c r="N32" s="22" t="s">
        <v>1123</v>
      </c>
      <c r="O32" s="24" t="s">
        <v>185</v>
      </c>
      <c r="Q32" s="22"/>
      <c r="U32" s="22">
        <v>48</v>
      </c>
      <c r="Y32" s="22">
        <v>170.5</v>
      </c>
      <c r="Z32" s="40">
        <f t="shared" si="0"/>
        <v>109.25</v>
      </c>
      <c r="AA32" s="40">
        <v>100</v>
      </c>
      <c r="AB32" s="22" t="s">
        <v>1761</v>
      </c>
    </row>
    <row r="33" spans="1:28" ht="63.75" x14ac:dyDescent="0.2">
      <c r="A33" s="21" t="s">
        <v>2044</v>
      </c>
      <c r="B33" s="22" t="s">
        <v>187</v>
      </c>
      <c r="C33" s="22"/>
      <c r="D33" s="23" t="s">
        <v>345</v>
      </c>
      <c r="E33" s="22" t="s">
        <v>2045</v>
      </c>
      <c r="F33" s="22" t="s">
        <v>1122</v>
      </c>
      <c r="G33" s="23" t="s">
        <v>1063</v>
      </c>
      <c r="H33" s="39">
        <v>50</v>
      </c>
      <c r="I33" s="40">
        <v>100</v>
      </c>
      <c r="J33" s="39">
        <v>183</v>
      </c>
      <c r="K33" s="40">
        <v>100</v>
      </c>
      <c r="L33" s="39">
        <v>140</v>
      </c>
      <c r="M33" s="22" t="s">
        <v>1086</v>
      </c>
      <c r="N33" s="22" t="s">
        <v>2046</v>
      </c>
      <c r="O33" s="24" t="s">
        <v>2047</v>
      </c>
      <c r="Q33" s="22"/>
      <c r="U33" s="22"/>
      <c r="Y33" s="22"/>
      <c r="Z33" s="40"/>
      <c r="AA33" s="40"/>
      <c r="AB33" s="22"/>
    </row>
    <row r="34" spans="1:28" ht="140.25" x14ac:dyDescent="0.2">
      <c r="A34" s="21" t="s">
        <v>2057</v>
      </c>
      <c r="B34" s="22" t="s">
        <v>191</v>
      </c>
      <c r="C34" s="22"/>
      <c r="D34" s="23" t="s">
        <v>65</v>
      </c>
      <c r="E34" s="22" t="s">
        <v>1124</v>
      </c>
      <c r="F34" s="22" t="s">
        <v>1125</v>
      </c>
      <c r="G34" s="23" t="s">
        <v>1063</v>
      </c>
      <c r="H34" s="39">
        <v>105</v>
      </c>
      <c r="I34" s="40">
        <v>140</v>
      </c>
      <c r="J34" s="39">
        <v>210</v>
      </c>
      <c r="K34" s="40">
        <v>210</v>
      </c>
      <c r="L34" s="39">
        <v>303</v>
      </c>
      <c r="M34" s="22" t="s">
        <v>1064</v>
      </c>
      <c r="N34" s="22" t="s">
        <v>1126</v>
      </c>
      <c r="O34" s="24" t="s">
        <v>189</v>
      </c>
      <c r="Q34" s="22"/>
      <c r="U34" s="22">
        <v>210</v>
      </c>
      <c r="W34" s="22">
        <v>24.4</v>
      </c>
      <c r="Y34" s="22">
        <v>146.69999999999999</v>
      </c>
      <c r="Z34" s="40">
        <f t="shared" si="0"/>
        <v>127.03333333333335</v>
      </c>
      <c r="AA34" s="40">
        <v>140</v>
      </c>
      <c r="AB34" s="22" t="s">
        <v>1762</v>
      </c>
    </row>
    <row r="35" spans="1:28" ht="63.75" x14ac:dyDescent="0.2">
      <c r="A35" s="21" t="s">
        <v>2049</v>
      </c>
      <c r="B35" s="22" t="s">
        <v>191</v>
      </c>
      <c r="C35" s="22"/>
      <c r="D35" s="23" t="s">
        <v>345</v>
      </c>
      <c r="E35" s="22" t="s">
        <v>2050</v>
      </c>
      <c r="F35" s="22" t="s">
        <v>1125</v>
      </c>
      <c r="G35" s="23" t="s">
        <v>1063</v>
      </c>
      <c r="H35" s="39">
        <v>105</v>
      </c>
      <c r="I35" s="40">
        <v>140</v>
      </c>
      <c r="J35" s="39">
        <v>210</v>
      </c>
      <c r="K35" s="40">
        <v>25</v>
      </c>
      <c r="L35" s="39">
        <v>40</v>
      </c>
      <c r="M35" s="22" t="s">
        <v>1086</v>
      </c>
      <c r="N35" s="22" t="s">
        <v>2051</v>
      </c>
      <c r="O35" s="24" t="s">
        <v>2052</v>
      </c>
      <c r="Q35" s="22"/>
      <c r="U35" s="22"/>
      <c r="W35" s="22"/>
      <c r="Y35" s="22"/>
      <c r="Z35" s="40"/>
      <c r="AA35" s="40"/>
      <c r="AB35" s="22"/>
    </row>
    <row r="36" spans="1:28" ht="25.5" x14ac:dyDescent="0.2">
      <c r="A36" s="21" t="s">
        <v>204</v>
      </c>
      <c r="B36" s="22" t="s">
        <v>197</v>
      </c>
      <c r="C36" s="22"/>
      <c r="D36" s="23" t="s">
        <v>65</v>
      </c>
      <c r="E36" s="22" t="s">
        <v>1127</v>
      </c>
      <c r="F36" s="22" t="s">
        <v>1128</v>
      </c>
      <c r="G36" s="23" t="s">
        <v>1063</v>
      </c>
      <c r="H36" s="39">
        <v>68</v>
      </c>
      <c r="I36" s="40">
        <v>150</v>
      </c>
      <c r="J36" s="39">
        <v>218</v>
      </c>
      <c r="K36" s="40">
        <v>150</v>
      </c>
      <c r="L36" s="39">
        <v>218</v>
      </c>
      <c r="M36" s="22" t="s">
        <v>1064</v>
      </c>
      <c r="N36" s="22" t="s">
        <v>1129</v>
      </c>
      <c r="O36" s="24" t="s">
        <v>194</v>
      </c>
      <c r="W36" s="22">
        <v>26.4</v>
      </c>
      <c r="Y36" s="22">
        <v>246.9</v>
      </c>
      <c r="Z36" s="40">
        <f t="shared" si="0"/>
        <v>136.65</v>
      </c>
      <c r="AA36" s="40">
        <v>150</v>
      </c>
      <c r="AB36" s="22" t="s">
        <v>1763</v>
      </c>
    </row>
    <row r="37" spans="1:28" ht="25.5" x14ac:dyDescent="0.2">
      <c r="A37" s="21" t="s">
        <v>1130</v>
      </c>
      <c r="B37" s="22" t="s">
        <v>202</v>
      </c>
      <c r="C37" s="22"/>
      <c r="D37" s="23" t="s">
        <v>65</v>
      </c>
      <c r="E37" s="22" t="s">
        <v>1131</v>
      </c>
      <c r="F37" s="22" t="s">
        <v>1132</v>
      </c>
      <c r="G37" s="23" t="s">
        <v>1063</v>
      </c>
      <c r="H37" s="39">
        <v>50</v>
      </c>
      <c r="I37" s="40">
        <v>100</v>
      </c>
      <c r="J37" s="39">
        <v>200</v>
      </c>
      <c r="K37" s="40">
        <v>100</v>
      </c>
      <c r="L37" s="39">
        <v>200</v>
      </c>
      <c r="M37" s="22" t="s">
        <v>1064</v>
      </c>
      <c r="N37" s="22" t="s">
        <v>1133</v>
      </c>
      <c r="O37" s="24" t="s">
        <v>200</v>
      </c>
      <c r="V37" s="22">
        <v>99</v>
      </c>
      <c r="W37" s="22">
        <v>9.1</v>
      </c>
      <c r="Y37" s="22">
        <v>163.69999999999999</v>
      </c>
      <c r="Z37" s="40">
        <f t="shared" si="0"/>
        <v>90.59999999999998</v>
      </c>
      <c r="AA37" s="40">
        <v>100</v>
      </c>
      <c r="AB37" s="22" t="s">
        <v>1764</v>
      </c>
    </row>
    <row r="38" spans="1:28" ht="140.25" x14ac:dyDescent="0.2">
      <c r="A38" s="21" t="s">
        <v>1134</v>
      </c>
      <c r="B38" s="22" t="s">
        <v>207</v>
      </c>
      <c r="C38" s="22"/>
      <c r="D38" s="23" t="s">
        <v>65</v>
      </c>
      <c r="E38" s="22" t="s">
        <v>1135</v>
      </c>
      <c r="F38" s="22" t="s">
        <v>1136</v>
      </c>
      <c r="G38" s="23" t="s">
        <v>1063</v>
      </c>
      <c r="H38" s="39">
        <v>15</v>
      </c>
      <c r="I38" s="40">
        <v>30</v>
      </c>
      <c r="J38" s="39">
        <v>60</v>
      </c>
      <c r="K38" s="40">
        <v>15</v>
      </c>
      <c r="L38" s="39">
        <v>30</v>
      </c>
      <c r="M38" s="22" t="s">
        <v>1106</v>
      </c>
      <c r="N38" s="22"/>
      <c r="O38" s="24" t="s">
        <v>205</v>
      </c>
      <c r="Q38" s="22"/>
      <c r="S38" s="22">
        <v>95.8</v>
      </c>
      <c r="T38" s="22">
        <v>13.5</v>
      </c>
      <c r="V38" s="22">
        <v>24</v>
      </c>
      <c r="W38" s="22">
        <v>3.4</v>
      </c>
      <c r="Y38" s="22">
        <v>15.6</v>
      </c>
      <c r="Z38" s="40">
        <f t="shared" si="0"/>
        <v>30.46</v>
      </c>
      <c r="AA38" s="40">
        <v>30</v>
      </c>
      <c r="AB38" s="22" t="s">
        <v>1765</v>
      </c>
    </row>
    <row r="39" spans="1:28" x14ac:dyDescent="0.2">
      <c r="A39" s="25" t="s">
        <v>1137</v>
      </c>
      <c r="B39" s="26"/>
      <c r="C39" s="26"/>
      <c r="D39" s="25"/>
      <c r="E39" s="26"/>
      <c r="F39" s="26"/>
      <c r="G39" s="25"/>
      <c r="H39" s="41"/>
      <c r="I39" s="42"/>
      <c r="J39" s="41"/>
      <c r="K39" s="42"/>
      <c r="L39" s="41"/>
      <c r="M39" s="26"/>
      <c r="N39" s="26"/>
      <c r="O39" s="27"/>
    </row>
    <row r="40" spans="1:28" ht="76.5" x14ac:dyDescent="0.2">
      <c r="A40" s="21" t="s">
        <v>217</v>
      </c>
      <c r="B40" s="22" t="s">
        <v>215</v>
      </c>
      <c r="C40" s="22"/>
      <c r="D40" s="23" t="s">
        <v>65</v>
      </c>
      <c r="E40" s="22" t="s">
        <v>1138</v>
      </c>
      <c r="F40" s="22" t="s">
        <v>1139</v>
      </c>
      <c r="G40" s="23" t="s">
        <v>1063</v>
      </c>
      <c r="H40" s="39">
        <v>30</v>
      </c>
      <c r="I40" s="40">
        <v>75</v>
      </c>
      <c r="J40" s="39">
        <v>140</v>
      </c>
      <c r="K40" s="40">
        <v>55</v>
      </c>
      <c r="L40" s="39">
        <v>140</v>
      </c>
      <c r="M40" s="22" t="s">
        <v>1064</v>
      </c>
      <c r="N40" s="22" t="s">
        <v>1140</v>
      </c>
      <c r="O40" s="24" t="s">
        <v>212</v>
      </c>
      <c r="Q40" s="22"/>
      <c r="S40" s="22">
        <v>99.3</v>
      </c>
      <c r="T40" s="22">
        <v>72</v>
      </c>
      <c r="V40" s="22">
        <v>304</v>
      </c>
      <c r="W40" s="22">
        <v>26.6</v>
      </c>
      <c r="X40" s="22">
        <v>49</v>
      </c>
      <c r="Y40" s="22">
        <v>39.4</v>
      </c>
      <c r="Z40" s="40">
        <f>AVERAGE(R40:Y40)</f>
        <v>98.38333333333334</v>
      </c>
      <c r="AA40" s="40">
        <v>75</v>
      </c>
      <c r="AB40" s="22" t="s">
        <v>1766</v>
      </c>
    </row>
    <row r="41" spans="1:28" ht="25.5" x14ac:dyDescent="0.2">
      <c r="A41" s="23" t="s">
        <v>1141</v>
      </c>
      <c r="B41" s="22" t="s">
        <v>221</v>
      </c>
      <c r="C41" s="22" t="s">
        <v>222</v>
      </c>
      <c r="D41" s="23" t="s">
        <v>65</v>
      </c>
      <c r="E41" s="22" t="s">
        <v>1142</v>
      </c>
      <c r="F41" s="22" t="s">
        <v>1143</v>
      </c>
      <c r="G41" s="23" t="s">
        <v>1063</v>
      </c>
      <c r="H41" s="39">
        <v>51</v>
      </c>
      <c r="I41" s="40">
        <v>85</v>
      </c>
      <c r="J41" s="39">
        <v>227</v>
      </c>
      <c r="K41" s="40">
        <v>85</v>
      </c>
      <c r="L41" s="39">
        <v>227</v>
      </c>
      <c r="M41" s="22" t="s">
        <v>1064</v>
      </c>
      <c r="N41" s="22" t="s">
        <v>1144</v>
      </c>
      <c r="O41" s="24" t="s">
        <v>219</v>
      </c>
      <c r="Q41" s="22"/>
      <c r="V41" s="22">
        <v>177</v>
      </c>
      <c r="W41" s="22">
        <v>21.5</v>
      </c>
      <c r="Y41" s="22">
        <v>95.3</v>
      </c>
      <c r="Z41" s="40">
        <f>AVERAGE(R41:Y41)</f>
        <v>97.933333333333337</v>
      </c>
      <c r="AA41" s="40">
        <v>85</v>
      </c>
      <c r="AB41" s="22" t="s">
        <v>1767</v>
      </c>
    </row>
    <row r="42" spans="1:28" ht="25.5" x14ac:dyDescent="0.2">
      <c r="A42" s="23" t="s">
        <v>1145</v>
      </c>
      <c r="B42" s="22" t="s">
        <v>221</v>
      </c>
      <c r="C42" s="22" t="s">
        <v>227</v>
      </c>
      <c r="D42" s="23" t="s">
        <v>65</v>
      </c>
      <c r="E42" s="22" t="s">
        <v>1146</v>
      </c>
      <c r="F42" s="22" t="s">
        <v>1143</v>
      </c>
      <c r="G42" s="23" t="s">
        <v>1063</v>
      </c>
      <c r="H42" s="39">
        <v>90</v>
      </c>
      <c r="I42" s="40">
        <v>120</v>
      </c>
      <c r="J42" s="39">
        <v>245</v>
      </c>
      <c r="K42" s="40">
        <v>120</v>
      </c>
      <c r="L42" s="39">
        <v>245</v>
      </c>
      <c r="M42" s="22" t="s">
        <v>1106</v>
      </c>
      <c r="N42" s="22" t="s">
        <v>1147</v>
      </c>
      <c r="O42" s="24" t="s">
        <v>226</v>
      </c>
    </row>
    <row r="43" spans="1:28" ht="63.75" x14ac:dyDescent="0.25">
      <c r="A43" s="23" t="s">
        <v>1635</v>
      </c>
      <c r="B43" s="22" t="s">
        <v>221</v>
      </c>
      <c r="C43" s="22" t="s">
        <v>222</v>
      </c>
      <c r="D43" s="23" t="s">
        <v>450</v>
      </c>
      <c r="E43" s="22" t="s">
        <v>1636</v>
      </c>
      <c r="F43" s="22" t="s">
        <v>1143</v>
      </c>
      <c r="G43" s="23" t="s">
        <v>1063</v>
      </c>
      <c r="H43" s="39">
        <v>30</v>
      </c>
      <c r="I43" s="40">
        <v>50</v>
      </c>
      <c r="J43" s="39">
        <v>135</v>
      </c>
      <c r="K43" s="40">
        <v>75</v>
      </c>
      <c r="L43" s="39">
        <v>200</v>
      </c>
      <c r="M43" s="22" t="s">
        <v>1621</v>
      </c>
      <c r="N43" s="22"/>
      <c r="O43" s="24" t="s">
        <v>1637</v>
      </c>
      <c r="P43"/>
      <c r="Q43" s="22"/>
      <c r="S43" s="22">
        <v>38.4</v>
      </c>
      <c r="T43" s="22">
        <v>51</v>
      </c>
      <c r="Z43" s="40">
        <f>AVERAGE(R43:Y43)</f>
        <v>44.7</v>
      </c>
      <c r="AA43" s="40">
        <v>50</v>
      </c>
      <c r="AB43" s="22" t="s">
        <v>1768</v>
      </c>
    </row>
    <row r="44" spans="1:28" ht="25.5" x14ac:dyDescent="0.2">
      <c r="A44" s="21" t="s">
        <v>1647</v>
      </c>
      <c r="B44" s="22" t="s">
        <v>231</v>
      </c>
      <c r="C44" s="22"/>
      <c r="D44" s="23" t="s">
        <v>65</v>
      </c>
      <c r="E44" s="22" t="s">
        <v>1148</v>
      </c>
      <c r="F44" s="22" t="s">
        <v>1149</v>
      </c>
      <c r="G44" s="23" t="s">
        <v>1063</v>
      </c>
      <c r="H44" s="39">
        <v>48</v>
      </c>
      <c r="I44" s="40">
        <v>80</v>
      </c>
      <c r="J44" s="39">
        <v>224</v>
      </c>
      <c r="K44" s="40">
        <v>112</v>
      </c>
      <c r="L44" s="39">
        <v>224</v>
      </c>
      <c r="M44" s="22" t="s">
        <v>1064</v>
      </c>
      <c r="N44" s="22" t="s">
        <v>1150</v>
      </c>
      <c r="O44" s="24" t="s">
        <v>229</v>
      </c>
      <c r="Q44" s="22"/>
      <c r="V44" s="22">
        <v>129</v>
      </c>
      <c r="W44" s="22">
        <v>21</v>
      </c>
      <c r="Y44" s="22">
        <v>109.6</v>
      </c>
      <c r="Z44" s="40">
        <f>AVERAGE(R44:Y44)</f>
        <v>86.533333333333346</v>
      </c>
      <c r="AA44" s="40">
        <v>80</v>
      </c>
      <c r="AB44" s="22" t="s">
        <v>1769</v>
      </c>
    </row>
    <row r="45" spans="1:28" ht="89.25" x14ac:dyDescent="0.25">
      <c r="A45" s="21" t="s">
        <v>1631</v>
      </c>
      <c r="B45" s="22" t="s">
        <v>231</v>
      </c>
      <c r="C45" s="22"/>
      <c r="D45" s="23" t="s">
        <v>450</v>
      </c>
      <c r="E45" s="22" t="s">
        <v>1632</v>
      </c>
      <c r="F45" s="22" t="s">
        <v>1633</v>
      </c>
      <c r="G45" s="23" t="s">
        <v>1063</v>
      </c>
      <c r="H45" s="39">
        <v>18</v>
      </c>
      <c r="I45" s="40">
        <v>30</v>
      </c>
      <c r="J45" s="39">
        <v>85</v>
      </c>
      <c r="K45" s="40">
        <v>70</v>
      </c>
      <c r="L45" s="39">
        <v>140</v>
      </c>
      <c r="M45" s="22" t="s">
        <v>1621</v>
      </c>
      <c r="N45" s="22"/>
      <c r="O45" s="24" t="s">
        <v>1634</v>
      </c>
      <c r="P45"/>
      <c r="Q45" s="22"/>
      <c r="S45" s="22">
        <v>70.400000000000006</v>
      </c>
      <c r="T45" s="22">
        <v>30</v>
      </c>
      <c r="Z45" s="40">
        <f>AVERAGE(R45:Y45)</f>
        <v>50.2</v>
      </c>
      <c r="AA45" s="40">
        <v>30</v>
      </c>
      <c r="AB45" s="22" t="s">
        <v>1770</v>
      </c>
    </row>
    <row r="46" spans="1:28" x14ac:dyDescent="0.2">
      <c r="A46" s="25" t="s">
        <v>1151</v>
      </c>
      <c r="B46" s="26"/>
      <c r="C46" s="26"/>
      <c r="D46" s="25"/>
      <c r="E46" s="26"/>
      <c r="F46" s="26"/>
      <c r="G46" s="25"/>
      <c r="H46" s="41"/>
      <c r="I46" s="42"/>
      <c r="J46" s="41"/>
      <c r="K46" s="42"/>
      <c r="L46" s="41"/>
      <c r="M46" s="26"/>
      <c r="N46" s="26"/>
      <c r="O46" s="27"/>
    </row>
    <row r="47" spans="1:28" ht="38.25" x14ac:dyDescent="0.2">
      <c r="A47" s="48" t="s">
        <v>1152</v>
      </c>
      <c r="B47" s="49" t="s">
        <v>238</v>
      </c>
      <c r="C47" s="49" t="s">
        <v>64</v>
      </c>
      <c r="D47" s="48" t="s">
        <v>65</v>
      </c>
      <c r="E47" s="49" t="s">
        <v>1153</v>
      </c>
      <c r="F47" s="49" t="s">
        <v>1154</v>
      </c>
      <c r="G47" s="48" t="s">
        <v>1155</v>
      </c>
      <c r="H47" s="50">
        <v>1800</v>
      </c>
      <c r="I47" s="51">
        <v>3950</v>
      </c>
      <c r="J47" s="50">
        <v>6400</v>
      </c>
      <c r="K47" s="51">
        <v>3950</v>
      </c>
      <c r="L47" s="50">
        <v>6400</v>
      </c>
      <c r="M47" s="49" t="s">
        <v>1106</v>
      </c>
      <c r="N47" s="49" t="s">
        <v>1156</v>
      </c>
      <c r="O47" s="52" t="s">
        <v>234</v>
      </c>
      <c r="P47" s="54"/>
      <c r="V47" s="22">
        <v>7653</v>
      </c>
      <c r="Y47" s="22">
        <v>14573</v>
      </c>
      <c r="Z47" s="40">
        <f>AVERAGE(R47:Y47)</f>
        <v>11113</v>
      </c>
      <c r="AA47" s="40">
        <v>7000</v>
      </c>
      <c r="AB47" s="22" t="s">
        <v>1771</v>
      </c>
    </row>
    <row r="48" spans="1:28" ht="38.25" x14ac:dyDescent="0.2">
      <c r="A48" s="48" t="s">
        <v>1157</v>
      </c>
      <c r="B48" s="49" t="s">
        <v>238</v>
      </c>
      <c r="C48" s="49" t="s">
        <v>248</v>
      </c>
      <c r="D48" s="48" t="s">
        <v>65</v>
      </c>
      <c r="E48" s="49" t="s">
        <v>1159</v>
      </c>
      <c r="F48" s="49" t="s">
        <v>1154</v>
      </c>
      <c r="G48" s="48" t="s">
        <v>1155</v>
      </c>
      <c r="H48" s="50">
        <v>3500</v>
      </c>
      <c r="I48" s="51">
        <v>5500</v>
      </c>
      <c r="J48" s="50">
        <v>9000</v>
      </c>
      <c r="K48" s="51">
        <v>5500</v>
      </c>
      <c r="L48" s="50">
        <v>9000</v>
      </c>
      <c r="M48" s="49" t="s">
        <v>1106</v>
      </c>
      <c r="N48" s="49"/>
      <c r="O48" s="52" t="s">
        <v>247</v>
      </c>
      <c r="Y48" s="22">
        <v>16025</v>
      </c>
      <c r="Z48" s="40">
        <f>AVERAGE(R48:Y48)</f>
        <v>16025</v>
      </c>
      <c r="AA48" s="40">
        <v>9000</v>
      </c>
      <c r="AB48" s="22" t="s">
        <v>1771</v>
      </c>
    </row>
    <row r="49" spans="1:28" ht="51" x14ac:dyDescent="0.2">
      <c r="A49" s="43" t="s">
        <v>1158</v>
      </c>
      <c r="B49" s="44" t="s">
        <v>238</v>
      </c>
      <c r="C49" s="44" t="s">
        <v>1160</v>
      </c>
      <c r="D49" s="43" t="s">
        <v>65</v>
      </c>
      <c r="E49" s="44" t="s">
        <v>1161</v>
      </c>
      <c r="F49" s="44" t="s">
        <v>1154</v>
      </c>
      <c r="G49" s="43" t="s">
        <v>240</v>
      </c>
      <c r="H49" s="45"/>
      <c r="I49" s="46">
        <v>45000</v>
      </c>
      <c r="J49" s="45">
        <v>80000</v>
      </c>
      <c r="K49" s="46">
        <v>45000</v>
      </c>
      <c r="L49" s="45">
        <v>80000</v>
      </c>
      <c r="M49" s="44" t="s">
        <v>1064</v>
      </c>
      <c r="N49" s="44"/>
      <c r="O49" s="47" t="s">
        <v>251</v>
      </c>
    </row>
    <row r="50" spans="1:28" ht="102" x14ac:dyDescent="0.2">
      <c r="A50" s="48" t="s">
        <v>1163</v>
      </c>
      <c r="B50" s="49" t="s">
        <v>255</v>
      </c>
      <c r="C50" s="49" t="s">
        <v>64</v>
      </c>
      <c r="D50" s="48" t="s">
        <v>65</v>
      </c>
      <c r="E50" s="49" t="s">
        <v>1164</v>
      </c>
      <c r="F50" s="49" t="s">
        <v>1165</v>
      </c>
      <c r="G50" s="48" t="s">
        <v>1166</v>
      </c>
      <c r="H50" s="50">
        <v>1150</v>
      </c>
      <c r="I50" s="51">
        <v>2500</v>
      </c>
      <c r="J50" s="50">
        <v>4400</v>
      </c>
      <c r="K50" s="51">
        <v>2000</v>
      </c>
      <c r="L50" s="50">
        <v>3500</v>
      </c>
      <c r="M50" s="49" t="s">
        <v>1621</v>
      </c>
      <c r="N50" s="49" t="s">
        <v>1168</v>
      </c>
      <c r="O50" s="52" t="s">
        <v>253</v>
      </c>
      <c r="Q50" s="22"/>
      <c r="S50" s="22">
        <v>3869</v>
      </c>
      <c r="T50" s="22">
        <v>2563</v>
      </c>
      <c r="Z50" s="40">
        <f>AVERAGE(R50:Y50)</f>
        <v>3216</v>
      </c>
      <c r="AA50" s="40">
        <v>2500</v>
      </c>
      <c r="AB50" s="22" t="s">
        <v>1772</v>
      </c>
    </row>
    <row r="51" spans="1:28" ht="25.5" x14ac:dyDescent="0.2">
      <c r="A51" s="48" t="s">
        <v>1169</v>
      </c>
      <c r="B51" s="49" t="s">
        <v>255</v>
      </c>
      <c r="C51" s="49" t="s">
        <v>64</v>
      </c>
      <c r="D51" s="48" t="s">
        <v>245</v>
      </c>
      <c r="E51" s="49" t="s">
        <v>1170</v>
      </c>
      <c r="F51" s="49" t="s">
        <v>1165</v>
      </c>
      <c r="G51" s="48" t="s">
        <v>1166</v>
      </c>
      <c r="H51" s="50">
        <v>3500</v>
      </c>
      <c r="I51" s="51">
        <v>5500</v>
      </c>
      <c r="J51" s="50">
        <v>8500</v>
      </c>
      <c r="K51" s="51">
        <v>5500</v>
      </c>
      <c r="L51" s="50">
        <v>8500</v>
      </c>
      <c r="M51" s="49" t="s">
        <v>1167</v>
      </c>
      <c r="N51" s="49" t="s">
        <v>1171</v>
      </c>
      <c r="O51" s="52" t="s">
        <v>259</v>
      </c>
    </row>
    <row r="52" spans="1:28" ht="25.5" x14ac:dyDescent="0.2">
      <c r="A52" s="53" t="s">
        <v>323</v>
      </c>
      <c r="B52" s="49" t="s">
        <v>263</v>
      </c>
      <c r="C52" s="49"/>
      <c r="D52" s="48" t="s">
        <v>65</v>
      </c>
      <c r="E52" s="49" t="s">
        <v>1172</v>
      </c>
      <c r="F52" s="49" t="s">
        <v>1173</v>
      </c>
      <c r="G52" s="48" t="s">
        <v>1174</v>
      </c>
      <c r="H52" s="50">
        <v>900</v>
      </c>
      <c r="I52" s="51">
        <v>1400</v>
      </c>
      <c r="J52" s="50">
        <v>2500</v>
      </c>
      <c r="K52" s="51">
        <v>1400</v>
      </c>
      <c r="L52" s="50">
        <v>2500</v>
      </c>
      <c r="M52" s="49" t="s">
        <v>1086</v>
      </c>
      <c r="N52" s="49" t="s">
        <v>1175</v>
      </c>
      <c r="O52" s="52" t="s">
        <v>261</v>
      </c>
    </row>
    <row r="53" spans="1:28" ht="38.25" x14ac:dyDescent="0.2">
      <c r="A53" s="48" t="s">
        <v>1176</v>
      </c>
      <c r="B53" s="49" t="s">
        <v>268</v>
      </c>
      <c r="C53" s="49" t="s">
        <v>1177</v>
      </c>
      <c r="D53" s="48" t="s">
        <v>65</v>
      </c>
      <c r="E53" s="49" t="s">
        <v>1178</v>
      </c>
      <c r="F53" s="49" t="s">
        <v>1179</v>
      </c>
      <c r="G53" s="48" t="s">
        <v>1180</v>
      </c>
      <c r="H53" s="50">
        <v>3100</v>
      </c>
      <c r="I53" s="51">
        <v>5300</v>
      </c>
      <c r="J53" s="50">
        <v>8850</v>
      </c>
      <c r="K53" s="51">
        <v>6000</v>
      </c>
      <c r="L53" s="50">
        <v>10000</v>
      </c>
      <c r="M53" s="49" t="s">
        <v>1621</v>
      </c>
      <c r="N53" s="49" t="s">
        <v>1181</v>
      </c>
      <c r="O53" s="52" t="s">
        <v>266</v>
      </c>
      <c r="Q53" s="49"/>
      <c r="T53" s="22">
        <v>5296</v>
      </c>
      <c r="Z53" s="40">
        <f>AVERAGE(R53:Y53)</f>
        <v>5296</v>
      </c>
      <c r="AA53" s="40">
        <v>5300</v>
      </c>
      <c r="AB53" s="22" t="s">
        <v>1773</v>
      </c>
    </row>
    <row r="54" spans="1:28" ht="38.25" x14ac:dyDescent="0.2">
      <c r="A54" s="48" t="s">
        <v>1182</v>
      </c>
      <c r="B54" s="49" t="s">
        <v>268</v>
      </c>
      <c r="C54" s="49" t="s">
        <v>1609</v>
      </c>
      <c r="D54" s="48" t="s">
        <v>65</v>
      </c>
      <c r="E54" s="49" t="s">
        <v>1610</v>
      </c>
      <c r="F54" s="49" t="s">
        <v>1179</v>
      </c>
      <c r="G54" s="48" t="s">
        <v>1611</v>
      </c>
      <c r="H54" s="50">
        <v>3750</v>
      </c>
      <c r="I54" s="51">
        <v>6000</v>
      </c>
      <c r="J54" s="50">
        <v>10500</v>
      </c>
      <c r="K54" s="51">
        <v>6000</v>
      </c>
      <c r="L54" s="50">
        <v>10500</v>
      </c>
      <c r="M54" s="49" t="s">
        <v>1064</v>
      </c>
      <c r="N54" s="49" t="s">
        <v>1183</v>
      </c>
      <c r="O54" s="52" t="s">
        <v>273</v>
      </c>
      <c r="Y54" s="22">
        <v>10276</v>
      </c>
      <c r="Z54" s="40">
        <f>AVERAGE(R54:Y54)</f>
        <v>10276</v>
      </c>
      <c r="AA54" s="40">
        <v>6000</v>
      </c>
      <c r="AB54" s="22" t="s">
        <v>1774</v>
      </c>
    </row>
    <row r="55" spans="1:28" ht="63.75" x14ac:dyDescent="0.2">
      <c r="A55" s="21" t="s">
        <v>286</v>
      </c>
      <c r="B55" s="22" t="s">
        <v>278</v>
      </c>
      <c r="C55" s="22"/>
      <c r="D55" s="23" t="s">
        <v>65</v>
      </c>
      <c r="E55" s="22" t="s">
        <v>1184</v>
      </c>
      <c r="F55" s="22" t="s">
        <v>1185</v>
      </c>
      <c r="G55" s="23" t="s">
        <v>1063</v>
      </c>
      <c r="H55" s="39">
        <v>15</v>
      </c>
      <c r="I55" s="40">
        <v>45</v>
      </c>
      <c r="J55" s="39">
        <v>100</v>
      </c>
      <c r="K55" s="40">
        <v>45</v>
      </c>
      <c r="L55" s="39">
        <v>100</v>
      </c>
      <c r="M55" s="22" t="s">
        <v>1167</v>
      </c>
      <c r="N55" s="22" t="s">
        <v>1186</v>
      </c>
      <c r="O55" s="24" t="s">
        <v>275</v>
      </c>
      <c r="Q55" s="22"/>
      <c r="S55" s="22">
        <v>63.7</v>
      </c>
      <c r="W55" s="22">
        <v>7</v>
      </c>
      <c r="Y55" s="22">
        <v>41.8</v>
      </c>
      <c r="Z55" s="40">
        <f>AVERAGE(R55:Y55)</f>
        <v>37.5</v>
      </c>
      <c r="AA55" s="40">
        <v>45</v>
      </c>
      <c r="AB55" s="22" t="s">
        <v>1775</v>
      </c>
    </row>
    <row r="56" spans="1:28" ht="25.5" x14ac:dyDescent="0.2">
      <c r="A56" s="21" t="s">
        <v>1187</v>
      </c>
      <c r="B56" s="22" t="s">
        <v>283</v>
      </c>
      <c r="C56" s="22"/>
      <c r="D56" s="23" t="s">
        <v>65</v>
      </c>
      <c r="E56" s="22" t="s">
        <v>1188</v>
      </c>
      <c r="F56" s="22" t="s">
        <v>1189</v>
      </c>
      <c r="G56" s="23" t="s">
        <v>1063</v>
      </c>
      <c r="H56" s="39">
        <v>6</v>
      </c>
      <c r="I56" s="40">
        <v>12</v>
      </c>
      <c r="J56" s="39">
        <v>18</v>
      </c>
      <c r="K56" s="40">
        <v>12</v>
      </c>
      <c r="L56" s="39">
        <v>18</v>
      </c>
      <c r="M56" s="22" t="s">
        <v>1064</v>
      </c>
      <c r="N56" s="22" t="s">
        <v>1190</v>
      </c>
      <c r="O56" s="24" t="s">
        <v>281</v>
      </c>
      <c r="W56" s="22">
        <v>16.399999999999999</v>
      </c>
      <c r="Y56" s="22">
        <v>12.2</v>
      </c>
      <c r="Z56" s="40">
        <f>AVERAGE(R56:Y56)</f>
        <v>14.299999999999999</v>
      </c>
      <c r="AA56" s="40">
        <v>12</v>
      </c>
      <c r="AB56" s="22" t="s">
        <v>1776</v>
      </c>
    </row>
    <row r="57" spans="1:28" ht="25.5" x14ac:dyDescent="0.2">
      <c r="A57" s="21" t="s">
        <v>1191</v>
      </c>
      <c r="B57" s="22" t="s">
        <v>289</v>
      </c>
      <c r="C57" s="22"/>
      <c r="D57" s="23" t="s">
        <v>65</v>
      </c>
      <c r="E57" s="22" t="s">
        <v>1192</v>
      </c>
      <c r="F57" s="22" t="s">
        <v>1193</v>
      </c>
      <c r="G57" s="23" t="s">
        <v>1063</v>
      </c>
      <c r="H57" s="39" t="s">
        <v>1607</v>
      </c>
      <c r="I57" s="40">
        <v>25</v>
      </c>
      <c r="J57" s="39">
        <v>60</v>
      </c>
      <c r="K57" s="40">
        <v>25</v>
      </c>
      <c r="L57" s="39">
        <v>60</v>
      </c>
      <c r="M57" s="22" t="s">
        <v>1167</v>
      </c>
      <c r="N57" s="22"/>
      <c r="O57" s="24" t="s">
        <v>287</v>
      </c>
    </row>
    <row r="58" spans="1:28" ht="25.5" x14ac:dyDescent="0.2">
      <c r="A58" s="23" t="s">
        <v>1194</v>
      </c>
      <c r="B58" s="22" t="s">
        <v>296</v>
      </c>
      <c r="C58" s="22" t="s">
        <v>64</v>
      </c>
      <c r="D58" s="23" t="s">
        <v>65</v>
      </c>
      <c r="E58" s="22" t="s">
        <v>1195</v>
      </c>
      <c r="F58" s="22" t="s">
        <v>1196</v>
      </c>
      <c r="G58" s="23" t="s">
        <v>1063</v>
      </c>
      <c r="H58" s="39">
        <v>55</v>
      </c>
      <c r="I58" s="40">
        <v>110</v>
      </c>
      <c r="J58" s="39">
        <v>240</v>
      </c>
      <c r="K58" s="40">
        <v>110</v>
      </c>
      <c r="L58" s="39">
        <v>240</v>
      </c>
      <c r="M58" s="22" t="s">
        <v>1167</v>
      </c>
      <c r="N58" s="22" t="s">
        <v>1197</v>
      </c>
      <c r="O58" s="24" t="s">
        <v>294</v>
      </c>
    </row>
    <row r="59" spans="1:28" ht="25.5" x14ac:dyDescent="0.2">
      <c r="A59" s="23" t="s">
        <v>1198</v>
      </c>
      <c r="B59" s="22" t="s">
        <v>296</v>
      </c>
      <c r="C59" s="22" t="s">
        <v>64</v>
      </c>
      <c r="D59" s="23" t="s">
        <v>299</v>
      </c>
      <c r="E59" s="22" t="s">
        <v>1199</v>
      </c>
      <c r="F59" s="22" t="s">
        <v>1196</v>
      </c>
      <c r="G59" s="23" t="s">
        <v>1063</v>
      </c>
      <c r="H59" s="39">
        <v>28</v>
      </c>
      <c r="I59" s="40">
        <v>50</v>
      </c>
      <c r="J59" s="39">
        <v>120</v>
      </c>
      <c r="K59" s="40">
        <v>50</v>
      </c>
      <c r="L59" s="39">
        <v>120</v>
      </c>
      <c r="M59" s="22" t="s">
        <v>1167</v>
      </c>
      <c r="N59" s="22"/>
      <c r="O59" s="24" t="s">
        <v>298</v>
      </c>
    </row>
    <row r="60" spans="1:28" ht="25.5" x14ac:dyDescent="0.2">
      <c r="A60" s="23" t="s">
        <v>1200</v>
      </c>
      <c r="B60" s="22" t="s">
        <v>296</v>
      </c>
      <c r="C60" s="22" t="s">
        <v>64</v>
      </c>
      <c r="D60" s="23" t="s">
        <v>302</v>
      </c>
      <c r="E60" s="22" t="s">
        <v>1201</v>
      </c>
      <c r="F60" s="22" t="s">
        <v>1196</v>
      </c>
      <c r="G60" s="23" t="s">
        <v>1063</v>
      </c>
      <c r="H60" s="39">
        <v>48</v>
      </c>
      <c r="I60" s="40">
        <v>88</v>
      </c>
      <c r="J60" s="39">
        <v>180</v>
      </c>
      <c r="K60" s="40">
        <v>88</v>
      </c>
      <c r="L60" s="39">
        <v>180</v>
      </c>
      <c r="M60" s="22" t="s">
        <v>1167</v>
      </c>
      <c r="N60" s="22"/>
      <c r="O60" s="24" t="s">
        <v>301</v>
      </c>
    </row>
    <row r="61" spans="1:28" ht="25.5" x14ac:dyDescent="0.2">
      <c r="A61" s="23" t="s">
        <v>1202</v>
      </c>
      <c r="B61" s="22" t="s">
        <v>296</v>
      </c>
      <c r="C61" s="22" t="s">
        <v>64</v>
      </c>
      <c r="D61" s="23" t="s">
        <v>245</v>
      </c>
      <c r="E61" s="22" t="s">
        <v>1203</v>
      </c>
      <c r="F61" s="22" t="s">
        <v>1196</v>
      </c>
      <c r="G61" s="23" t="s">
        <v>1063</v>
      </c>
      <c r="H61" s="39">
        <v>62</v>
      </c>
      <c r="I61" s="40">
        <v>138</v>
      </c>
      <c r="J61" s="39">
        <v>350</v>
      </c>
      <c r="K61" s="40">
        <v>138</v>
      </c>
      <c r="L61" s="39">
        <v>350</v>
      </c>
      <c r="M61" s="22" t="s">
        <v>1167</v>
      </c>
      <c r="N61" s="22"/>
      <c r="O61" s="24" t="s">
        <v>304</v>
      </c>
    </row>
    <row r="62" spans="1:28" ht="38.25" x14ac:dyDescent="0.2">
      <c r="A62" s="21" t="s">
        <v>1204</v>
      </c>
      <c r="B62" s="22" t="s">
        <v>309</v>
      </c>
      <c r="C62" s="22"/>
      <c r="D62" s="23" t="s">
        <v>65</v>
      </c>
      <c r="E62" s="22" t="s">
        <v>1205</v>
      </c>
      <c r="F62" s="22" t="s">
        <v>1206</v>
      </c>
      <c r="G62" s="23" t="s">
        <v>1207</v>
      </c>
      <c r="H62" s="39">
        <v>541</v>
      </c>
      <c r="I62" s="40">
        <v>1000</v>
      </c>
      <c r="J62" s="39">
        <v>2100</v>
      </c>
      <c r="K62" s="40">
        <v>1000</v>
      </c>
      <c r="L62" s="39">
        <v>2100</v>
      </c>
      <c r="M62" s="22" t="s">
        <v>1064</v>
      </c>
      <c r="N62" s="22"/>
      <c r="O62" s="24" t="s">
        <v>306</v>
      </c>
      <c r="X62" s="22">
        <v>1438</v>
      </c>
      <c r="Z62" s="40">
        <f>AVERAGE(R62:Y62)</f>
        <v>1438</v>
      </c>
      <c r="AA62" s="40">
        <v>1000</v>
      </c>
      <c r="AB62" s="22" t="s">
        <v>1777</v>
      </c>
    </row>
    <row r="63" spans="1:28" ht="25.5" x14ac:dyDescent="0.2">
      <c r="A63" s="21" t="s">
        <v>1208</v>
      </c>
      <c r="B63" s="22" t="s">
        <v>318</v>
      </c>
      <c r="C63" s="22"/>
      <c r="D63" s="23" t="s">
        <v>65</v>
      </c>
      <c r="E63" s="22" t="s">
        <v>1209</v>
      </c>
      <c r="F63" s="22" t="s">
        <v>1210</v>
      </c>
      <c r="G63" s="23" t="s">
        <v>319</v>
      </c>
      <c r="H63" s="39"/>
      <c r="I63" s="40">
        <v>310</v>
      </c>
      <c r="J63" s="39">
        <v>600</v>
      </c>
      <c r="K63" s="40">
        <v>310</v>
      </c>
      <c r="L63" s="39">
        <v>600</v>
      </c>
      <c r="M63" s="22" t="s">
        <v>1167</v>
      </c>
      <c r="N63" s="22"/>
      <c r="O63" s="24" t="s">
        <v>316</v>
      </c>
    </row>
    <row r="64" spans="1:28" ht="25.5" x14ac:dyDescent="0.2">
      <c r="A64" s="21" t="s">
        <v>1211</v>
      </c>
      <c r="B64" s="22" t="s">
        <v>327</v>
      </c>
      <c r="C64" s="22"/>
      <c r="D64" s="23" t="s">
        <v>65</v>
      </c>
      <c r="E64" s="22" t="s">
        <v>1212</v>
      </c>
      <c r="F64" s="22" t="s">
        <v>1213</v>
      </c>
      <c r="G64" s="23" t="s">
        <v>328</v>
      </c>
      <c r="H64" s="39"/>
      <c r="I64" s="40">
        <v>65</v>
      </c>
      <c r="J64" s="39">
        <v>130</v>
      </c>
      <c r="K64" s="40">
        <v>65</v>
      </c>
      <c r="L64" s="39">
        <v>130</v>
      </c>
      <c r="M64" s="22" t="s">
        <v>1167</v>
      </c>
      <c r="N64" s="22"/>
      <c r="O64" s="24" t="s">
        <v>325</v>
      </c>
    </row>
    <row r="65" spans="1:28" ht="25.5" x14ac:dyDescent="0.2">
      <c r="A65" s="21" t="s">
        <v>1214</v>
      </c>
      <c r="B65" s="22" t="s">
        <v>334</v>
      </c>
      <c r="C65" s="22"/>
      <c r="D65" s="23" t="s">
        <v>65</v>
      </c>
      <c r="E65" s="22" t="s">
        <v>1215</v>
      </c>
      <c r="F65" s="22" t="s">
        <v>1216</v>
      </c>
      <c r="G65" s="23" t="s">
        <v>335</v>
      </c>
      <c r="H65" s="39"/>
      <c r="I65" s="40">
        <v>163</v>
      </c>
      <c r="J65" s="39">
        <v>305</v>
      </c>
      <c r="K65" s="40">
        <v>163</v>
      </c>
      <c r="L65" s="39">
        <v>305</v>
      </c>
      <c r="M65" s="22" t="s">
        <v>1167</v>
      </c>
      <c r="N65" s="22"/>
      <c r="O65" s="24" t="s">
        <v>332</v>
      </c>
    </row>
    <row r="66" spans="1:28" ht="25.5" x14ac:dyDescent="0.2">
      <c r="A66" s="21" t="s">
        <v>1217</v>
      </c>
      <c r="B66" s="22" t="s">
        <v>342</v>
      </c>
      <c r="C66" s="22"/>
      <c r="D66" s="23" t="s">
        <v>65</v>
      </c>
      <c r="E66" s="22" t="s">
        <v>1218</v>
      </c>
      <c r="F66" s="22" t="s">
        <v>1219</v>
      </c>
      <c r="G66" s="23" t="s">
        <v>1220</v>
      </c>
      <c r="H66" s="39">
        <v>22</v>
      </c>
      <c r="I66" s="40">
        <v>24</v>
      </c>
      <c r="J66" s="39">
        <v>51</v>
      </c>
      <c r="K66" s="40">
        <v>24</v>
      </c>
      <c r="L66" s="39">
        <v>51</v>
      </c>
      <c r="M66" s="22" t="s">
        <v>1167</v>
      </c>
      <c r="N66" s="22"/>
      <c r="O66" s="24" t="s">
        <v>340</v>
      </c>
    </row>
    <row r="67" spans="1:28" ht="25.5" x14ac:dyDescent="0.2">
      <c r="A67" s="21" t="s">
        <v>1221</v>
      </c>
      <c r="B67" s="22" t="s">
        <v>349</v>
      </c>
      <c r="C67" s="22"/>
      <c r="D67" s="23" t="s">
        <v>65</v>
      </c>
      <c r="E67" s="22" t="s">
        <v>1222</v>
      </c>
      <c r="F67" s="22" t="s">
        <v>1223</v>
      </c>
      <c r="G67" s="23" t="s">
        <v>350</v>
      </c>
      <c r="H67" s="39"/>
      <c r="I67" s="40">
        <v>152</v>
      </c>
      <c r="J67" s="39">
        <v>352</v>
      </c>
      <c r="K67" s="40">
        <v>152</v>
      </c>
      <c r="L67" s="39">
        <v>352</v>
      </c>
      <c r="M67" s="22" t="s">
        <v>1167</v>
      </c>
      <c r="N67" s="22"/>
      <c r="O67" s="24" t="s">
        <v>347</v>
      </c>
    </row>
    <row r="68" spans="1:28" ht="25.5" x14ac:dyDescent="0.2">
      <c r="A68" s="21" t="s">
        <v>1224</v>
      </c>
      <c r="B68" s="22" t="s">
        <v>356</v>
      </c>
      <c r="C68" s="22"/>
      <c r="D68" s="23" t="s">
        <v>65</v>
      </c>
      <c r="E68" s="22" t="s">
        <v>1225</v>
      </c>
      <c r="F68" s="22" t="s">
        <v>1226</v>
      </c>
      <c r="G68" s="23" t="s">
        <v>357</v>
      </c>
      <c r="H68" s="39"/>
      <c r="I68" s="40">
        <v>380</v>
      </c>
      <c r="J68" s="39">
        <v>860</v>
      </c>
      <c r="K68" s="40">
        <v>380</v>
      </c>
      <c r="L68" s="39">
        <v>860</v>
      </c>
      <c r="M68" s="22" t="s">
        <v>1167</v>
      </c>
      <c r="N68" s="22"/>
      <c r="O68" s="24" t="s">
        <v>354</v>
      </c>
    </row>
    <row r="69" spans="1:28" x14ac:dyDescent="0.2">
      <c r="A69" s="25" t="s">
        <v>1227</v>
      </c>
      <c r="B69" s="26"/>
      <c r="C69" s="26"/>
      <c r="D69" s="25"/>
      <c r="E69" s="26"/>
      <c r="F69" s="26"/>
      <c r="G69" s="25"/>
      <c r="H69" s="41"/>
      <c r="I69" s="42"/>
      <c r="J69" s="41"/>
      <c r="K69" s="42"/>
      <c r="L69" s="41"/>
      <c r="M69" s="26"/>
      <c r="N69" s="26"/>
      <c r="O69" s="27"/>
    </row>
    <row r="70" spans="1:28" ht="25.5" x14ac:dyDescent="0.2">
      <c r="A70" s="55" t="s">
        <v>1228</v>
      </c>
      <c r="B70" s="56" t="s">
        <v>365</v>
      </c>
      <c r="C70" s="56" t="s">
        <v>1229</v>
      </c>
      <c r="D70" s="55" t="s">
        <v>65</v>
      </c>
      <c r="E70" s="56" t="s">
        <v>1230</v>
      </c>
      <c r="F70" s="56" t="s">
        <v>1231</v>
      </c>
      <c r="G70" s="55" t="s">
        <v>1063</v>
      </c>
      <c r="H70" s="57">
        <v>30</v>
      </c>
      <c r="I70" s="58">
        <v>60</v>
      </c>
      <c r="J70" s="57">
        <v>135</v>
      </c>
      <c r="K70" s="58">
        <v>60</v>
      </c>
      <c r="L70" s="57">
        <v>105</v>
      </c>
      <c r="M70" s="56" t="s">
        <v>1167</v>
      </c>
      <c r="N70" s="56" t="s">
        <v>1232</v>
      </c>
      <c r="O70" s="59" t="s">
        <v>361</v>
      </c>
    </row>
    <row r="71" spans="1:28" ht="127.5" x14ac:dyDescent="0.2">
      <c r="A71" s="55" t="s">
        <v>1015</v>
      </c>
      <c r="B71" s="56" t="s">
        <v>365</v>
      </c>
      <c r="C71" s="56" t="s">
        <v>1233</v>
      </c>
      <c r="D71" s="55" t="s">
        <v>65</v>
      </c>
      <c r="E71" s="56" t="s">
        <v>1234</v>
      </c>
      <c r="F71" s="56" t="s">
        <v>1231</v>
      </c>
      <c r="G71" s="55" t="s">
        <v>1063</v>
      </c>
      <c r="H71" s="57">
        <v>95</v>
      </c>
      <c r="I71" s="58">
        <v>190</v>
      </c>
      <c r="J71" s="57">
        <v>427</v>
      </c>
      <c r="K71" s="58">
        <v>190</v>
      </c>
      <c r="L71" s="57">
        <v>332</v>
      </c>
      <c r="M71" s="56" t="s">
        <v>1064</v>
      </c>
      <c r="N71" s="56"/>
      <c r="O71" s="59" t="s">
        <v>370</v>
      </c>
      <c r="Q71" s="22"/>
      <c r="U71" s="22">
        <v>224</v>
      </c>
      <c r="Z71" s="40">
        <f>AVERAGE(R71:Y71)</f>
        <v>224</v>
      </c>
      <c r="AA71" s="40">
        <v>190</v>
      </c>
      <c r="AB71" s="22" t="s">
        <v>1778</v>
      </c>
    </row>
    <row r="72" spans="1:28" ht="25.5" x14ac:dyDescent="0.2">
      <c r="A72" s="55" t="s">
        <v>1235</v>
      </c>
      <c r="B72" s="56" t="s">
        <v>365</v>
      </c>
      <c r="C72" s="56" t="s">
        <v>1236</v>
      </c>
      <c r="D72" s="55" t="s">
        <v>65</v>
      </c>
      <c r="E72" s="56" t="s">
        <v>1237</v>
      </c>
      <c r="F72" s="56" t="s">
        <v>1231</v>
      </c>
      <c r="G72" s="55" t="s">
        <v>1063</v>
      </c>
      <c r="H72" s="57">
        <f>H70*1.8</f>
        <v>54</v>
      </c>
      <c r="I72" s="58">
        <f>I70*1.8</f>
        <v>108</v>
      </c>
      <c r="J72" s="57">
        <f>J70*1.8</f>
        <v>243</v>
      </c>
      <c r="K72" s="58">
        <f>K70*1.8</f>
        <v>108</v>
      </c>
      <c r="L72" s="57">
        <f>L70*1.8</f>
        <v>189</v>
      </c>
      <c r="M72" s="56" t="s">
        <v>1238</v>
      </c>
      <c r="N72" s="56"/>
      <c r="O72" s="59" t="s">
        <v>374</v>
      </c>
    </row>
    <row r="73" spans="1:28" ht="25.5" x14ac:dyDescent="0.2">
      <c r="A73" s="55" t="s">
        <v>1239</v>
      </c>
      <c r="B73" s="56" t="s">
        <v>365</v>
      </c>
      <c r="C73" s="56" t="s">
        <v>1240</v>
      </c>
      <c r="D73" s="55" t="s">
        <v>65</v>
      </c>
      <c r="E73" s="56" t="s">
        <v>1241</v>
      </c>
      <c r="F73" s="56" t="s">
        <v>1231</v>
      </c>
      <c r="G73" s="55" t="s">
        <v>1063</v>
      </c>
      <c r="H73" s="57">
        <v>60</v>
      </c>
      <c r="I73" s="58">
        <v>120</v>
      </c>
      <c r="J73" s="57">
        <v>270</v>
      </c>
      <c r="K73" s="58">
        <v>120</v>
      </c>
      <c r="L73" s="57">
        <v>210</v>
      </c>
      <c r="M73" s="56" t="s">
        <v>1064</v>
      </c>
      <c r="N73" s="56"/>
      <c r="O73" s="59" t="s">
        <v>377</v>
      </c>
      <c r="Y73" s="22">
        <v>134.69999999999999</v>
      </c>
      <c r="Z73" s="40">
        <f>AVERAGE(R73:Y73)</f>
        <v>134.69999999999999</v>
      </c>
      <c r="AA73" s="40">
        <v>120</v>
      </c>
      <c r="AB73" s="22" t="s">
        <v>1779</v>
      </c>
    </row>
    <row r="74" spans="1:28" ht="25.5" x14ac:dyDescent="0.2">
      <c r="A74" s="55" t="s">
        <v>1242</v>
      </c>
      <c r="B74" s="56" t="s">
        <v>365</v>
      </c>
      <c r="C74" s="56" t="s">
        <v>1243</v>
      </c>
      <c r="D74" s="55" t="s">
        <v>65</v>
      </c>
      <c r="E74" s="56" t="s">
        <v>1244</v>
      </c>
      <c r="F74" s="56" t="s">
        <v>1231</v>
      </c>
      <c r="G74" s="55" t="s">
        <v>1063</v>
      </c>
      <c r="H74" s="57">
        <f>H70*0.6</f>
        <v>18</v>
      </c>
      <c r="I74" s="58">
        <f>I70*0.6</f>
        <v>36</v>
      </c>
      <c r="J74" s="57">
        <f>J70*0.6</f>
        <v>81</v>
      </c>
      <c r="K74" s="58">
        <f>K70*0.6</f>
        <v>36</v>
      </c>
      <c r="L74" s="57">
        <f>L70*0.6</f>
        <v>63</v>
      </c>
      <c r="M74" s="56" t="s">
        <v>1245</v>
      </c>
      <c r="N74" s="56"/>
      <c r="O74" s="59" t="s">
        <v>380</v>
      </c>
    </row>
    <row r="75" spans="1:28" ht="25.5" x14ac:dyDescent="0.2">
      <c r="A75" s="55" t="s">
        <v>1246</v>
      </c>
      <c r="B75" s="56" t="s">
        <v>365</v>
      </c>
      <c r="C75" s="56" t="s">
        <v>1247</v>
      </c>
      <c r="D75" s="55" t="s">
        <v>65</v>
      </c>
      <c r="E75" s="56" t="s">
        <v>1248</v>
      </c>
      <c r="F75" s="56" t="s">
        <v>1231</v>
      </c>
      <c r="G75" s="55" t="s">
        <v>1063</v>
      </c>
      <c r="H75" s="57">
        <f>H70*0.35</f>
        <v>10.5</v>
      </c>
      <c r="I75" s="58">
        <f>I70*0.35</f>
        <v>21</v>
      </c>
      <c r="J75" s="57">
        <f>J70*0.35</f>
        <v>47.25</v>
      </c>
      <c r="K75" s="58">
        <f>K70*0.35</f>
        <v>21</v>
      </c>
      <c r="L75" s="57">
        <f>L70*0.35</f>
        <v>36.75</v>
      </c>
      <c r="M75" s="56" t="s">
        <v>1249</v>
      </c>
      <c r="N75" s="56"/>
      <c r="O75" s="59" t="s">
        <v>383</v>
      </c>
    </row>
    <row r="76" spans="1:28" ht="25.5" x14ac:dyDescent="0.2">
      <c r="A76" s="55" t="s">
        <v>1250</v>
      </c>
      <c r="B76" s="56" t="s">
        <v>365</v>
      </c>
      <c r="C76" s="56" t="s">
        <v>1251</v>
      </c>
      <c r="D76" s="55" t="s">
        <v>65</v>
      </c>
      <c r="E76" s="56" t="s">
        <v>1252</v>
      </c>
      <c r="F76" s="56" t="s">
        <v>1231</v>
      </c>
      <c r="G76" s="55" t="s">
        <v>1063</v>
      </c>
      <c r="H76" s="57">
        <f>H70*0.3</f>
        <v>9</v>
      </c>
      <c r="I76" s="58">
        <f>I70*0.3</f>
        <v>18</v>
      </c>
      <c r="J76" s="57">
        <f>J70*0.3</f>
        <v>40.5</v>
      </c>
      <c r="K76" s="58">
        <f>K70*0.3</f>
        <v>18</v>
      </c>
      <c r="L76" s="57">
        <f>L70*0.3</f>
        <v>31.5</v>
      </c>
      <c r="M76" s="56" t="s">
        <v>1253</v>
      </c>
      <c r="N76" s="56"/>
      <c r="O76" s="59" t="s">
        <v>386</v>
      </c>
    </row>
    <row r="77" spans="1:28" ht="25.5" x14ac:dyDescent="0.2">
      <c r="A77" s="55" t="s">
        <v>1254</v>
      </c>
      <c r="B77" s="56" t="s">
        <v>365</v>
      </c>
      <c r="C77" s="56" t="s">
        <v>1255</v>
      </c>
      <c r="D77" s="55" t="s">
        <v>65</v>
      </c>
      <c r="E77" s="56" t="s">
        <v>1256</v>
      </c>
      <c r="F77" s="56" t="s">
        <v>1231</v>
      </c>
      <c r="G77" s="55" t="s">
        <v>1063</v>
      </c>
      <c r="H77" s="57">
        <f>H71*0.45</f>
        <v>42.75</v>
      </c>
      <c r="I77" s="58">
        <f>I71*0.45</f>
        <v>85.5</v>
      </c>
      <c r="J77" s="57">
        <f>J71*0.45</f>
        <v>192.15</v>
      </c>
      <c r="K77" s="58">
        <f>K71*0.45</f>
        <v>85.5</v>
      </c>
      <c r="L77" s="57">
        <f>L71*0.45</f>
        <v>149.4</v>
      </c>
      <c r="M77" s="56" t="s">
        <v>1257</v>
      </c>
      <c r="N77" s="56"/>
      <c r="O77" s="59" t="s">
        <v>389</v>
      </c>
    </row>
    <row r="78" spans="1:28" ht="25.5" x14ac:dyDescent="0.2">
      <c r="A78" s="55" t="s">
        <v>1258</v>
      </c>
      <c r="B78" s="56" t="s">
        <v>365</v>
      </c>
      <c r="C78" s="56" t="s">
        <v>1259</v>
      </c>
      <c r="D78" s="55" t="s">
        <v>65</v>
      </c>
      <c r="E78" s="56" t="s">
        <v>1260</v>
      </c>
      <c r="F78" s="56" t="s">
        <v>1231</v>
      </c>
      <c r="G78" s="55" t="s">
        <v>1063</v>
      </c>
      <c r="H78" s="57">
        <f>H71*0.3</f>
        <v>28.5</v>
      </c>
      <c r="I78" s="58">
        <f>I71*0.3</f>
        <v>57</v>
      </c>
      <c r="J78" s="57">
        <f>J71*0.3</f>
        <v>128.1</v>
      </c>
      <c r="K78" s="58">
        <f>K71*0.3</f>
        <v>57</v>
      </c>
      <c r="L78" s="57">
        <f>L71*0.3</f>
        <v>99.6</v>
      </c>
      <c r="M78" s="56" t="s">
        <v>1261</v>
      </c>
      <c r="N78" s="56"/>
      <c r="O78" s="59" t="s">
        <v>393</v>
      </c>
    </row>
    <row r="79" spans="1:28" ht="25.5" x14ac:dyDescent="0.2">
      <c r="A79" s="55" t="s">
        <v>1262</v>
      </c>
      <c r="B79" s="56" t="s">
        <v>365</v>
      </c>
      <c r="C79" s="56" t="s">
        <v>1263</v>
      </c>
      <c r="D79" s="55" t="s">
        <v>65</v>
      </c>
      <c r="E79" s="56" t="s">
        <v>1264</v>
      </c>
      <c r="F79" s="56" t="s">
        <v>1231</v>
      </c>
      <c r="G79" s="55" t="s">
        <v>1063</v>
      </c>
      <c r="H79" s="57">
        <f>H72*0.45</f>
        <v>24.3</v>
      </c>
      <c r="I79" s="58">
        <f>I72*0.45</f>
        <v>48.6</v>
      </c>
      <c r="J79" s="57">
        <f>J72*0.45</f>
        <v>109.35000000000001</v>
      </c>
      <c r="K79" s="58">
        <f>K72*0.45</f>
        <v>48.6</v>
      </c>
      <c r="L79" s="57">
        <f>L72*0.45</f>
        <v>85.05</v>
      </c>
      <c r="M79" s="56" t="s">
        <v>1265</v>
      </c>
      <c r="N79" s="56"/>
      <c r="O79" s="59" t="s">
        <v>395</v>
      </c>
    </row>
    <row r="80" spans="1:28" ht="25.5" x14ac:dyDescent="0.2">
      <c r="A80" s="55" t="s">
        <v>1266</v>
      </c>
      <c r="B80" s="56" t="s">
        <v>365</v>
      </c>
      <c r="C80" s="56" t="s">
        <v>1267</v>
      </c>
      <c r="D80" s="55" t="s">
        <v>65</v>
      </c>
      <c r="E80" s="56" t="s">
        <v>1268</v>
      </c>
      <c r="F80" s="56" t="s">
        <v>1231</v>
      </c>
      <c r="G80" s="55" t="s">
        <v>1063</v>
      </c>
      <c r="H80" s="57">
        <f t="shared" ref="H80:L81" si="1">H72*0.3</f>
        <v>16.2</v>
      </c>
      <c r="I80" s="58">
        <f t="shared" si="1"/>
        <v>32.4</v>
      </c>
      <c r="J80" s="57">
        <f t="shared" si="1"/>
        <v>72.899999999999991</v>
      </c>
      <c r="K80" s="58">
        <f t="shared" si="1"/>
        <v>32.4</v>
      </c>
      <c r="L80" s="57">
        <f t="shared" si="1"/>
        <v>56.699999999999996</v>
      </c>
      <c r="M80" s="56" t="s">
        <v>1269</v>
      </c>
      <c r="N80" s="56"/>
      <c r="O80" s="59" t="s">
        <v>397</v>
      </c>
    </row>
    <row r="81" spans="1:28" ht="25.5" x14ac:dyDescent="0.2">
      <c r="A81" s="55" t="s">
        <v>1270</v>
      </c>
      <c r="B81" s="56" t="s">
        <v>365</v>
      </c>
      <c r="C81" s="56" t="s">
        <v>1271</v>
      </c>
      <c r="D81" s="55" t="s">
        <v>65</v>
      </c>
      <c r="E81" s="56" t="s">
        <v>1272</v>
      </c>
      <c r="F81" s="56" t="s">
        <v>1231</v>
      </c>
      <c r="G81" s="55" t="s">
        <v>1063</v>
      </c>
      <c r="H81" s="57">
        <f t="shared" si="1"/>
        <v>18</v>
      </c>
      <c r="I81" s="58">
        <f t="shared" si="1"/>
        <v>36</v>
      </c>
      <c r="J81" s="57">
        <f t="shared" si="1"/>
        <v>81</v>
      </c>
      <c r="K81" s="58">
        <f t="shared" si="1"/>
        <v>36</v>
      </c>
      <c r="L81" s="57">
        <f t="shared" si="1"/>
        <v>63</v>
      </c>
      <c r="M81" s="56" t="s">
        <v>1273</v>
      </c>
      <c r="N81" s="56"/>
      <c r="O81" s="59" t="s">
        <v>399</v>
      </c>
    </row>
    <row r="82" spans="1:28" ht="25.5" x14ac:dyDescent="0.2">
      <c r="A82" s="55" t="s">
        <v>1274</v>
      </c>
      <c r="B82" s="56" t="s">
        <v>365</v>
      </c>
      <c r="C82" s="56" t="s">
        <v>1275</v>
      </c>
      <c r="D82" s="55" t="s">
        <v>65</v>
      </c>
      <c r="E82" s="56" t="s">
        <v>1276</v>
      </c>
      <c r="F82" s="56" t="s">
        <v>1231</v>
      </c>
      <c r="G82" s="55" t="s">
        <v>1063</v>
      </c>
      <c r="H82" s="57">
        <f>H73*0.3</f>
        <v>18</v>
      </c>
      <c r="I82" s="58">
        <f>I73*0.3</f>
        <v>36</v>
      </c>
      <c r="J82" s="57">
        <f>J73*0.3</f>
        <v>81</v>
      </c>
      <c r="K82" s="58">
        <f>K73*0.3</f>
        <v>36</v>
      </c>
      <c r="L82" s="57">
        <f>L73*0.3</f>
        <v>63</v>
      </c>
      <c r="M82" s="56" t="s">
        <v>1273</v>
      </c>
      <c r="N82" s="56"/>
      <c r="O82" s="59" t="s">
        <v>402</v>
      </c>
    </row>
    <row r="83" spans="1:28" ht="25.5" x14ac:dyDescent="0.2">
      <c r="A83" s="55" t="s">
        <v>1277</v>
      </c>
      <c r="B83" s="56" t="s">
        <v>365</v>
      </c>
      <c r="C83" s="56" t="s">
        <v>1278</v>
      </c>
      <c r="D83" s="55" t="s">
        <v>65</v>
      </c>
      <c r="E83" s="56" t="s">
        <v>1279</v>
      </c>
      <c r="F83" s="56" t="s">
        <v>1231</v>
      </c>
      <c r="G83" s="55" t="s">
        <v>1063</v>
      </c>
      <c r="H83" s="57">
        <f>H74*0.5</f>
        <v>9</v>
      </c>
      <c r="I83" s="58">
        <f>I74*0.5</f>
        <v>18</v>
      </c>
      <c r="J83" s="57">
        <f>J74*0.5</f>
        <v>40.5</v>
      </c>
      <c r="K83" s="58">
        <f>K74*0.5</f>
        <v>18</v>
      </c>
      <c r="L83" s="57">
        <f>L74*0.5</f>
        <v>31.5</v>
      </c>
      <c r="M83" s="56" t="s">
        <v>1280</v>
      </c>
      <c r="N83" s="56"/>
      <c r="O83" s="59" t="s">
        <v>404</v>
      </c>
    </row>
    <row r="84" spans="1:28" ht="25.5" x14ac:dyDescent="0.2">
      <c r="A84" s="55" t="s">
        <v>1281</v>
      </c>
      <c r="B84" s="56" t="s">
        <v>365</v>
      </c>
      <c r="C84" s="56" t="s">
        <v>1282</v>
      </c>
      <c r="D84" s="55" t="s">
        <v>65</v>
      </c>
      <c r="E84" s="56" t="s">
        <v>1283</v>
      </c>
      <c r="F84" s="56" t="s">
        <v>1231</v>
      </c>
      <c r="G84" s="55" t="s">
        <v>1063</v>
      </c>
      <c r="H84" s="57">
        <f>H74*0.3</f>
        <v>5.3999999999999995</v>
      </c>
      <c r="I84" s="58">
        <f>I74*0.3</f>
        <v>10.799999999999999</v>
      </c>
      <c r="J84" s="57">
        <f>J74*0.3</f>
        <v>24.3</v>
      </c>
      <c r="K84" s="58">
        <f>K74*0.3</f>
        <v>10.799999999999999</v>
      </c>
      <c r="L84" s="57">
        <f>L74*0.3</f>
        <v>18.899999999999999</v>
      </c>
      <c r="M84" s="56" t="s">
        <v>1284</v>
      </c>
      <c r="N84" s="56"/>
      <c r="O84" s="59" t="s">
        <v>407</v>
      </c>
    </row>
    <row r="85" spans="1:28" ht="76.5" x14ac:dyDescent="0.2">
      <c r="A85" s="23" t="s">
        <v>1285</v>
      </c>
      <c r="B85" s="22" t="s">
        <v>411</v>
      </c>
      <c r="C85" s="22" t="s">
        <v>1286</v>
      </c>
      <c r="D85" s="23" t="s">
        <v>65</v>
      </c>
      <c r="E85" s="22" t="s">
        <v>1287</v>
      </c>
      <c r="F85" s="22" t="s">
        <v>1288</v>
      </c>
      <c r="G85" s="23" t="s">
        <v>1063</v>
      </c>
      <c r="H85" s="39">
        <v>37</v>
      </c>
      <c r="I85" s="40">
        <v>80</v>
      </c>
      <c r="J85" s="39">
        <v>222</v>
      </c>
      <c r="K85" s="40">
        <v>37</v>
      </c>
      <c r="L85" s="39">
        <v>111</v>
      </c>
      <c r="M85" s="22" t="s">
        <v>1064</v>
      </c>
      <c r="N85" s="22" t="s">
        <v>1289</v>
      </c>
      <c r="O85" s="24" t="s">
        <v>409</v>
      </c>
      <c r="Q85" s="22"/>
      <c r="S85" s="22">
        <v>38.9</v>
      </c>
      <c r="V85" s="22">
        <v>209</v>
      </c>
      <c r="W85" s="22">
        <v>18.2</v>
      </c>
      <c r="X85" s="22">
        <v>124</v>
      </c>
      <c r="Y85" s="22">
        <v>104.5</v>
      </c>
      <c r="Z85" s="40">
        <f t="shared" ref="Z85:Z90" si="2">AVERAGE(R85:Y85)</f>
        <v>98.92</v>
      </c>
      <c r="AA85" s="40">
        <v>80</v>
      </c>
      <c r="AB85" s="22" t="s">
        <v>1780</v>
      </c>
    </row>
    <row r="86" spans="1:28" ht="25.5" x14ac:dyDescent="0.2">
      <c r="A86" s="23" t="s">
        <v>1290</v>
      </c>
      <c r="B86" s="22" t="s">
        <v>411</v>
      </c>
      <c r="C86" s="22" t="s">
        <v>1291</v>
      </c>
      <c r="D86" s="23" t="s">
        <v>65</v>
      </c>
      <c r="E86" s="22" t="s">
        <v>1292</v>
      </c>
      <c r="F86" s="22" t="s">
        <v>1288</v>
      </c>
      <c r="G86" s="23" t="s">
        <v>1063</v>
      </c>
      <c r="H86" s="39">
        <v>9</v>
      </c>
      <c r="I86" s="40">
        <v>19.5</v>
      </c>
      <c r="J86" s="39">
        <v>54</v>
      </c>
      <c r="K86" s="40">
        <v>9</v>
      </c>
      <c r="L86" s="39">
        <v>27</v>
      </c>
      <c r="M86" s="22" t="s">
        <v>1621</v>
      </c>
      <c r="N86" s="22"/>
      <c r="O86" s="24" t="s">
        <v>415</v>
      </c>
      <c r="Q86" s="22"/>
      <c r="T86" s="22">
        <v>20</v>
      </c>
      <c r="Z86" s="40">
        <f t="shared" si="2"/>
        <v>20</v>
      </c>
      <c r="AA86" s="40">
        <v>19.5</v>
      </c>
      <c r="AB86" s="22" t="s">
        <v>1781</v>
      </c>
    </row>
    <row r="87" spans="1:28" ht="76.5" x14ac:dyDescent="0.2">
      <c r="A87" s="21" t="s">
        <v>1648</v>
      </c>
      <c r="B87" s="22" t="s">
        <v>420</v>
      </c>
      <c r="C87" s="22" t="s">
        <v>1649</v>
      </c>
      <c r="D87" s="23" t="s">
        <v>65</v>
      </c>
      <c r="E87" s="22" t="s">
        <v>1293</v>
      </c>
      <c r="F87" s="22" t="s">
        <v>1294</v>
      </c>
      <c r="G87" s="23" t="s">
        <v>1063</v>
      </c>
      <c r="H87" s="39">
        <v>33</v>
      </c>
      <c r="I87" s="40">
        <v>75</v>
      </c>
      <c r="J87" s="39">
        <v>150</v>
      </c>
      <c r="K87" s="40">
        <v>67</v>
      </c>
      <c r="L87" s="39">
        <v>117</v>
      </c>
      <c r="M87" s="22" t="s">
        <v>1064</v>
      </c>
      <c r="N87" s="22" t="s">
        <v>1295</v>
      </c>
      <c r="O87" s="24" t="s">
        <v>418</v>
      </c>
      <c r="Q87" s="22"/>
      <c r="W87" s="22">
        <v>73.099999999999994</v>
      </c>
      <c r="Y87" s="22">
        <v>172.4</v>
      </c>
      <c r="Z87" s="40">
        <f t="shared" si="2"/>
        <v>122.75</v>
      </c>
      <c r="AA87" s="40">
        <v>75</v>
      </c>
      <c r="AB87" s="22" t="s">
        <v>1782</v>
      </c>
    </row>
    <row r="88" spans="1:28" ht="89.25" x14ac:dyDescent="0.25">
      <c r="A88" s="21" t="s">
        <v>1626</v>
      </c>
      <c r="B88" s="22" t="s">
        <v>420</v>
      </c>
      <c r="C88" s="22" t="s">
        <v>1627</v>
      </c>
      <c r="D88" s="23" t="s">
        <v>65</v>
      </c>
      <c r="E88" s="22" t="s">
        <v>1628</v>
      </c>
      <c r="F88" s="22" t="s">
        <v>1629</v>
      </c>
      <c r="G88" s="23" t="s">
        <v>1063</v>
      </c>
      <c r="H88" s="39">
        <v>9</v>
      </c>
      <c r="I88" s="40">
        <v>22</v>
      </c>
      <c r="J88" s="39">
        <v>44</v>
      </c>
      <c r="K88" s="40">
        <v>0</v>
      </c>
      <c r="L88" s="39"/>
      <c r="M88" s="22" t="s">
        <v>1064</v>
      </c>
      <c r="N88" s="22"/>
      <c r="O88" s="24" t="s">
        <v>1630</v>
      </c>
      <c r="P88"/>
      <c r="Q88" s="22"/>
      <c r="S88" s="22">
        <v>28.2</v>
      </c>
      <c r="T88" s="22">
        <v>18.5</v>
      </c>
      <c r="V88" s="22">
        <v>62</v>
      </c>
      <c r="Z88" s="40">
        <f t="shared" si="2"/>
        <v>36.233333333333334</v>
      </c>
      <c r="AA88" s="40">
        <v>22</v>
      </c>
      <c r="AB88" s="22" t="s">
        <v>1783</v>
      </c>
    </row>
    <row r="89" spans="1:28" ht="25.5" x14ac:dyDescent="0.2">
      <c r="A89" s="21" t="s">
        <v>414</v>
      </c>
      <c r="B89" s="22" t="s">
        <v>425</v>
      </c>
      <c r="C89" s="22"/>
      <c r="D89" s="23" t="s">
        <v>65</v>
      </c>
      <c r="E89" s="22" t="s">
        <v>1296</v>
      </c>
      <c r="F89" s="22" t="s">
        <v>1297</v>
      </c>
      <c r="G89" s="23" t="s">
        <v>1063</v>
      </c>
      <c r="H89" s="39">
        <v>30</v>
      </c>
      <c r="I89" s="40">
        <v>75</v>
      </c>
      <c r="J89" s="39">
        <v>150</v>
      </c>
      <c r="K89" s="40">
        <v>75</v>
      </c>
      <c r="L89" s="39">
        <v>150</v>
      </c>
      <c r="M89" s="22" t="s">
        <v>1167</v>
      </c>
      <c r="N89" s="22" t="s">
        <v>1298</v>
      </c>
      <c r="O89" s="24" t="s">
        <v>423</v>
      </c>
      <c r="W89" s="22">
        <v>39.5</v>
      </c>
      <c r="Y89" s="22">
        <v>34.1</v>
      </c>
      <c r="Z89" s="40">
        <f t="shared" si="2"/>
        <v>36.799999999999997</v>
      </c>
      <c r="AA89" s="40">
        <v>75</v>
      </c>
      <c r="AB89" s="22" t="s">
        <v>1784</v>
      </c>
    </row>
    <row r="90" spans="1:28" ht="38.25" x14ac:dyDescent="0.2">
      <c r="A90" s="21" t="s">
        <v>367</v>
      </c>
      <c r="B90" s="22" t="s">
        <v>429</v>
      </c>
      <c r="C90" s="22"/>
      <c r="D90" s="23" t="s">
        <v>65</v>
      </c>
      <c r="E90" s="22" t="s">
        <v>1299</v>
      </c>
      <c r="F90" s="22" t="s">
        <v>1300</v>
      </c>
      <c r="G90" s="23" t="s">
        <v>1063</v>
      </c>
      <c r="H90" s="39">
        <v>13</v>
      </c>
      <c r="I90" s="40">
        <v>25</v>
      </c>
      <c r="J90" s="39">
        <v>37</v>
      </c>
      <c r="K90" s="40">
        <v>25</v>
      </c>
      <c r="L90" s="39">
        <v>37</v>
      </c>
      <c r="M90" s="22" t="s">
        <v>1064</v>
      </c>
      <c r="N90" s="22" t="s">
        <v>1301</v>
      </c>
      <c r="O90" s="24" t="s">
        <v>427</v>
      </c>
      <c r="Q90" s="22"/>
      <c r="S90" s="22">
        <v>4.3</v>
      </c>
      <c r="W90" s="22">
        <v>11.5</v>
      </c>
      <c r="Y90" s="22">
        <v>59.1</v>
      </c>
      <c r="Z90" s="40">
        <f t="shared" si="2"/>
        <v>24.966666666666669</v>
      </c>
      <c r="AA90" s="40">
        <v>25</v>
      </c>
      <c r="AB90" s="22" t="s">
        <v>1785</v>
      </c>
    </row>
    <row r="91" spans="1:28" ht="51" x14ac:dyDescent="0.2">
      <c r="A91" s="55" t="s">
        <v>1302</v>
      </c>
      <c r="B91" s="56" t="s">
        <v>435</v>
      </c>
      <c r="C91" s="56" t="s">
        <v>1303</v>
      </c>
      <c r="D91" s="55" t="s">
        <v>65</v>
      </c>
      <c r="E91" s="56" t="s">
        <v>1304</v>
      </c>
      <c r="F91" s="56" t="s">
        <v>1305</v>
      </c>
      <c r="G91" s="55" t="s">
        <v>115</v>
      </c>
      <c r="H91" s="57"/>
      <c r="I91" s="58">
        <v>10000</v>
      </c>
      <c r="J91" s="57"/>
      <c r="K91" s="58">
        <v>10000</v>
      </c>
      <c r="L91" s="57"/>
      <c r="M91" s="56" t="s">
        <v>1167</v>
      </c>
      <c r="N91" s="56"/>
      <c r="O91" s="59" t="s">
        <v>432</v>
      </c>
    </row>
    <row r="92" spans="1:28" ht="25.5" x14ac:dyDescent="0.2">
      <c r="A92" s="55" t="s">
        <v>1306</v>
      </c>
      <c r="B92" s="56" t="s">
        <v>435</v>
      </c>
      <c r="C92" s="56" t="s">
        <v>1307</v>
      </c>
      <c r="D92" s="55" t="s">
        <v>65</v>
      </c>
      <c r="E92" s="56" t="s">
        <v>1308</v>
      </c>
      <c r="F92" s="56" t="s">
        <v>1305</v>
      </c>
      <c r="G92" s="55" t="s">
        <v>115</v>
      </c>
      <c r="H92" s="57"/>
      <c r="I92" s="58">
        <v>40000</v>
      </c>
      <c r="J92" s="57"/>
      <c r="K92" s="58">
        <v>40000</v>
      </c>
      <c r="L92" s="57"/>
      <c r="M92" s="56" t="s">
        <v>1167</v>
      </c>
      <c r="N92" s="56" t="s">
        <v>1309</v>
      </c>
      <c r="O92" s="59" t="s">
        <v>439</v>
      </c>
    </row>
    <row r="93" spans="1:28" ht="25.5" x14ac:dyDescent="0.2">
      <c r="A93" s="55" t="s">
        <v>1310</v>
      </c>
      <c r="B93" s="56" t="s">
        <v>435</v>
      </c>
      <c r="C93" s="56" t="s">
        <v>1311</v>
      </c>
      <c r="D93" s="55" t="s">
        <v>65</v>
      </c>
      <c r="E93" s="56" t="s">
        <v>1312</v>
      </c>
      <c r="F93" s="56" t="s">
        <v>1305</v>
      </c>
      <c r="G93" s="55" t="s">
        <v>115</v>
      </c>
      <c r="H93" s="57"/>
      <c r="I93" s="58">
        <v>250000</v>
      </c>
      <c r="J93" s="57"/>
      <c r="K93" s="58">
        <v>250000</v>
      </c>
      <c r="L93" s="57"/>
      <c r="M93" s="56" t="s">
        <v>1167</v>
      </c>
      <c r="N93" s="56" t="s">
        <v>1309</v>
      </c>
      <c r="O93" s="59" t="s">
        <v>441</v>
      </c>
    </row>
    <row r="94" spans="1:28" ht="38.25" x14ac:dyDescent="0.2">
      <c r="A94" s="23" t="s">
        <v>1313</v>
      </c>
      <c r="B94" s="22" t="s">
        <v>445</v>
      </c>
      <c r="C94" s="22" t="s">
        <v>1286</v>
      </c>
      <c r="D94" s="23" t="s">
        <v>65</v>
      </c>
      <c r="E94" s="22" t="s">
        <v>1314</v>
      </c>
      <c r="F94" s="22" t="s">
        <v>1315</v>
      </c>
      <c r="G94" s="23" t="s">
        <v>1063</v>
      </c>
      <c r="H94" s="39">
        <v>80</v>
      </c>
      <c r="I94" s="40">
        <v>126</v>
      </c>
      <c r="J94" s="39">
        <v>215</v>
      </c>
      <c r="K94" s="40">
        <v>109</v>
      </c>
      <c r="L94" s="39">
        <v>174</v>
      </c>
      <c r="M94" s="22" t="s">
        <v>1167</v>
      </c>
      <c r="N94" s="22" t="s">
        <v>1316</v>
      </c>
      <c r="O94" s="24" t="s">
        <v>443</v>
      </c>
      <c r="V94" s="22">
        <v>97</v>
      </c>
      <c r="W94" s="22">
        <v>88.5</v>
      </c>
      <c r="X94" s="22">
        <v>218</v>
      </c>
      <c r="Y94" s="22">
        <v>130.6</v>
      </c>
      <c r="Z94" s="40">
        <f>AVERAGE(R94:Y94)</f>
        <v>133.52500000000001</v>
      </c>
      <c r="AA94" s="40">
        <v>126</v>
      </c>
      <c r="AB94" s="22" t="s">
        <v>1786</v>
      </c>
    </row>
    <row r="95" spans="1:28" ht="114.75" x14ac:dyDescent="0.2">
      <c r="A95" s="23" t="s">
        <v>1317</v>
      </c>
      <c r="B95" s="22" t="s">
        <v>445</v>
      </c>
      <c r="C95" s="22" t="s">
        <v>1286</v>
      </c>
      <c r="D95" s="23" t="s">
        <v>450</v>
      </c>
      <c r="E95" s="22" t="s">
        <v>1318</v>
      </c>
      <c r="F95" s="22" t="s">
        <v>1315</v>
      </c>
      <c r="G95" s="23" t="s">
        <v>1063</v>
      </c>
      <c r="H95" s="39">
        <v>95</v>
      </c>
      <c r="I95" s="40">
        <v>150</v>
      </c>
      <c r="J95" s="39">
        <v>255</v>
      </c>
      <c r="K95" s="40">
        <v>93</v>
      </c>
      <c r="L95" s="39">
        <v>148</v>
      </c>
      <c r="M95" s="22" t="s">
        <v>1621</v>
      </c>
      <c r="N95" s="22" t="s">
        <v>1319</v>
      </c>
      <c r="O95" s="24" t="s">
        <v>449</v>
      </c>
      <c r="Q95" s="22"/>
      <c r="S95" s="22">
        <v>157.69999999999999</v>
      </c>
      <c r="T95" s="22">
        <v>153</v>
      </c>
      <c r="Z95" s="40">
        <f>AVERAGE(R95:Y95)</f>
        <v>155.35</v>
      </c>
      <c r="AA95" s="40">
        <v>150</v>
      </c>
      <c r="AB95" s="22" t="s">
        <v>1787</v>
      </c>
    </row>
    <row r="96" spans="1:28" ht="25.5" x14ac:dyDescent="0.2">
      <c r="A96" s="23" t="s">
        <v>1320</v>
      </c>
      <c r="B96" s="22" t="s">
        <v>445</v>
      </c>
      <c r="C96" s="22" t="s">
        <v>1321</v>
      </c>
      <c r="D96" s="23" t="s">
        <v>65</v>
      </c>
      <c r="E96" s="22" t="s">
        <v>1322</v>
      </c>
      <c r="F96" s="22" t="s">
        <v>1315</v>
      </c>
      <c r="G96" s="23" t="s">
        <v>1063</v>
      </c>
      <c r="H96" s="39">
        <v>13</v>
      </c>
      <c r="I96" s="40">
        <v>15</v>
      </c>
      <c r="J96" s="39">
        <v>30</v>
      </c>
      <c r="K96" s="40">
        <v>0</v>
      </c>
      <c r="L96" s="39"/>
      <c r="M96" s="22" t="s">
        <v>1167</v>
      </c>
      <c r="N96" s="22"/>
      <c r="O96" s="24" t="s">
        <v>451</v>
      </c>
    </row>
    <row r="97" spans="1:28" ht="51" x14ac:dyDescent="0.2">
      <c r="A97" s="23" t="s">
        <v>1323</v>
      </c>
      <c r="B97" s="22" t="s">
        <v>456</v>
      </c>
      <c r="C97" s="22" t="s">
        <v>1286</v>
      </c>
      <c r="D97" s="23" t="s">
        <v>65</v>
      </c>
      <c r="E97" s="22" t="s">
        <v>1324</v>
      </c>
      <c r="F97" s="22" t="s">
        <v>1325</v>
      </c>
      <c r="G97" s="23" t="s">
        <v>1063</v>
      </c>
      <c r="H97" s="39">
        <v>48</v>
      </c>
      <c r="I97" s="40">
        <v>80</v>
      </c>
      <c r="J97" s="39">
        <v>126</v>
      </c>
      <c r="K97" s="40">
        <v>80</v>
      </c>
      <c r="L97" s="39">
        <v>126</v>
      </c>
      <c r="M97" s="22" t="s">
        <v>1064</v>
      </c>
      <c r="N97" s="22" t="s">
        <v>1326</v>
      </c>
      <c r="O97" s="24" t="s">
        <v>454</v>
      </c>
      <c r="Q97" s="22"/>
      <c r="S97" s="22">
        <v>113.2</v>
      </c>
      <c r="V97" s="22">
        <v>84</v>
      </c>
      <c r="W97" s="22">
        <v>80.599999999999994</v>
      </c>
      <c r="X97" s="22">
        <v>51</v>
      </c>
      <c r="Y97" s="22">
        <v>198</v>
      </c>
      <c r="Z97" s="40">
        <f>AVERAGE(R97:Y97)</f>
        <v>105.35999999999999</v>
      </c>
      <c r="AA97" s="40">
        <v>80</v>
      </c>
      <c r="AB97" s="22" t="s">
        <v>1788</v>
      </c>
    </row>
    <row r="98" spans="1:28" ht="25.5" x14ac:dyDescent="0.2">
      <c r="A98" s="23" t="s">
        <v>1327</v>
      </c>
      <c r="B98" s="22" t="s">
        <v>456</v>
      </c>
      <c r="C98" s="22" t="s">
        <v>1328</v>
      </c>
      <c r="D98" s="23" t="s">
        <v>65</v>
      </c>
      <c r="E98" s="22" t="s">
        <v>1329</v>
      </c>
      <c r="F98" s="22" t="s">
        <v>1325</v>
      </c>
      <c r="G98" s="23" t="s">
        <v>1063</v>
      </c>
      <c r="H98" s="39">
        <f>H97*0.75</f>
        <v>36</v>
      </c>
      <c r="I98" s="40">
        <f>I97*0.75</f>
        <v>60</v>
      </c>
      <c r="J98" s="39">
        <f>J97*0.75</f>
        <v>94.5</v>
      </c>
      <c r="K98" s="40">
        <f>K97*0.75</f>
        <v>60</v>
      </c>
      <c r="L98" s="39">
        <f>L97*0.75</f>
        <v>94.5</v>
      </c>
      <c r="M98" s="22" t="s">
        <v>1330</v>
      </c>
      <c r="N98" s="22"/>
      <c r="O98" s="24" t="s">
        <v>459</v>
      </c>
    </row>
    <row r="99" spans="1:28" ht="25.5" x14ac:dyDescent="0.2">
      <c r="A99" s="21" t="s">
        <v>1331</v>
      </c>
      <c r="B99" s="22" t="s">
        <v>464</v>
      </c>
      <c r="C99" s="22"/>
      <c r="D99" s="23" t="s">
        <v>65</v>
      </c>
      <c r="E99" s="22" t="s">
        <v>1332</v>
      </c>
      <c r="F99" s="22" t="s">
        <v>1333</v>
      </c>
      <c r="G99" s="23" t="s">
        <v>1063</v>
      </c>
      <c r="H99" s="39">
        <v>5</v>
      </c>
      <c r="I99" s="40">
        <v>10</v>
      </c>
      <c r="J99" s="39">
        <v>18</v>
      </c>
      <c r="K99" s="40">
        <v>8</v>
      </c>
      <c r="L99" s="39">
        <v>12</v>
      </c>
      <c r="M99" s="22" t="s">
        <v>1167</v>
      </c>
      <c r="N99" s="22"/>
      <c r="O99" s="24" t="s">
        <v>462</v>
      </c>
      <c r="Q99" s="22"/>
    </row>
    <row r="100" spans="1:28" ht="38.25" x14ac:dyDescent="0.2">
      <c r="A100" s="23" t="s">
        <v>1334</v>
      </c>
      <c r="B100" s="22" t="s">
        <v>469</v>
      </c>
      <c r="C100" s="22" t="s">
        <v>1335</v>
      </c>
      <c r="D100" s="23" t="s">
        <v>65</v>
      </c>
      <c r="E100" s="22" t="s">
        <v>1336</v>
      </c>
      <c r="F100" s="22" t="s">
        <v>1337</v>
      </c>
      <c r="G100" s="23" t="s">
        <v>115</v>
      </c>
      <c r="H100" s="39"/>
      <c r="I100" s="40">
        <v>25000</v>
      </c>
      <c r="J100" s="39"/>
      <c r="K100" s="40">
        <v>25000</v>
      </c>
      <c r="L100" s="39"/>
      <c r="M100" s="22" t="s">
        <v>1162</v>
      </c>
      <c r="N100" s="22"/>
      <c r="O100" s="24" t="s">
        <v>467</v>
      </c>
    </row>
    <row r="101" spans="1:28" x14ac:dyDescent="0.2">
      <c r="A101" s="23" t="s">
        <v>1338</v>
      </c>
      <c r="B101" s="22" t="s">
        <v>469</v>
      </c>
      <c r="C101" s="22" t="s">
        <v>1339</v>
      </c>
      <c r="D101" s="23" t="s">
        <v>65</v>
      </c>
      <c r="E101" s="22" t="s">
        <v>1340</v>
      </c>
      <c r="F101" s="22" t="s">
        <v>1337</v>
      </c>
      <c r="G101" s="23" t="s">
        <v>115</v>
      </c>
      <c r="H101" s="39"/>
      <c r="I101" s="40">
        <v>17000</v>
      </c>
      <c r="J101" s="39"/>
      <c r="K101" s="40">
        <v>17000</v>
      </c>
      <c r="L101" s="39"/>
      <c r="M101" s="22" t="s">
        <v>1167</v>
      </c>
      <c r="N101" s="22"/>
      <c r="O101" s="24" t="s">
        <v>474</v>
      </c>
    </row>
    <row r="102" spans="1:28" ht="25.5" x14ac:dyDescent="0.2">
      <c r="A102" s="23" t="s">
        <v>1341</v>
      </c>
      <c r="B102" s="22" t="s">
        <v>469</v>
      </c>
      <c r="C102" s="22" t="s">
        <v>1342</v>
      </c>
      <c r="D102" s="23" t="s">
        <v>65</v>
      </c>
      <c r="E102" s="22" t="s">
        <v>1343</v>
      </c>
      <c r="F102" s="22" t="s">
        <v>1337</v>
      </c>
      <c r="G102" s="23" t="s">
        <v>115</v>
      </c>
      <c r="H102" s="39"/>
      <c r="I102" s="40">
        <v>42000</v>
      </c>
      <c r="J102" s="39"/>
      <c r="K102" s="40">
        <v>42000</v>
      </c>
      <c r="L102" s="39"/>
      <c r="M102" s="22" t="s">
        <v>1167</v>
      </c>
      <c r="N102" s="22"/>
      <c r="O102" s="24" t="s">
        <v>477</v>
      </c>
    </row>
    <row r="103" spans="1:28" x14ac:dyDescent="0.2">
      <c r="A103" s="23" t="s">
        <v>1344</v>
      </c>
      <c r="B103" s="22" t="s">
        <v>469</v>
      </c>
      <c r="C103" s="22" t="s">
        <v>1345</v>
      </c>
      <c r="D103" s="23" t="s">
        <v>65</v>
      </c>
      <c r="E103" s="22" t="s">
        <v>1346</v>
      </c>
      <c r="F103" s="22" t="s">
        <v>1337</v>
      </c>
      <c r="G103" s="23" t="s">
        <v>115</v>
      </c>
      <c r="H103" s="39"/>
      <c r="I103" s="40">
        <v>30000</v>
      </c>
      <c r="J103" s="39"/>
      <c r="K103" s="40">
        <v>30000</v>
      </c>
      <c r="L103" s="39"/>
      <c r="M103" s="22" t="s">
        <v>1162</v>
      </c>
      <c r="N103" s="22"/>
      <c r="O103" s="24" t="s">
        <v>480</v>
      </c>
    </row>
    <row r="104" spans="1:28" ht="25.5" x14ac:dyDescent="0.2">
      <c r="A104" s="23" t="s">
        <v>1347</v>
      </c>
      <c r="B104" s="22" t="s">
        <v>469</v>
      </c>
      <c r="C104" s="22" t="s">
        <v>1348</v>
      </c>
      <c r="D104" s="23" t="s">
        <v>65</v>
      </c>
      <c r="E104" s="22" t="s">
        <v>1349</v>
      </c>
      <c r="F104" s="22" t="s">
        <v>1337</v>
      </c>
      <c r="G104" s="23" t="s">
        <v>115</v>
      </c>
      <c r="H104" s="39"/>
      <c r="I104" s="40">
        <v>115000</v>
      </c>
      <c r="J104" s="39"/>
      <c r="K104" s="40">
        <v>115000</v>
      </c>
      <c r="L104" s="39"/>
      <c r="M104" s="22" t="s">
        <v>1167</v>
      </c>
      <c r="N104" s="22" t="s">
        <v>1350</v>
      </c>
      <c r="O104" s="24" t="s">
        <v>483</v>
      </c>
    </row>
    <row r="105" spans="1:28" x14ac:dyDescent="0.2">
      <c r="A105" s="23" t="s">
        <v>1351</v>
      </c>
      <c r="B105" s="22" t="s">
        <v>469</v>
      </c>
      <c r="C105" s="22" t="s">
        <v>1352</v>
      </c>
      <c r="D105" s="23" t="s">
        <v>65</v>
      </c>
      <c r="E105" s="22" t="s">
        <v>1353</v>
      </c>
      <c r="F105" s="22" t="s">
        <v>1337</v>
      </c>
      <c r="G105" s="23" t="s">
        <v>115</v>
      </c>
      <c r="H105" s="39"/>
      <c r="I105" s="40">
        <v>52000</v>
      </c>
      <c r="J105" s="39"/>
      <c r="K105" s="40">
        <v>52000</v>
      </c>
      <c r="L105" s="39"/>
      <c r="M105" s="22" t="s">
        <v>1167</v>
      </c>
      <c r="N105" s="22"/>
      <c r="O105" s="24" t="s">
        <v>486</v>
      </c>
    </row>
    <row r="106" spans="1:28" ht="63.75" x14ac:dyDescent="0.2">
      <c r="A106" s="21" t="s">
        <v>500</v>
      </c>
      <c r="B106" s="22" t="s">
        <v>492</v>
      </c>
      <c r="C106" s="22"/>
      <c r="D106" s="23" t="s">
        <v>65</v>
      </c>
      <c r="E106" s="22" t="s">
        <v>1354</v>
      </c>
      <c r="F106" s="22" t="s">
        <v>1355</v>
      </c>
      <c r="G106" s="23" t="s">
        <v>1063</v>
      </c>
      <c r="H106" s="39">
        <v>19</v>
      </c>
      <c r="I106" s="40">
        <v>35</v>
      </c>
      <c r="J106" s="39">
        <v>58</v>
      </c>
      <c r="K106" s="40">
        <v>27</v>
      </c>
      <c r="L106" s="39">
        <v>49</v>
      </c>
      <c r="M106" s="22" t="s">
        <v>1064</v>
      </c>
      <c r="N106" s="22" t="s">
        <v>1356</v>
      </c>
      <c r="O106" s="24" t="s">
        <v>489</v>
      </c>
      <c r="Q106" s="22"/>
      <c r="S106" s="22">
        <v>64.7</v>
      </c>
      <c r="T106" s="22">
        <v>18.600000000000001</v>
      </c>
      <c r="V106" s="22">
        <v>77</v>
      </c>
      <c r="W106" s="22">
        <v>28.4</v>
      </c>
      <c r="Y106" s="22">
        <v>43.5</v>
      </c>
      <c r="Z106" s="40">
        <f>AVERAGE(R106:Y106)</f>
        <v>46.440000000000005</v>
      </c>
      <c r="AA106" s="40">
        <v>35</v>
      </c>
      <c r="AB106" s="22" t="s">
        <v>1789</v>
      </c>
    </row>
    <row r="107" spans="1:28" ht="25.5" x14ac:dyDescent="0.2">
      <c r="A107" s="21" t="s">
        <v>292</v>
      </c>
      <c r="B107" s="22" t="s">
        <v>497</v>
      </c>
      <c r="C107" s="22"/>
      <c r="D107" s="23" t="s">
        <v>65</v>
      </c>
      <c r="E107" s="22" t="s">
        <v>1357</v>
      </c>
      <c r="F107" s="22" t="s">
        <v>1358</v>
      </c>
      <c r="G107" s="23" t="s">
        <v>1063</v>
      </c>
      <c r="H107" s="39"/>
      <c r="I107" s="40">
        <v>15</v>
      </c>
      <c r="J107" s="39">
        <v>50</v>
      </c>
      <c r="K107" s="40">
        <v>15</v>
      </c>
      <c r="L107" s="39">
        <v>50</v>
      </c>
      <c r="M107" s="22" t="s">
        <v>1167</v>
      </c>
      <c r="N107" s="22" t="s">
        <v>1359</v>
      </c>
      <c r="O107" s="24" t="s">
        <v>495</v>
      </c>
    </row>
    <row r="108" spans="1:28" ht="38.25" x14ac:dyDescent="0.2">
      <c r="A108" s="21" t="s">
        <v>359</v>
      </c>
      <c r="B108" s="22" t="s">
        <v>503</v>
      </c>
      <c r="C108" s="22"/>
      <c r="D108" s="23" t="s">
        <v>65</v>
      </c>
      <c r="E108" s="22" t="s">
        <v>1360</v>
      </c>
      <c r="F108" s="22" t="s">
        <v>1361</v>
      </c>
      <c r="G108" s="23" t="s">
        <v>504</v>
      </c>
      <c r="H108" s="39">
        <v>4000</v>
      </c>
      <c r="I108" s="40">
        <v>6000</v>
      </c>
      <c r="J108" s="39">
        <v>9000</v>
      </c>
      <c r="K108" s="40">
        <v>6000</v>
      </c>
      <c r="L108" s="39">
        <v>9000</v>
      </c>
      <c r="M108" s="22" t="s">
        <v>1162</v>
      </c>
      <c r="N108" s="22"/>
      <c r="O108" s="24" t="s">
        <v>501</v>
      </c>
    </row>
    <row r="109" spans="1:28" ht="25.5" x14ac:dyDescent="0.2">
      <c r="A109" s="21" t="s">
        <v>1650</v>
      </c>
      <c r="B109" s="22" t="s">
        <v>513</v>
      </c>
      <c r="C109" s="22"/>
      <c r="D109" s="23" t="s">
        <v>65</v>
      </c>
      <c r="E109" s="22" t="s">
        <v>1362</v>
      </c>
      <c r="F109" s="22" t="s">
        <v>1363</v>
      </c>
      <c r="G109" s="23" t="s">
        <v>1063</v>
      </c>
      <c r="H109" s="39">
        <v>9</v>
      </c>
      <c r="I109" s="40">
        <v>20</v>
      </c>
      <c r="J109" s="39">
        <v>39</v>
      </c>
      <c r="K109" s="40">
        <v>17</v>
      </c>
      <c r="L109" s="39">
        <v>33</v>
      </c>
      <c r="M109" s="22" t="s">
        <v>1064</v>
      </c>
      <c r="N109" s="22" t="s">
        <v>1364</v>
      </c>
      <c r="O109" s="24" t="s">
        <v>510</v>
      </c>
      <c r="Q109" s="22"/>
      <c r="T109" s="22">
        <v>19.399999999999999</v>
      </c>
      <c r="X109" s="22">
        <v>5.3</v>
      </c>
      <c r="Y109" s="22">
        <v>33.6</v>
      </c>
      <c r="Z109" s="40">
        <f>AVERAGE(R109:Y109)</f>
        <v>19.433333333333334</v>
      </c>
      <c r="AA109" s="40">
        <v>20</v>
      </c>
      <c r="AB109" s="22" t="s">
        <v>1790</v>
      </c>
    </row>
    <row r="110" spans="1:28" ht="51" x14ac:dyDescent="0.25">
      <c r="A110" s="21" t="s">
        <v>1623</v>
      </c>
      <c r="B110" s="22" t="s">
        <v>513</v>
      </c>
      <c r="C110" s="22"/>
      <c r="D110" s="23" t="s">
        <v>450</v>
      </c>
      <c r="E110" s="22" t="s">
        <v>1624</v>
      </c>
      <c r="F110" s="22" t="s">
        <v>1363</v>
      </c>
      <c r="G110" s="23" t="s">
        <v>1063</v>
      </c>
      <c r="H110" s="39">
        <v>11</v>
      </c>
      <c r="I110" s="40">
        <v>25</v>
      </c>
      <c r="J110" s="39">
        <v>50</v>
      </c>
      <c r="K110" s="40">
        <v>15</v>
      </c>
      <c r="L110" s="39">
        <v>30</v>
      </c>
      <c r="M110" s="22" t="s">
        <v>1621</v>
      </c>
      <c r="N110" s="22"/>
      <c r="O110" s="24" t="s">
        <v>1625</v>
      </c>
      <c r="P110"/>
      <c r="Q110" s="22"/>
      <c r="S110" s="22">
        <v>19.3</v>
      </c>
      <c r="T110" s="22">
        <v>24.5</v>
      </c>
      <c r="Z110" s="40">
        <f>AVERAGE(R110:Y110)</f>
        <v>21.9</v>
      </c>
      <c r="AA110" s="40">
        <v>25</v>
      </c>
      <c r="AB110" s="22" t="s">
        <v>1791</v>
      </c>
    </row>
    <row r="111" spans="1:28" ht="53.1" customHeight="1" x14ac:dyDescent="0.2">
      <c r="A111" s="21" t="s">
        <v>556</v>
      </c>
      <c r="B111" s="22" t="s">
        <v>519</v>
      </c>
      <c r="C111" s="22"/>
      <c r="D111" s="23" t="s">
        <v>65</v>
      </c>
      <c r="E111" s="22" t="s">
        <v>1365</v>
      </c>
      <c r="F111" s="22" t="s">
        <v>1358</v>
      </c>
      <c r="G111" s="23" t="s">
        <v>1063</v>
      </c>
      <c r="H111" s="39">
        <v>7</v>
      </c>
      <c r="I111" s="40">
        <v>20</v>
      </c>
      <c r="J111" s="39">
        <v>40</v>
      </c>
      <c r="K111" s="40">
        <v>11</v>
      </c>
      <c r="L111" s="39">
        <v>27</v>
      </c>
      <c r="M111" s="22" t="s">
        <v>1064</v>
      </c>
      <c r="N111" s="22" t="s">
        <v>1301</v>
      </c>
      <c r="O111" s="24" t="s">
        <v>517</v>
      </c>
      <c r="Q111" s="22"/>
      <c r="S111" s="22">
        <v>4.5</v>
      </c>
      <c r="W111" s="22">
        <v>57.8</v>
      </c>
      <c r="Y111" s="22">
        <v>22</v>
      </c>
      <c r="Z111" s="40">
        <f>AVERAGE(R111:Y111)</f>
        <v>28.099999999999998</v>
      </c>
      <c r="AA111" s="40">
        <v>20</v>
      </c>
      <c r="AB111" s="22" t="s">
        <v>1792</v>
      </c>
    </row>
    <row r="112" spans="1:28" ht="38.25" x14ac:dyDescent="0.2">
      <c r="A112" s="23" t="s">
        <v>1366</v>
      </c>
      <c r="B112" s="22" t="s">
        <v>524</v>
      </c>
      <c r="C112" s="22" t="s">
        <v>1367</v>
      </c>
      <c r="D112" s="23" t="s">
        <v>65</v>
      </c>
      <c r="E112" s="22" t="s">
        <v>1368</v>
      </c>
      <c r="F112" s="22" t="s">
        <v>1369</v>
      </c>
      <c r="G112" s="23" t="s">
        <v>1370</v>
      </c>
      <c r="H112" s="39">
        <v>37500</v>
      </c>
      <c r="I112" s="40">
        <v>60000</v>
      </c>
      <c r="J112" s="39">
        <v>90000</v>
      </c>
      <c r="K112" s="40">
        <v>60000</v>
      </c>
      <c r="L112" s="39">
        <v>90000</v>
      </c>
      <c r="M112" s="22" t="s">
        <v>1064</v>
      </c>
      <c r="N112" s="22" t="s">
        <v>1371</v>
      </c>
      <c r="O112" s="24" t="s">
        <v>522</v>
      </c>
      <c r="Q112" s="22"/>
      <c r="S112" s="22">
        <v>112847</v>
      </c>
      <c r="Z112" s="40">
        <f>AVERAGE(R112:Y112)</f>
        <v>112847</v>
      </c>
      <c r="AA112" s="40">
        <v>60000</v>
      </c>
      <c r="AB112" s="22" t="s">
        <v>1793</v>
      </c>
    </row>
    <row r="113" spans="1:15" ht="25.5" x14ac:dyDescent="0.2">
      <c r="A113" s="23" t="s">
        <v>1372</v>
      </c>
      <c r="B113" s="22" t="s">
        <v>524</v>
      </c>
      <c r="C113" s="22" t="s">
        <v>1373</v>
      </c>
      <c r="D113" s="23" t="s">
        <v>65</v>
      </c>
      <c r="E113" s="22" t="s">
        <v>1374</v>
      </c>
      <c r="F113" s="22" t="s">
        <v>1369</v>
      </c>
      <c r="G113" s="23" t="s">
        <v>1370</v>
      </c>
      <c r="H113" s="39">
        <v>15000</v>
      </c>
      <c r="I113" s="40">
        <v>20000</v>
      </c>
      <c r="J113" s="39">
        <v>30000</v>
      </c>
      <c r="K113" s="40">
        <v>20000</v>
      </c>
      <c r="L113" s="39">
        <v>30000</v>
      </c>
      <c r="M113" s="22" t="s">
        <v>1162</v>
      </c>
      <c r="N113" s="22" t="s">
        <v>1375</v>
      </c>
      <c r="O113" s="24" t="s">
        <v>530</v>
      </c>
    </row>
    <row r="114" spans="1:15" ht="25.5" x14ac:dyDescent="0.2">
      <c r="A114" s="23" t="s">
        <v>1376</v>
      </c>
      <c r="B114" s="22" t="s">
        <v>524</v>
      </c>
      <c r="C114" s="22" t="s">
        <v>1377</v>
      </c>
      <c r="D114" s="23" t="s">
        <v>65</v>
      </c>
      <c r="E114" s="22" t="s">
        <v>1378</v>
      </c>
      <c r="F114" s="22" t="s">
        <v>1369</v>
      </c>
      <c r="G114" s="23" t="s">
        <v>1370</v>
      </c>
      <c r="H114" s="39">
        <v>50000</v>
      </c>
      <c r="I114" s="40">
        <v>70000</v>
      </c>
      <c r="J114" s="39">
        <v>100000</v>
      </c>
      <c r="K114" s="40">
        <v>70000</v>
      </c>
      <c r="L114" s="39">
        <v>100000</v>
      </c>
      <c r="M114" s="22" t="s">
        <v>1162</v>
      </c>
      <c r="N114" s="22" t="s">
        <v>1379</v>
      </c>
      <c r="O114" s="24" t="s">
        <v>533</v>
      </c>
    </row>
    <row r="115" spans="1:15" ht="25.5" x14ac:dyDescent="0.2">
      <c r="A115" s="21" t="s">
        <v>1380</v>
      </c>
      <c r="B115" s="22" t="s">
        <v>539</v>
      </c>
      <c r="C115" s="22"/>
      <c r="D115" s="23" t="s">
        <v>65</v>
      </c>
      <c r="E115" s="22" t="s">
        <v>1381</v>
      </c>
      <c r="F115" s="22" t="s">
        <v>1382</v>
      </c>
      <c r="G115" s="23" t="s">
        <v>540</v>
      </c>
      <c r="H115" s="39">
        <v>800</v>
      </c>
      <c r="I115" s="40">
        <v>1200</v>
      </c>
      <c r="J115" s="39">
        <v>2000</v>
      </c>
      <c r="K115" s="40">
        <v>1200</v>
      </c>
      <c r="L115" s="39">
        <v>2000</v>
      </c>
      <c r="M115" s="22" t="s">
        <v>1167</v>
      </c>
      <c r="N115" s="22" t="s">
        <v>1383</v>
      </c>
      <c r="O115" s="24" t="s">
        <v>536</v>
      </c>
    </row>
    <row r="116" spans="1:15" x14ac:dyDescent="0.2">
      <c r="A116" s="21" t="s">
        <v>521</v>
      </c>
      <c r="B116" s="22" t="s">
        <v>546</v>
      </c>
      <c r="C116" s="22"/>
      <c r="D116" s="23" t="s">
        <v>65</v>
      </c>
      <c r="E116" s="22" t="s">
        <v>1384</v>
      </c>
      <c r="F116" s="22" t="s">
        <v>1385</v>
      </c>
      <c r="G116" s="23" t="s">
        <v>547</v>
      </c>
      <c r="H116" s="39">
        <v>300</v>
      </c>
      <c r="I116" s="40">
        <v>400</v>
      </c>
      <c r="J116" s="39">
        <v>650</v>
      </c>
      <c r="K116" s="40">
        <v>400</v>
      </c>
      <c r="L116" s="39">
        <v>650</v>
      </c>
      <c r="M116" s="22" t="s">
        <v>1167</v>
      </c>
      <c r="N116" s="22"/>
      <c r="O116" s="24" t="s">
        <v>544</v>
      </c>
    </row>
    <row r="117" spans="1:15" ht="25.5" x14ac:dyDescent="0.2">
      <c r="A117" s="21" t="s">
        <v>529</v>
      </c>
      <c r="B117" s="22" t="s">
        <v>551</v>
      </c>
      <c r="C117" s="22"/>
      <c r="D117" s="23" t="s">
        <v>65</v>
      </c>
      <c r="E117" s="22" t="s">
        <v>1386</v>
      </c>
      <c r="F117" s="22" t="s">
        <v>1387</v>
      </c>
      <c r="G117" s="23" t="s">
        <v>552</v>
      </c>
      <c r="H117" s="39"/>
      <c r="I117" s="40">
        <v>1500</v>
      </c>
      <c r="J117" s="39">
        <v>2500</v>
      </c>
      <c r="K117" s="40">
        <v>1500</v>
      </c>
      <c r="L117" s="39">
        <v>2500</v>
      </c>
      <c r="M117" s="22" t="s">
        <v>1167</v>
      </c>
      <c r="N117" s="22"/>
      <c r="O117" s="24" t="s">
        <v>549</v>
      </c>
    </row>
    <row r="118" spans="1:15" ht="38.25" x14ac:dyDescent="0.2">
      <c r="A118" s="23" t="s">
        <v>1388</v>
      </c>
      <c r="B118" s="22" t="s">
        <v>560</v>
      </c>
      <c r="C118" s="22" t="s">
        <v>1303</v>
      </c>
      <c r="D118" s="23" t="s">
        <v>65</v>
      </c>
      <c r="E118" s="22" t="s">
        <v>1389</v>
      </c>
      <c r="F118" s="22"/>
      <c r="G118" s="23" t="s">
        <v>115</v>
      </c>
      <c r="H118" s="39"/>
      <c r="I118" s="40">
        <v>6000</v>
      </c>
      <c r="J118" s="39"/>
      <c r="K118" s="40">
        <v>6000</v>
      </c>
      <c r="L118" s="39"/>
      <c r="M118" s="22" t="s">
        <v>1162</v>
      </c>
      <c r="N118" s="22"/>
      <c r="O118" s="24" t="s">
        <v>557</v>
      </c>
    </row>
    <row r="119" spans="1:15" ht="25.5" x14ac:dyDescent="0.2">
      <c r="A119" s="23" t="s">
        <v>1390</v>
      </c>
      <c r="B119" s="22" t="s">
        <v>560</v>
      </c>
      <c r="C119" s="22" t="s">
        <v>1307</v>
      </c>
      <c r="D119" s="23" t="s">
        <v>65</v>
      </c>
      <c r="E119" s="22" t="s">
        <v>1391</v>
      </c>
      <c r="F119" s="22"/>
      <c r="G119" s="23" t="s">
        <v>115</v>
      </c>
      <c r="H119" s="39"/>
      <c r="I119" s="40">
        <v>11000</v>
      </c>
      <c r="J119" s="39"/>
      <c r="K119" s="40">
        <v>11000</v>
      </c>
      <c r="L119" s="39"/>
      <c r="M119" s="22" t="s">
        <v>1167</v>
      </c>
      <c r="N119" s="22"/>
      <c r="O119" s="24" t="s">
        <v>564</v>
      </c>
    </row>
    <row r="120" spans="1:15" ht="25.5" x14ac:dyDescent="0.2">
      <c r="A120" s="23" t="s">
        <v>1392</v>
      </c>
      <c r="B120" s="22" t="s">
        <v>560</v>
      </c>
      <c r="C120" s="22" t="s">
        <v>1311</v>
      </c>
      <c r="D120" s="23" t="s">
        <v>65</v>
      </c>
      <c r="E120" s="22" t="s">
        <v>1393</v>
      </c>
      <c r="F120" s="22"/>
      <c r="G120" s="23" t="s">
        <v>115</v>
      </c>
      <c r="H120" s="39"/>
      <c r="I120" s="40">
        <v>21000</v>
      </c>
      <c r="J120" s="39"/>
      <c r="K120" s="40">
        <v>21000</v>
      </c>
      <c r="L120" s="39"/>
      <c r="M120" s="22" t="s">
        <v>1167</v>
      </c>
      <c r="N120" s="22"/>
      <c r="O120" s="24" t="s">
        <v>566</v>
      </c>
    </row>
    <row r="121" spans="1:15" ht="38.25" x14ac:dyDescent="0.2">
      <c r="A121" s="23" t="s">
        <v>1394</v>
      </c>
      <c r="B121" s="22" t="s">
        <v>570</v>
      </c>
      <c r="C121" s="22" t="s">
        <v>1303</v>
      </c>
      <c r="D121" s="23" t="s">
        <v>65</v>
      </c>
      <c r="E121" s="22" t="s">
        <v>1395</v>
      </c>
      <c r="F121" s="22" t="s">
        <v>1396</v>
      </c>
      <c r="G121" s="23" t="s">
        <v>115</v>
      </c>
      <c r="H121" s="39"/>
      <c r="I121" s="40">
        <v>8000</v>
      </c>
      <c r="J121" s="39"/>
      <c r="K121" s="40">
        <v>8000</v>
      </c>
      <c r="L121" s="39"/>
      <c r="M121" s="22" t="s">
        <v>1162</v>
      </c>
      <c r="N121" s="22"/>
      <c r="O121" s="24" t="s">
        <v>568</v>
      </c>
    </row>
    <row r="122" spans="1:15" ht="25.5" x14ac:dyDescent="0.2">
      <c r="A122" s="23" t="s">
        <v>1397</v>
      </c>
      <c r="B122" s="22" t="s">
        <v>570</v>
      </c>
      <c r="C122" s="22" t="s">
        <v>1307</v>
      </c>
      <c r="D122" s="23" t="s">
        <v>65</v>
      </c>
      <c r="E122" s="22" t="s">
        <v>1398</v>
      </c>
      <c r="F122" s="22" t="s">
        <v>1396</v>
      </c>
      <c r="G122" s="23" t="s">
        <v>115</v>
      </c>
      <c r="H122" s="39"/>
      <c r="I122" s="40">
        <v>16000</v>
      </c>
      <c r="J122" s="39"/>
      <c r="K122" s="40">
        <v>16000</v>
      </c>
      <c r="L122" s="39"/>
      <c r="M122" s="22" t="s">
        <v>1167</v>
      </c>
      <c r="N122" s="22"/>
      <c r="O122" s="24" t="s">
        <v>573</v>
      </c>
    </row>
    <row r="123" spans="1:15" x14ac:dyDescent="0.2">
      <c r="A123" s="23" t="s">
        <v>1399</v>
      </c>
      <c r="B123" s="22" t="s">
        <v>570</v>
      </c>
      <c r="C123" s="22" t="s">
        <v>1311</v>
      </c>
      <c r="D123" s="23" t="s">
        <v>65</v>
      </c>
      <c r="E123" s="22" t="s">
        <v>1400</v>
      </c>
      <c r="F123" s="22" t="s">
        <v>1396</v>
      </c>
      <c r="G123" s="23" t="s">
        <v>115</v>
      </c>
      <c r="H123" s="39"/>
      <c r="I123" s="40">
        <v>38000</v>
      </c>
      <c r="J123" s="39"/>
      <c r="K123" s="40">
        <v>38000</v>
      </c>
      <c r="L123" s="39"/>
      <c r="M123" s="22" t="s">
        <v>1167</v>
      </c>
      <c r="N123" s="22"/>
      <c r="O123" s="24" t="s">
        <v>575</v>
      </c>
    </row>
    <row r="124" spans="1:15" ht="25.5" x14ac:dyDescent="0.2">
      <c r="A124" s="21" t="s">
        <v>1401</v>
      </c>
      <c r="B124" s="22" t="s">
        <v>579</v>
      </c>
      <c r="C124" s="22"/>
      <c r="D124" s="23" t="s">
        <v>65</v>
      </c>
      <c r="E124" s="22" t="s">
        <v>1402</v>
      </c>
      <c r="F124" s="22" t="s">
        <v>1403</v>
      </c>
      <c r="G124" s="23" t="s">
        <v>580</v>
      </c>
      <c r="H124" s="39"/>
      <c r="I124" s="40">
        <v>90</v>
      </c>
      <c r="J124" s="39">
        <v>155</v>
      </c>
      <c r="K124" s="40">
        <v>90</v>
      </c>
      <c r="L124" s="39">
        <v>155</v>
      </c>
      <c r="M124" s="22" t="s">
        <v>1167</v>
      </c>
      <c r="N124" s="22"/>
      <c r="O124" s="24" t="s">
        <v>577</v>
      </c>
    </row>
    <row r="125" spans="1:15" ht="25.5" x14ac:dyDescent="0.2">
      <c r="A125" s="21" t="s">
        <v>582</v>
      </c>
      <c r="B125" s="22" t="s">
        <v>585</v>
      </c>
      <c r="C125" s="22"/>
      <c r="D125" s="23" t="s">
        <v>65</v>
      </c>
      <c r="E125" s="22" t="s">
        <v>1404</v>
      </c>
      <c r="F125" s="22" t="s">
        <v>1405</v>
      </c>
      <c r="G125" s="23" t="s">
        <v>586</v>
      </c>
      <c r="H125" s="39"/>
      <c r="I125" s="40">
        <v>1000</v>
      </c>
      <c r="J125" s="39">
        <v>1650</v>
      </c>
      <c r="K125" s="40">
        <v>1000</v>
      </c>
      <c r="L125" s="39">
        <v>1650</v>
      </c>
      <c r="M125" s="22" t="s">
        <v>1167</v>
      </c>
      <c r="N125" s="22"/>
      <c r="O125" s="24" t="s">
        <v>583</v>
      </c>
    </row>
    <row r="126" spans="1:15" ht="25.5" x14ac:dyDescent="0.2">
      <c r="A126" s="21" t="s">
        <v>572</v>
      </c>
      <c r="B126" s="22" t="s">
        <v>592</v>
      </c>
      <c r="C126" s="22"/>
      <c r="D126" s="23" t="s">
        <v>65</v>
      </c>
      <c r="E126" s="22" t="s">
        <v>1406</v>
      </c>
      <c r="F126" s="22" t="s">
        <v>1407</v>
      </c>
      <c r="G126" s="23" t="s">
        <v>1408</v>
      </c>
      <c r="H126" s="39"/>
      <c r="I126" s="40">
        <v>620</v>
      </c>
      <c r="J126" s="39">
        <v>1050</v>
      </c>
      <c r="K126" s="40">
        <v>620</v>
      </c>
      <c r="L126" s="39">
        <v>1050</v>
      </c>
      <c r="M126" s="22" t="s">
        <v>1167</v>
      </c>
      <c r="N126" s="22"/>
      <c r="O126" s="24" t="s">
        <v>590</v>
      </c>
    </row>
    <row r="127" spans="1:15" ht="38.25" x14ac:dyDescent="0.2">
      <c r="A127" s="23" t="s">
        <v>1409</v>
      </c>
      <c r="B127" s="22" t="s">
        <v>599</v>
      </c>
      <c r="C127" s="22" t="s">
        <v>1303</v>
      </c>
      <c r="D127" s="23" t="s">
        <v>65</v>
      </c>
      <c r="E127" s="22" t="s">
        <v>1410</v>
      </c>
      <c r="F127" s="22" t="s">
        <v>1411</v>
      </c>
      <c r="G127" s="23" t="s">
        <v>115</v>
      </c>
      <c r="H127" s="39"/>
      <c r="I127" s="40">
        <v>18000</v>
      </c>
      <c r="J127" s="39"/>
      <c r="K127" s="40">
        <v>18000</v>
      </c>
      <c r="L127" s="39"/>
      <c r="M127" s="22" t="s">
        <v>1162</v>
      </c>
      <c r="N127" s="22"/>
      <c r="O127" s="24" t="s">
        <v>597</v>
      </c>
    </row>
    <row r="128" spans="1:15" ht="25.5" x14ac:dyDescent="0.2">
      <c r="A128" s="23" t="s">
        <v>1412</v>
      </c>
      <c r="B128" s="22" t="s">
        <v>599</v>
      </c>
      <c r="C128" s="22" t="s">
        <v>1307</v>
      </c>
      <c r="D128" s="23" t="s">
        <v>65</v>
      </c>
      <c r="E128" s="22" t="s">
        <v>1413</v>
      </c>
      <c r="F128" s="22" t="s">
        <v>1411</v>
      </c>
      <c r="G128" s="23" t="s">
        <v>115</v>
      </c>
      <c r="H128" s="39"/>
      <c r="I128" s="40">
        <v>32000</v>
      </c>
      <c r="J128" s="39"/>
      <c r="K128" s="40">
        <v>32000</v>
      </c>
      <c r="L128" s="39"/>
      <c r="M128" s="22" t="s">
        <v>1167</v>
      </c>
      <c r="N128" s="22"/>
      <c r="O128" s="24" t="s">
        <v>602</v>
      </c>
    </row>
    <row r="129" spans="1:28" x14ac:dyDescent="0.2">
      <c r="A129" s="23" t="s">
        <v>1414</v>
      </c>
      <c r="B129" s="22" t="s">
        <v>599</v>
      </c>
      <c r="C129" s="22" t="s">
        <v>1311</v>
      </c>
      <c r="D129" s="23" t="s">
        <v>65</v>
      </c>
      <c r="E129" s="22" t="s">
        <v>1415</v>
      </c>
      <c r="F129" s="22" t="s">
        <v>1411</v>
      </c>
      <c r="G129" s="23" t="s">
        <v>115</v>
      </c>
      <c r="H129" s="39"/>
      <c r="I129" s="40">
        <v>88000</v>
      </c>
      <c r="J129" s="39"/>
      <c r="K129" s="40">
        <v>88000</v>
      </c>
      <c r="L129" s="39"/>
      <c r="M129" s="22" t="s">
        <v>1167</v>
      </c>
      <c r="N129" s="22"/>
      <c r="O129" s="24" t="s">
        <v>604</v>
      </c>
    </row>
    <row r="130" spans="1:28" ht="38.25" x14ac:dyDescent="0.2">
      <c r="A130" s="21" t="s">
        <v>1651</v>
      </c>
      <c r="B130" s="22" t="s">
        <v>730</v>
      </c>
      <c r="C130" s="22"/>
      <c r="D130" s="23" t="s">
        <v>65</v>
      </c>
      <c r="E130" s="22" t="s">
        <v>1417</v>
      </c>
      <c r="F130" s="22"/>
      <c r="G130" s="23" t="s">
        <v>1063</v>
      </c>
      <c r="H130" s="39">
        <v>5</v>
      </c>
      <c r="I130" s="40">
        <v>12</v>
      </c>
      <c r="J130" s="39">
        <v>20</v>
      </c>
      <c r="K130" s="40">
        <v>8</v>
      </c>
      <c r="L130" s="39">
        <v>16</v>
      </c>
      <c r="M130" s="22" t="s">
        <v>1064</v>
      </c>
      <c r="N130" s="22" t="s">
        <v>1418</v>
      </c>
      <c r="O130" s="24" t="s">
        <v>727</v>
      </c>
      <c r="Q130" s="22"/>
      <c r="U130" s="22">
        <v>8</v>
      </c>
      <c r="W130" s="22">
        <v>3.1</v>
      </c>
      <c r="Z130" s="40">
        <f>AVERAGE(R130:Y130)</f>
        <v>5.55</v>
      </c>
      <c r="AA130" s="40">
        <v>12</v>
      </c>
      <c r="AB130" s="22" t="s">
        <v>1794</v>
      </c>
    </row>
    <row r="131" spans="1:28" ht="76.5" x14ac:dyDescent="0.25">
      <c r="A131" s="21" t="s">
        <v>1619</v>
      </c>
      <c r="B131" s="22" t="s">
        <v>730</v>
      </c>
      <c r="C131" s="22"/>
      <c r="D131" s="23" t="s">
        <v>450</v>
      </c>
      <c r="E131" s="22" t="s">
        <v>1620</v>
      </c>
      <c r="F131" s="22"/>
      <c r="G131" s="23" t="s">
        <v>1063</v>
      </c>
      <c r="H131" s="39">
        <v>12</v>
      </c>
      <c r="I131" s="40">
        <v>27</v>
      </c>
      <c r="J131" s="39">
        <v>45</v>
      </c>
      <c r="K131" s="40">
        <v>12</v>
      </c>
      <c r="L131" s="39">
        <v>24</v>
      </c>
      <c r="M131" s="22" t="s">
        <v>1621</v>
      </c>
      <c r="N131" s="22"/>
      <c r="O131" s="24" t="s">
        <v>1622</v>
      </c>
      <c r="P131"/>
      <c r="Q131" s="22"/>
      <c r="S131" s="22">
        <v>11</v>
      </c>
      <c r="T131" s="22">
        <v>27</v>
      </c>
      <c r="Z131" s="40">
        <f>AVERAGE(R131:Y131)</f>
        <v>19</v>
      </c>
      <c r="AA131" s="40">
        <v>27</v>
      </c>
      <c r="AB131" s="22" t="s">
        <v>1795</v>
      </c>
    </row>
    <row r="132" spans="1:28" x14ac:dyDescent="0.2">
      <c r="A132" s="25" t="s">
        <v>1419</v>
      </c>
      <c r="B132" s="26"/>
      <c r="C132" s="26"/>
      <c r="D132" s="25"/>
      <c r="E132" s="26"/>
      <c r="F132" s="26"/>
      <c r="G132" s="25"/>
      <c r="H132" s="41"/>
      <c r="I132" s="42"/>
      <c r="J132" s="41"/>
      <c r="K132" s="42"/>
      <c r="L132" s="41"/>
      <c r="M132" s="26"/>
      <c r="N132" s="26"/>
      <c r="O132" s="27"/>
    </row>
    <row r="133" spans="1:28" ht="51" x14ac:dyDescent="0.2">
      <c r="A133" s="23" t="s">
        <v>1420</v>
      </c>
      <c r="B133" s="22" t="s">
        <v>609</v>
      </c>
      <c r="C133" s="22" t="s">
        <v>1421</v>
      </c>
      <c r="D133" s="23" t="s">
        <v>65</v>
      </c>
      <c r="E133" s="22" t="s">
        <v>1422</v>
      </c>
      <c r="F133" s="22" t="s">
        <v>1423</v>
      </c>
      <c r="G133" s="23" t="s">
        <v>1063</v>
      </c>
      <c r="H133" s="39">
        <v>20</v>
      </c>
      <c r="I133" s="40">
        <v>45</v>
      </c>
      <c r="J133" s="39">
        <v>100</v>
      </c>
      <c r="K133" s="40">
        <v>27</v>
      </c>
      <c r="L133" s="39">
        <v>63</v>
      </c>
      <c r="M133" s="22" t="s">
        <v>1167</v>
      </c>
      <c r="N133" s="22"/>
      <c r="O133" s="24" t="s">
        <v>606</v>
      </c>
      <c r="Q133" s="22"/>
      <c r="U133" s="22">
        <v>48</v>
      </c>
      <c r="Z133" s="40">
        <f>AVERAGE(R133:Y133)</f>
        <v>48</v>
      </c>
      <c r="AA133" s="40">
        <v>45</v>
      </c>
      <c r="AB133" s="22" t="s">
        <v>1796</v>
      </c>
    </row>
    <row r="134" spans="1:28" x14ac:dyDescent="0.2">
      <c r="A134" s="23" t="s">
        <v>1424</v>
      </c>
      <c r="B134" s="22" t="s">
        <v>609</v>
      </c>
      <c r="C134" s="22" t="s">
        <v>1425</v>
      </c>
      <c r="D134" s="23" t="s">
        <v>65</v>
      </c>
      <c r="E134" s="22" t="s">
        <v>1426</v>
      </c>
      <c r="F134" s="22" t="s">
        <v>1423</v>
      </c>
      <c r="G134" s="23" t="s">
        <v>1063</v>
      </c>
      <c r="H134" s="39">
        <f>H133*0.5</f>
        <v>10</v>
      </c>
      <c r="I134" s="40">
        <f>I133*0.5</f>
        <v>22.5</v>
      </c>
      <c r="J134" s="39">
        <f>J133*0.5</f>
        <v>50</v>
      </c>
      <c r="K134" s="40">
        <f>K133*0.5</f>
        <v>13.5</v>
      </c>
      <c r="L134" s="39">
        <f>L133*0.5</f>
        <v>31.5</v>
      </c>
      <c r="M134" s="22" t="s">
        <v>1427</v>
      </c>
      <c r="N134" s="22"/>
      <c r="O134" s="24" t="s">
        <v>615</v>
      </c>
    </row>
    <row r="135" spans="1:28" ht="63.75" x14ac:dyDescent="0.2">
      <c r="A135" s="23" t="s">
        <v>1428</v>
      </c>
      <c r="B135" s="22" t="s">
        <v>609</v>
      </c>
      <c r="C135" s="22" t="s">
        <v>1429</v>
      </c>
      <c r="D135" s="23" t="s">
        <v>65</v>
      </c>
      <c r="E135" s="22" t="s">
        <v>1430</v>
      </c>
      <c r="F135" s="22" t="s">
        <v>1423</v>
      </c>
      <c r="G135" s="23" t="s">
        <v>1063</v>
      </c>
      <c r="H135" s="39">
        <f>H133*2</f>
        <v>40</v>
      </c>
      <c r="I135" s="40">
        <f>I133*2</f>
        <v>90</v>
      </c>
      <c r="J135" s="39">
        <f>J133*2</f>
        <v>200</v>
      </c>
      <c r="K135" s="40">
        <f>K133*2</f>
        <v>54</v>
      </c>
      <c r="L135" s="39">
        <f>L133*2</f>
        <v>126</v>
      </c>
      <c r="M135" s="22" t="s">
        <v>1431</v>
      </c>
      <c r="N135" s="22"/>
      <c r="O135" s="24" t="s">
        <v>618</v>
      </c>
      <c r="Q135" s="22"/>
    </row>
    <row r="136" spans="1:28" ht="38.25" x14ac:dyDescent="0.2">
      <c r="A136" s="21" t="s">
        <v>1432</v>
      </c>
      <c r="B136" s="22" t="s">
        <v>623</v>
      </c>
      <c r="C136" s="22"/>
      <c r="D136" s="23" t="s">
        <v>65</v>
      </c>
      <c r="E136" s="22" t="s">
        <v>1433</v>
      </c>
      <c r="F136" s="22" t="s">
        <v>1434</v>
      </c>
      <c r="G136" s="23" t="s">
        <v>1063</v>
      </c>
      <c r="H136" s="39">
        <v>30</v>
      </c>
      <c r="I136" s="40">
        <v>60</v>
      </c>
      <c r="J136" s="39">
        <v>110</v>
      </c>
      <c r="K136" s="40">
        <v>20</v>
      </c>
      <c r="L136" s="39">
        <v>40</v>
      </c>
      <c r="M136" s="22" t="s">
        <v>1162</v>
      </c>
      <c r="N136" s="22" t="s">
        <v>1435</v>
      </c>
      <c r="O136" s="24" t="s">
        <v>621</v>
      </c>
      <c r="Y136" s="22">
        <v>53.7</v>
      </c>
      <c r="Z136" s="40">
        <f>AVERAGE(R136:Y136)</f>
        <v>53.7</v>
      </c>
      <c r="AA136" s="40">
        <v>60</v>
      </c>
      <c r="AB136" s="22" t="s">
        <v>1797</v>
      </c>
    </row>
    <row r="137" spans="1:28" ht="25.5" x14ac:dyDescent="0.2">
      <c r="A137" s="21" t="s">
        <v>632</v>
      </c>
      <c r="B137" s="22" t="s">
        <v>629</v>
      </c>
      <c r="C137" s="22"/>
      <c r="D137" s="23" t="s">
        <v>65</v>
      </c>
      <c r="E137" s="22" t="s">
        <v>1436</v>
      </c>
      <c r="F137" s="22" t="s">
        <v>1437</v>
      </c>
      <c r="G137" s="23" t="s">
        <v>630</v>
      </c>
      <c r="H137" s="39">
        <v>12</v>
      </c>
      <c r="I137" s="40">
        <v>25</v>
      </c>
      <c r="J137" s="39">
        <v>50</v>
      </c>
      <c r="K137" s="40">
        <v>12</v>
      </c>
      <c r="L137" s="39">
        <v>38</v>
      </c>
      <c r="M137" s="22" t="s">
        <v>1167</v>
      </c>
      <c r="N137" s="22"/>
      <c r="O137" s="24" t="s">
        <v>627</v>
      </c>
    </row>
    <row r="138" spans="1:28" x14ac:dyDescent="0.2">
      <c r="A138" s="25" t="s">
        <v>1438</v>
      </c>
      <c r="B138" s="26"/>
      <c r="C138" s="26"/>
      <c r="D138" s="25"/>
      <c r="E138" s="26"/>
      <c r="F138" s="26"/>
      <c r="G138" s="25"/>
      <c r="H138" s="41"/>
      <c r="I138" s="42"/>
      <c r="J138" s="41"/>
      <c r="K138" s="42"/>
      <c r="L138" s="41"/>
      <c r="M138" s="26"/>
      <c r="N138" s="26"/>
      <c r="O138" s="27"/>
    </row>
    <row r="139" spans="1:28" ht="25.5" x14ac:dyDescent="0.2">
      <c r="A139" s="21" t="s">
        <v>109</v>
      </c>
      <c r="B139" s="22" t="s">
        <v>637</v>
      </c>
      <c r="C139" s="22"/>
      <c r="D139" s="23" t="s">
        <v>65</v>
      </c>
      <c r="E139" s="22" t="s">
        <v>1439</v>
      </c>
      <c r="F139" s="22" t="s">
        <v>1440</v>
      </c>
      <c r="G139" s="23" t="s">
        <v>638</v>
      </c>
      <c r="H139" s="39">
        <v>7</v>
      </c>
      <c r="I139" s="40">
        <v>10</v>
      </c>
      <c r="J139" s="39">
        <v>16</v>
      </c>
      <c r="K139" s="40">
        <v>10</v>
      </c>
      <c r="L139" s="39">
        <v>16</v>
      </c>
      <c r="M139" s="22" t="s">
        <v>1167</v>
      </c>
      <c r="N139" s="22" t="s">
        <v>1441</v>
      </c>
      <c r="O139" s="24" t="s">
        <v>633</v>
      </c>
    </row>
    <row r="140" spans="1:28" ht="25.5" x14ac:dyDescent="0.2">
      <c r="A140" s="21" t="s">
        <v>663</v>
      </c>
      <c r="B140" s="22" t="s">
        <v>645</v>
      </c>
      <c r="C140" s="22"/>
      <c r="D140" s="23" t="s">
        <v>65</v>
      </c>
      <c r="E140" s="22" t="s">
        <v>1442</v>
      </c>
      <c r="F140" s="22" t="s">
        <v>1443</v>
      </c>
      <c r="G140" s="23" t="s">
        <v>638</v>
      </c>
      <c r="H140" s="39">
        <v>18</v>
      </c>
      <c r="I140" s="40">
        <v>25</v>
      </c>
      <c r="J140" s="39">
        <v>40</v>
      </c>
      <c r="K140" s="40">
        <v>25</v>
      </c>
      <c r="L140" s="39">
        <v>40</v>
      </c>
      <c r="M140" s="22" t="s">
        <v>1167</v>
      </c>
      <c r="N140" s="22" t="s">
        <v>1444</v>
      </c>
      <c r="O140" s="24" t="s">
        <v>643</v>
      </c>
    </row>
    <row r="141" spans="1:28" ht="25.5" x14ac:dyDescent="0.2">
      <c r="A141" s="21" t="s">
        <v>683</v>
      </c>
      <c r="B141" s="22" t="s">
        <v>652</v>
      </c>
      <c r="C141" s="22"/>
      <c r="D141" s="23" t="s">
        <v>65</v>
      </c>
      <c r="E141" s="22" t="s">
        <v>1445</v>
      </c>
      <c r="F141" s="22" t="s">
        <v>1446</v>
      </c>
      <c r="G141" s="23" t="s">
        <v>1063</v>
      </c>
      <c r="H141" s="39">
        <v>5</v>
      </c>
      <c r="I141" s="40">
        <v>10</v>
      </c>
      <c r="J141" s="39">
        <v>20</v>
      </c>
      <c r="K141" s="40">
        <v>13</v>
      </c>
      <c r="L141" s="39">
        <v>25</v>
      </c>
      <c r="M141" s="22" t="s">
        <v>1064</v>
      </c>
      <c r="N141" s="22" t="s">
        <v>1447</v>
      </c>
      <c r="O141" s="24" t="s">
        <v>650</v>
      </c>
      <c r="Y141" s="22">
        <v>35.4</v>
      </c>
      <c r="Z141" s="40">
        <f>AVERAGE(R141:Y141)</f>
        <v>35.4</v>
      </c>
      <c r="AA141" s="40">
        <v>10</v>
      </c>
      <c r="AB141" s="22" t="s">
        <v>1798</v>
      </c>
    </row>
    <row r="142" spans="1:28" ht="25.5" x14ac:dyDescent="0.2">
      <c r="A142" s="21" t="s">
        <v>649</v>
      </c>
      <c r="B142" s="22" t="s">
        <v>657</v>
      </c>
      <c r="C142" s="22"/>
      <c r="D142" s="23" t="s">
        <v>65</v>
      </c>
      <c r="E142" s="22" t="s">
        <v>1448</v>
      </c>
      <c r="F142" s="22" t="s">
        <v>1449</v>
      </c>
      <c r="G142" s="23" t="s">
        <v>1063</v>
      </c>
      <c r="H142" s="39">
        <v>20</v>
      </c>
      <c r="I142" s="40">
        <v>25</v>
      </c>
      <c r="J142" s="39">
        <v>50</v>
      </c>
      <c r="K142" s="40">
        <v>25</v>
      </c>
      <c r="L142" s="39">
        <v>50</v>
      </c>
      <c r="M142" s="22" t="s">
        <v>1064</v>
      </c>
      <c r="N142" s="22" t="s">
        <v>1450</v>
      </c>
      <c r="O142" s="24" t="s">
        <v>655</v>
      </c>
      <c r="Y142" s="22">
        <v>67.599999999999994</v>
      </c>
      <c r="Z142" s="40">
        <f>AVERAGE(R142:Y142)</f>
        <v>67.599999999999994</v>
      </c>
      <c r="AA142" s="40">
        <v>25</v>
      </c>
      <c r="AB142" s="22" t="s">
        <v>1799</v>
      </c>
    </row>
    <row r="143" spans="1:28" ht="38.25" x14ac:dyDescent="0.2">
      <c r="A143" s="23" t="s">
        <v>1451</v>
      </c>
      <c r="B143" s="22" t="s">
        <v>661</v>
      </c>
      <c r="C143" s="22" t="s">
        <v>1303</v>
      </c>
      <c r="D143" s="23" t="s">
        <v>65</v>
      </c>
      <c r="E143" s="22" t="s">
        <v>1452</v>
      </c>
      <c r="F143" s="22" t="s">
        <v>1453</v>
      </c>
      <c r="G143" s="23" t="s">
        <v>115</v>
      </c>
      <c r="H143" s="39"/>
      <c r="I143" s="40">
        <v>25000</v>
      </c>
      <c r="J143" s="39"/>
      <c r="K143" s="40">
        <v>25000</v>
      </c>
      <c r="L143" s="39"/>
      <c r="M143" s="22" t="s">
        <v>1162</v>
      </c>
      <c r="N143" s="22"/>
      <c r="O143" s="24" t="s">
        <v>659</v>
      </c>
    </row>
    <row r="144" spans="1:28" ht="25.5" x14ac:dyDescent="0.2">
      <c r="A144" s="23" t="s">
        <v>1454</v>
      </c>
      <c r="B144" s="22" t="s">
        <v>661</v>
      </c>
      <c r="C144" s="22" t="s">
        <v>1307</v>
      </c>
      <c r="D144" s="23" t="s">
        <v>65</v>
      </c>
      <c r="E144" s="22" t="s">
        <v>1455</v>
      </c>
      <c r="F144" s="22" t="s">
        <v>1453</v>
      </c>
      <c r="G144" s="23" t="s">
        <v>115</v>
      </c>
      <c r="H144" s="39"/>
      <c r="I144" s="40">
        <v>75000</v>
      </c>
      <c r="J144" s="39"/>
      <c r="K144" s="40">
        <v>75000</v>
      </c>
      <c r="L144" s="39"/>
      <c r="M144" s="22" t="s">
        <v>1162</v>
      </c>
      <c r="N144" s="22"/>
      <c r="O144" s="24" t="s">
        <v>665</v>
      </c>
    </row>
    <row r="145" spans="1:28" ht="25.5" x14ac:dyDescent="0.2">
      <c r="A145" s="23" t="s">
        <v>1456</v>
      </c>
      <c r="B145" s="22" t="s">
        <v>661</v>
      </c>
      <c r="C145" s="22" t="s">
        <v>1311</v>
      </c>
      <c r="D145" s="23" t="s">
        <v>65</v>
      </c>
      <c r="E145" s="22" t="s">
        <v>1457</v>
      </c>
      <c r="F145" s="22" t="s">
        <v>1453</v>
      </c>
      <c r="G145" s="23" t="s">
        <v>115</v>
      </c>
      <c r="H145" s="39"/>
      <c r="I145" s="40">
        <v>200000</v>
      </c>
      <c r="J145" s="39"/>
      <c r="K145" s="40">
        <v>200000</v>
      </c>
      <c r="L145" s="39"/>
      <c r="M145" s="22" t="s">
        <v>1162</v>
      </c>
      <c r="N145" s="22"/>
      <c r="O145" s="24" t="s">
        <v>666</v>
      </c>
    </row>
    <row r="146" spans="1:28" ht="38.25" x14ac:dyDescent="0.2">
      <c r="A146" s="23" t="s">
        <v>1458</v>
      </c>
      <c r="B146" s="22" t="s">
        <v>669</v>
      </c>
      <c r="C146" s="22" t="s">
        <v>1303</v>
      </c>
      <c r="D146" s="23" t="s">
        <v>65</v>
      </c>
      <c r="E146" s="22" t="s">
        <v>1459</v>
      </c>
      <c r="F146" s="22" t="s">
        <v>1460</v>
      </c>
      <c r="G146" s="23" t="s">
        <v>115</v>
      </c>
      <c r="H146" s="39"/>
      <c r="I146" s="40">
        <v>20000</v>
      </c>
      <c r="J146" s="39"/>
      <c r="K146" s="40">
        <v>20000</v>
      </c>
      <c r="L146" s="39"/>
      <c r="M146" s="22" t="s">
        <v>1162</v>
      </c>
      <c r="N146" s="22"/>
      <c r="O146" s="24" t="s">
        <v>667</v>
      </c>
    </row>
    <row r="147" spans="1:28" ht="25.5" x14ac:dyDescent="0.2">
      <c r="A147" s="23" t="s">
        <v>1461</v>
      </c>
      <c r="B147" s="22" t="s">
        <v>669</v>
      </c>
      <c r="C147" s="22" t="s">
        <v>1307</v>
      </c>
      <c r="D147" s="23" t="s">
        <v>65</v>
      </c>
      <c r="E147" s="22" t="s">
        <v>1462</v>
      </c>
      <c r="F147" s="22" t="s">
        <v>1460</v>
      </c>
      <c r="G147" s="23" t="s">
        <v>115</v>
      </c>
      <c r="H147" s="39"/>
      <c r="I147" s="40">
        <v>60000</v>
      </c>
      <c r="J147" s="39"/>
      <c r="K147" s="40">
        <v>60000</v>
      </c>
      <c r="L147" s="39"/>
      <c r="M147" s="22" t="s">
        <v>1162</v>
      </c>
      <c r="N147" s="22"/>
      <c r="O147" s="24" t="s">
        <v>671</v>
      </c>
    </row>
    <row r="148" spans="1:28" ht="25.5" x14ac:dyDescent="0.2">
      <c r="A148" s="23" t="s">
        <v>1463</v>
      </c>
      <c r="B148" s="22" t="s">
        <v>669</v>
      </c>
      <c r="C148" s="22" t="s">
        <v>1311</v>
      </c>
      <c r="D148" s="23" t="s">
        <v>65</v>
      </c>
      <c r="E148" s="22" t="s">
        <v>1464</v>
      </c>
      <c r="F148" s="22" t="s">
        <v>1460</v>
      </c>
      <c r="G148" s="23" t="s">
        <v>115</v>
      </c>
      <c r="H148" s="39"/>
      <c r="I148" s="40">
        <v>150000</v>
      </c>
      <c r="J148" s="39"/>
      <c r="K148" s="40">
        <v>150000</v>
      </c>
      <c r="L148" s="39"/>
      <c r="M148" s="22" t="s">
        <v>1162</v>
      </c>
      <c r="N148" s="22"/>
      <c r="O148" s="24" t="s">
        <v>672</v>
      </c>
    </row>
    <row r="149" spans="1:28" ht="25.5" x14ac:dyDescent="0.2">
      <c r="A149" s="21" t="s">
        <v>438</v>
      </c>
      <c r="B149" s="22" t="s">
        <v>676</v>
      </c>
      <c r="C149" s="22"/>
      <c r="D149" s="23" t="s">
        <v>65</v>
      </c>
      <c r="E149" s="22" t="s">
        <v>1465</v>
      </c>
      <c r="F149" s="22" t="s">
        <v>1466</v>
      </c>
      <c r="G149" s="23" t="s">
        <v>677</v>
      </c>
      <c r="H149" s="39">
        <v>35</v>
      </c>
      <c r="I149" s="40">
        <v>50</v>
      </c>
      <c r="J149" s="39">
        <v>80</v>
      </c>
      <c r="K149" s="40">
        <v>50</v>
      </c>
      <c r="L149" s="39">
        <v>80</v>
      </c>
      <c r="M149" s="22" t="s">
        <v>1167</v>
      </c>
      <c r="N149" s="22" t="s">
        <v>1467</v>
      </c>
      <c r="O149" s="24" t="s">
        <v>673</v>
      </c>
    </row>
    <row r="150" spans="1:28" ht="25.5" x14ac:dyDescent="0.2">
      <c r="A150" s="21" t="s">
        <v>714</v>
      </c>
      <c r="B150" s="22" t="s">
        <v>681</v>
      </c>
      <c r="C150" s="22"/>
      <c r="D150" s="23" t="s">
        <v>65</v>
      </c>
      <c r="E150" s="22" t="s">
        <v>1468</v>
      </c>
      <c r="F150" s="22" t="s">
        <v>1469</v>
      </c>
      <c r="G150" s="23" t="s">
        <v>1470</v>
      </c>
      <c r="H150" s="39">
        <v>1000</v>
      </c>
      <c r="I150" s="40">
        <v>1800</v>
      </c>
      <c r="J150" s="39">
        <v>2800</v>
      </c>
      <c r="K150" s="40">
        <v>1000</v>
      </c>
      <c r="L150" s="39">
        <v>1800</v>
      </c>
      <c r="M150" s="22" t="s">
        <v>1167</v>
      </c>
      <c r="N150" s="22" t="s">
        <v>1471</v>
      </c>
      <c r="O150" s="24" t="s">
        <v>679</v>
      </c>
    </row>
    <row r="151" spans="1:28" x14ac:dyDescent="0.2">
      <c r="A151" s="21" t="s">
        <v>719</v>
      </c>
      <c r="B151" s="22" t="s">
        <v>686</v>
      </c>
      <c r="C151" s="22"/>
      <c r="D151" s="23" t="s">
        <v>65</v>
      </c>
      <c r="E151" s="22" t="s">
        <v>1472</v>
      </c>
      <c r="F151" s="22" t="s">
        <v>1473</v>
      </c>
      <c r="G151" s="23" t="s">
        <v>1474</v>
      </c>
      <c r="H151" s="39"/>
      <c r="I151" s="40">
        <v>0</v>
      </c>
      <c r="J151" s="39"/>
      <c r="K151" s="40">
        <v>90</v>
      </c>
      <c r="L151" s="39">
        <v>130</v>
      </c>
      <c r="M151" s="22" t="s">
        <v>1167</v>
      </c>
      <c r="N151" s="22" t="s">
        <v>1475</v>
      </c>
      <c r="O151" s="24" t="s">
        <v>684</v>
      </c>
    </row>
    <row r="152" spans="1:28" ht="51" x14ac:dyDescent="0.2">
      <c r="A152" s="21" t="s">
        <v>688</v>
      </c>
      <c r="B152" s="22" t="s">
        <v>691</v>
      </c>
      <c r="C152" s="22"/>
      <c r="D152" s="23" t="s">
        <v>65</v>
      </c>
      <c r="E152" s="22" t="s">
        <v>1476</v>
      </c>
      <c r="F152" s="22" t="s">
        <v>1477</v>
      </c>
      <c r="G152" s="23" t="s">
        <v>1478</v>
      </c>
      <c r="H152" s="39">
        <v>21</v>
      </c>
      <c r="I152" s="40">
        <v>30</v>
      </c>
      <c r="J152" s="39">
        <v>48</v>
      </c>
      <c r="K152" s="40">
        <v>30</v>
      </c>
      <c r="L152" s="39">
        <v>48</v>
      </c>
      <c r="M152" s="22" t="s">
        <v>1167</v>
      </c>
      <c r="N152" s="22" t="s">
        <v>1479</v>
      </c>
      <c r="O152" s="24" t="s">
        <v>689</v>
      </c>
      <c r="Q152" s="22"/>
      <c r="R152" s="22">
        <v>2.1</v>
      </c>
      <c r="Z152" s="40">
        <f>AVERAGE(R152:Y152)</f>
        <v>2.1</v>
      </c>
      <c r="AA152" s="40">
        <v>30</v>
      </c>
      <c r="AB152" s="22" t="s">
        <v>1800</v>
      </c>
    </row>
    <row r="153" spans="1:28" ht="25.5" x14ac:dyDescent="0.2">
      <c r="A153" s="21" t="s">
        <v>724</v>
      </c>
      <c r="B153" s="22" t="s">
        <v>695</v>
      </c>
      <c r="C153" s="22"/>
      <c r="D153" s="23" t="s">
        <v>65</v>
      </c>
      <c r="E153" s="22" t="s">
        <v>1480</v>
      </c>
      <c r="F153" s="22" t="s">
        <v>1481</v>
      </c>
      <c r="G153" s="23" t="s">
        <v>696</v>
      </c>
      <c r="H153" s="39">
        <v>42</v>
      </c>
      <c r="I153" s="40">
        <v>95</v>
      </c>
      <c r="J153" s="39">
        <v>200</v>
      </c>
      <c r="K153" s="40">
        <v>95</v>
      </c>
      <c r="L153" s="39">
        <v>200</v>
      </c>
      <c r="M153" s="22" t="s">
        <v>1167</v>
      </c>
      <c r="N153" s="22" t="s">
        <v>1482</v>
      </c>
      <c r="O153" s="24" t="s">
        <v>693</v>
      </c>
    </row>
    <row r="154" spans="1:28" ht="38.25" x14ac:dyDescent="0.2">
      <c r="A154" s="23" t="s">
        <v>1483</v>
      </c>
      <c r="B154" s="22" t="s">
        <v>701</v>
      </c>
      <c r="C154" s="22" t="s">
        <v>1303</v>
      </c>
      <c r="D154" s="23" t="s">
        <v>65</v>
      </c>
      <c r="E154" s="22" t="s">
        <v>1484</v>
      </c>
      <c r="F154" s="22" t="s">
        <v>1485</v>
      </c>
      <c r="G154" s="23" t="s">
        <v>115</v>
      </c>
      <c r="H154" s="40">
        <v>0</v>
      </c>
      <c r="I154" s="40">
        <v>0</v>
      </c>
      <c r="J154" s="40">
        <v>0</v>
      </c>
      <c r="K154" s="40">
        <v>10000</v>
      </c>
      <c r="L154" s="39"/>
      <c r="M154" s="22" t="s">
        <v>1162</v>
      </c>
      <c r="N154" s="22"/>
      <c r="O154" s="24" t="s">
        <v>699</v>
      </c>
    </row>
    <row r="155" spans="1:28" ht="25.5" x14ac:dyDescent="0.2">
      <c r="A155" s="23" t="s">
        <v>1486</v>
      </c>
      <c r="B155" s="22" t="s">
        <v>701</v>
      </c>
      <c r="C155" s="22" t="s">
        <v>1307</v>
      </c>
      <c r="D155" s="23" t="s">
        <v>65</v>
      </c>
      <c r="E155" s="22" t="s">
        <v>1487</v>
      </c>
      <c r="F155" s="22" t="s">
        <v>1485</v>
      </c>
      <c r="G155" s="23" t="s">
        <v>115</v>
      </c>
      <c r="H155" s="40">
        <v>0</v>
      </c>
      <c r="I155" s="40">
        <v>0</v>
      </c>
      <c r="J155" s="40">
        <v>0</v>
      </c>
      <c r="K155" s="40">
        <v>40000</v>
      </c>
      <c r="L155" s="39"/>
      <c r="M155" s="22" t="s">
        <v>1162</v>
      </c>
      <c r="N155" s="22"/>
      <c r="O155" s="24" t="s">
        <v>704</v>
      </c>
    </row>
    <row r="156" spans="1:28" ht="25.5" x14ac:dyDescent="0.2">
      <c r="A156" s="23" t="s">
        <v>1488</v>
      </c>
      <c r="B156" s="22" t="s">
        <v>701</v>
      </c>
      <c r="C156" s="22" t="s">
        <v>1311</v>
      </c>
      <c r="D156" s="23" t="s">
        <v>65</v>
      </c>
      <c r="E156" s="22" t="s">
        <v>1489</v>
      </c>
      <c r="F156" s="22" t="s">
        <v>1485</v>
      </c>
      <c r="G156" s="23" t="s">
        <v>115</v>
      </c>
      <c r="H156" s="40">
        <v>0</v>
      </c>
      <c r="I156" s="40">
        <v>0</v>
      </c>
      <c r="J156" s="40">
        <v>0</v>
      </c>
      <c r="K156" s="40">
        <v>120000</v>
      </c>
      <c r="L156" s="39"/>
      <c r="M156" s="22" t="s">
        <v>1162</v>
      </c>
      <c r="N156" s="22"/>
      <c r="O156" s="24" t="s">
        <v>705</v>
      </c>
    </row>
    <row r="157" spans="1:28" ht="25.5" x14ac:dyDescent="0.2">
      <c r="A157" s="21" t="s">
        <v>698</v>
      </c>
      <c r="B157" s="22" t="s">
        <v>709</v>
      </c>
      <c r="C157" s="22"/>
      <c r="D157" s="23" t="s">
        <v>65</v>
      </c>
      <c r="E157" s="22" t="s">
        <v>1490</v>
      </c>
      <c r="F157" s="22" t="s">
        <v>1491</v>
      </c>
      <c r="G157" s="23" t="s">
        <v>710</v>
      </c>
      <c r="H157" s="39">
        <v>60</v>
      </c>
      <c r="I157" s="40">
        <v>110</v>
      </c>
      <c r="J157" s="39">
        <v>200</v>
      </c>
      <c r="K157" s="40">
        <v>110</v>
      </c>
      <c r="L157" s="39">
        <v>200</v>
      </c>
      <c r="M157" s="22" t="s">
        <v>1162</v>
      </c>
      <c r="N157" s="22" t="s">
        <v>1492</v>
      </c>
      <c r="O157" s="24" t="s">
        <v>706</v>
      </c>
    </row>
    <row r="158" spans="1:28" ht="38.25" x14ac:dyDescent="0.2">
      <c r="A158" s="21" t="s">
        <v>664</v>
      </c>
      <c r="B158" s="22" t="s">
        <v>717</v>
      </c>
      <c r="C158" s="22"/>
      <c r="D158" s="23" t="s">
        <v>65</v>
      </c>
      <c r="E158" s="22" t="s">
        <v>1493</v>
      </c>
      <c r="F158" s="22" t="s">
        <v>1494</v>
      </c>
      <c r="G158" s="23" t="s">
        <v>638</v>
      </c>
      <c r="H158" s="39">
        <v>7</v>
      </c>
      <c r="I158" s="40">
        <v>10</v>
      </c>
      <c r="J158" s="39">
        <v>16</v>
      </c>
      <c r="K158" s="40">
        <v>10</v>
      </c>
      <c r="L158" s="39">
        <v>16</v>
      </c>
      <c r="M158" s="22" t="s">
        <v>1167</v>
      </c>
      <c r="N158" s="22" t="s">
        <v>1495</v>
      </c>
      <c r="O158" s="24" t="s">
        <v>715</v>
      </c>
      <c r="Q158" s="22"/>
    </row>
    <row r="159" spans="1:28" x14ac:dyDescent="0.2">
      <c r="A159" s="21" t="s">
        <v>670</v>
      </c>
      <c r="B159" s="22" t="s">
        <v>722</v>
      </c>
      <c r="C159" s="22"/>
      <c r="D159" s="23" t="s">
        <v>65</v>
      </c>
      <c r="E159" s="22" t="s">
        <v>1496</v>
      </c>
      <c r="F159" s="22" t="s">
        <v>1497</v>
      </c>
      <c r="G159" s="23" t="s">
        <v>1470</v>
      </c>
      <c r="H159" s="39">
        <v>210</v>
      </c>
      <c r="I159" s="40">
        <v>240</v>
      </c>
      <c r="J159" s="39">
        <v>480</v>
      </c>
      <c r="K159" s="40">
        <v>240</v>
      </c>
      <c r="L159" s="39">
        <v>480</v>
      </c>
      <c r="M159" s="22" t="s">
        <v>1167</v>
      </c>
      <c r="N159" s="22" t="s">
        <v>1498</v>
      </c>
      <c r="O159" s="24" t="s">
        <v>720</v>
      </c>
    </row>
  </sheetData>
  <autoFilter ref="A5:O159" xr:uid="{61613224-FE41-4C03-8B46-4109509C3076}"/>
  <dataValidations count="1">
    <dataValidation type="list" errorStyle="warning" allowBlank="1" showInputMessage="1" sqref="M6:M159" xr:uid="{793A7B5B-A444-437A-BF69-7D12AB43CAD4}">
      <formula1>"Your figure,Spon's-based (approved),Kept after Spon's check,Older workbook (v4.5),Unverified †,Tender – Project A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734</v>
      </c>
    </row>
    <row r="2" spans="1:7" x14ac:dyDescent="0.25">
      <c r="A2" s="5" t="s">
        <v>735</v>
      </c>
    </row>
    <row r="4" spans="1:7" x14ac:dyDescent="0.25">
      <c r="A4" s="3" t="s">
        <v>736</v>
      </c>
      <c r="B4" s="3" t="s">
        <v>737</v>
      </c>
      <c r="C4" s="4"/>
      <c r="D4" s="4"/>
      <c r="E4" s="4"/>
      <c r="F4" s="4"/>
      <c r="G4" s="4"/>
    </row>
    <row r="5" spans="1:7" x14ac:dyDescent="0.25">
      <c r="A5" s="6" t="s">
        <v>738</v>
      </c>
      <c r="B5" s="6" t="s">
        <v>739</v>
      </c>
      <c r="C5" s="6" t="s">
        <v>57</v>
      </c>
    </row>
    <row r="6" spans="1:7" ht="38.25" x14ac:dyDescent="0.25">
      <c r="A6" s="2" t="s">
        <v>740</v>
      </c>
      <c r="B6" s="61">
        <v>5.28</v>
      </c>
      <c r="C6" s="2" t="s">
        <v>741</v>
      </c>
    </row>
    <row r="7" spans="1:7" x14ac:dyDescent="0.25">
      <c r="A7" s="2" t="s">
        <v>742</v>
      </c>
      <c r="B7" s="62">
        <v>46311</v>
      </c>
      <c r="C7" s="2"/>
    </row>
    <row r="8" spans="1:7" x14ac:dyDescent="0.25">
      <c r="A8" s="2" t="s">
        <v>744</v>
      </c>
      <c r="B8" s="2" t="s">
        <v>745</v>
      </c>
      <c r="C8" s="2"/>
    </row>
    <row r="10" spans="1:7" x14ac:dyDescent="0.25">
      <c r="A10" s="3" t="s">
        <v>746</v>
      </c>
      <c r="B10" s="3" t="s">
        <v>1522</v>
      </c>
      <c r="C10" s="4"/>
      <c r="D10" s="4"/>
      <c r="E10" s="4"/>
      <c r="F10" s="4"/>
      <c r="G10" s="4"/>
    </row>
    <row r="11" spans="1:7" x14ac:dyDescent="0.25">
      <c r="A11" s="6" t="s">
        <v>747</v>
      </c>
      <c r="B11" s="6" t="s">
        <v>748</v>
      </c>
      <c r="C11" s="6" t="s">
        <v>749</v>
      </c>
      <c r="D11" s="6" t="s">
        <v>57</v>
      </c>
    </row>
    <row r="12" spans="1:7" x14ac:dyDescent="0.25">
      <c r="A12" s="2" t="s">
        <v>299</v>
      </c>
      <c r="B12" s="2" t="s">
        <v>750</v>
      </c>
      <c r="C12" s="2" t="s">
        <v>66</v>
      </c>
      <c r="D12" s="2"/>
    </row>
    <row r="13" spans="1:7" ht="25.5" x14ac:dyDescent="0.25">
      <c r="A13" s="2" t="s">
        <v>302</v>
      </c>
      <c r="B13" s="2" t="s">
        <v>751</v>
      </c>
      <c r="C13" s="2" t="s">
        <v>66</v>
      </c>
      <c r="D13" s="2"/>
    </row>
    <row r="14" spans="1:7" x14ac:dyDescent="0.25">
      <c r="A14" s="2" t="s">
        <v>752</v>
      </c>
      <c r="B14" s="2" t="s">
        <v>753</v>
      </c>
      <c r="C14" s="2" t="s">
        <v>107</v>
      </c>
      <c r="D14" s="2"/>
    </row>
    <row r="15" spans="1:7" x14ac:dyDescent="0.25">
      <c r="A15" s="2" t="s">
        <v>754</v>
      </c>
      <c r="B15" s="2" t="s">
        <v>755</v>
      </c>
      <c r="C15" s="2" t="s">
        <v>107</v>
      </c>
      <c r="D15" s="2"/>
    </row>
    <row r="16" spans="1:7" x14ac:dyDescent="0.25">
      <c r="A16" s="2" t="s">
        <v>246</v>
      </c>
      <c r="B16" s="2" t="s">
        <v>756</v>
      </c>
      <c r="C16" s="2" t="s">
        <v>107</v>
      </c>
      <c r="D16" s="2"/>
    </row>
    <row r="17" spans="1:7" x14ac:dyDescent="0.25">
      <c r="A17" s="2" t="s">
        <v>338</v>
      </c>
      <c r="B17" s="2" t="s">
        <v>334</v>
      </c>
      <c r="C17" s="2" t="s">
        <v>107</v>
      </c>
      <c r="D17" s="2"/>
    </row>
    <row r="18" spans="1:7" x14ac:dyDescent="0.25">
      <c r="A18" s="2" t="s">
        <v>345</v>
      </c>
      <c r="B18" s="2" t="s">
        <v>757</v>
      </c>
      <c r="C18" s="2" t="s">
        <v>107</v>
      </c>
      <c r="D18" s="2"/>
    </row>
    <row r="19" spans="1:7" x14ac:dyDescent="0.25">
      <c r="A19" s="2" t="s">
        <v>245</v>
      </c>
      <c r="B19" s="2" t="s">
        <v>758</v>
      </c>
      <c r="C19" s="2" t="s">
        <v>107</v>
      </c>
      <c r="D19" s="2"/>
    </row>
    <row r="20" spans="1:7" x14ac:dyDescent="0.25">
      <c r="A20" s="2" t="s">
        <v>759</v>
      </c>
      <c r="B20" s="2" t="s">
        <v>760</v>
      </c>
      <c r="C20" s="2" t="s">
        <v>107</v>
      </c>
      <c r="D20" s="2" t="s">
        <v>761</v>
      </c>
    </row>
    <row r="21" spans="1:7" x14ac:dyDescent="0.25">
      <c r="A21" s="2" t="s">
        <v>762</v>
      </c>
      <c r="B21" s="2" t="s">
        <v>763</v>
      </c>
      <c r="C21" s="2" t="s">
        <v>107</v>
      </c>
      <c r="D21" s="2" t="s">
        <v>761</v>
      </c>
    </row>
    <row r="22" spans="1:7" ht="25.5" x14ac:dyDescent="0.25">
      <c r="A22" s="2" t="s">
        <v>65</v>
      </c>
      <c r="B22" s="2" t="s">
        <v>764</v>
      </c>
      <c r="C22" s="2"/>
      <c r="D22" s="2" t="s">
        <v>1523</v>
      </c>
    </row>
    <row r="24" spans="1:7" x14ac:dyDescent="0.25">
      <c r="A24" s="3" t="s">
        <v>765</v>
      </c>
      <c r="B24" s="3" t="s">
        <v>1524</v>
      </c>
      <c r="C24" s="4"/>
      <c r="D24" s="4"/>
      <c r="E24" s="4"/>
      <c r="F24" s="4"/>
      <c r="G24" s="4"/>
    </row>
    <row r="25" spans="1:7" ht="25.5" x14ac:dyDescent="0.25">
      <c r="A25" s="6" t="s">
        <v>747</v>
      </c>
      <c r="B25" s="6" t="s">
        <v>766</v>
      </c>
      <c r="C25" s="6" t="s">
        <v>767</v>
      </c>
      <c r="D25" s="6" t="s">
        <v>768</v>
      </c>
      <c r="E25" s="6" t="s">
        <v>769</v>
      </c>
      <c r="F25" s="6" t="s">
        <v>770</v>
      </c>
      <c r="G25" s="6" t="s">
        <v>57</v>
      </c>
    </row>
    <row r="26" spans="1:7" ht="25.5" x14ac:dyDescent="0.25">
      <c r="A26" s="2" t="s">
        <v>515</v>
      </c>
      <c r="B26" s="2" t="s">
        <v>771</v>
      </c>
      <c r="C26" s="2" t="s">
        <v>1057</v>
      </c>
      <c r="D26" s="2" t="s">
        <v>1057</v>
      </c>
      <c r="E26" s="2" t="s">
        <v>1058</v>
      </c>
      <c r="F26" s="2" t="s">
        <v>107</v>
      </c>
      <c r="G26" s="2" t="s">
        <v>1518</v>
      </c>
    </row>
    <row r="27" spans="1:7" ht="25.5" x14ac:dyDescent="0.25">
      <c r="A27" s="2" t="s">
        <v>772</v>
      </c>
      <c r="B27" s="2" t="s">
        <v>773</v>
      </c>
      <c r="C27" s="2" t="s">
        <v>1057</v>
      </c>
      <c r="D27" s="2" t="s">
        <v>1057</v>
      </c>
      <c r="E27" s="2" t="s">
        <v>1058</v>
      </c>
      <c r="F27" s="2" t="s">
        <v>107</v>
      </c>
      <c r="G27" s="2" t="s">
        <v>1519</v>
      </c>
    </row>
    <row r="28" spans="1:7" ht="25.5" x14ac:dyDescent="0.25">
      <c r="A28" s="2" t="s">
        <v>774</v>
      </c>
      <c r="B28" s="2" t="s">
        <v>775</v>
      </c>
      <c r="C28" s="2" t="s">
        <v>1054</v>
      </c>
      <c r="D28" s="2" t="s">
        <v>1055</v>
      </c>
      <c r="E28" s="2" t="s">
        <v>1056</v>
      </c>
      <c r="F28" s="2" t="s">
        <v>66</v>
      </c>
      <c r="G28" s="2"/>
    </row>
    <row r="29" spans="1:7" ht="25.5" x14ac:dyDescent="0.25">
      <c r="A29" s="2" t="s">
        <v>776</v>
      </c>
      <c r="B29" s="2" t="s">
        <v>777</v>
      </c>
      <c r="C29" s="2" t="s">
        <v>1054</v>
      </c>
      <c r="D29" s="2" t="s">
        <v>1055</v>
      </c>
      <c r="E29" s="2" t="s">
        <v>1056</v>
      </c>
      <c r="F29" s="2" t="s">
        <v>66</v>
      </c>
      <c r="G29" s="2" t="s">
        <v>1520</v>
      </c>
    </row>
    <row r="30" spans="1:7" ht="25.5" x14ac:dyDescent="0.25">
      <c r="A30" s="2" t="s">
        <v>778</v>
      </c>
      <c r="B30" s="2" t="s">
        <v>779</v>
      </c>
      <c r="C30" s="2" t="s">
        <v>1057</v>
      </c>
      <c r="D30" s="2" t="s">
        <v>1057</v>
      </c>
      <c r="E30" s="2" t="s">
        <v>1057</v>
      </c>
      <c r="F30" s="2" t="s">
        <v>107</v>
      </c>
      <c r="G30" s="2" t="s">
        <v>1521</v>
      </c>
    </row>
    <row r="31" spans="1:7" ht="25.5" x14ac:dyDescent="0.25">
      <c r="A31" s="2" t="s">
        <v>79</v>
      </c>
      <c r="B31" s="2" t="s">
        <v>780</v>
      </c>
      <c r="C31" s="2" t="s">
        <v>1054</v>
      </c>
      <c r="D31" s="2" t="s">
        <v>1055</v>
      </c>
      <c r="E31" s="2" t="s">
        <v>1056</v>
      </c>
      <c r="F31" s="2" t="s">
        <v>107</v>
      </c>
      <c r="G31" s="2"/>
    </row>
    <row r="32" spans="1:7" ht="25.5" x14ac:dyDescent="0.25">
      <c r="A32" s="2" t="s">
        <v>781</v>
      </c>
      <c r="B32" s="2" t="s">
        <v>782</v>
      </c>
      <c r="C32" s="2" t="s">
        <v>783</v>
      </c>
      <c r="D32" s="2" t="s">
        <v>783</v>
      </c>
      <c r="E32" s="2" t="s">
        <v>783</v>
      </c>
      <c r="F32" s="2" t="s">
        <v>107</v>
      </c>
      <c r="G32" s="2" t="s">
        <v>784</v>
      </c>
    </row>
    <row r="34" spans="1:7" x14ac:dyDescent="0.25">
      <c r="A34" s="3" t="s">
        <v>785</v>
      </c>
      <c r="B34" s="3" t="s">
        <v>786</v>
      </c>
      <c r="C34" s="4"/>
      <c r="D34" s="4"/>
      <c r="E34" s="4"/>
      <c r="F34" s="4"/>
      <c r="G34" s="4"/>
    </row>
    <row r="35" spans="1:7" x14ac:dyDescent="0.25">
      <c r="A35" s="6" t="s">
        <v>787</v>
      </c>
      <c r="B35" s="6" t="s">
        <v>788</v>
      </c>
    </row>
    <row r="36" spans="1:7" ht="51" x14ac:dyDescent="0.25">
      <c r="A36" s="2" t="s">
        <v>789</v>
      </c>
      <c r="B36" s="2" t="s">
        <v>790</v>
      </c>
    </row>
    <row r="37" spans="1:7" ht="38.25" x14ac:dyDescent="0.25">
      <c r="A37" s="2" t="s">
        <v>64</v>
      </c>
      <c r="B37" s="2" t="s">
        <v>791</v>
      </c>
    </row>
    <row r="38" spans="1:7" ht="51" x14ac:dyDescent="0.25">
      <c r="A38" s="2" t="s">
        <v>792</v>
      </c>
      <c r="B38" s="2" t="s">
        <v>793</v>
      </c>
    </row>
    <row r="40" spans="1:7" x14ac:dyDescent="0.25">
      <c r="A40" s="3" t="s">
        <v>794</v>
      </c>
      <c r="B40" s="3" t="s">
        <v>795</v>
      </c>
      <c r="C40" s="4"/>
      <c r="D40" s="4"/>
      <c r="E40" s="4"/>
      <c r="F40" s="4"/>
      <c r="G40" s="4"/>
    </row>
    <row r="41" spans="1:7" ht="25.5" x14ac:dyDescent="0.25">
      <c r="A41" s="6" t="s">
        <v>787</v>
      </c>
      <c r="B41" s="6" t="s">
        <v>796</v>
      </c>
      <c r="C41" s="6" t="s">
        <v>797</v>
      </c>
      <c r="D41" s="6" t="s">
        <v>788</v>
      </c>
      <c r="E41" s="6" t="s">
        <v>798</v>
      </c>
    </row>
    <row r="42" spans="1:7" ht="38.25" x14ac:dyDescent="0.25">
      <c r="A42" s="2">
        <v>1</v>
      </c>
      <c r="B42" s="2" t="s">
        <v>799</v>
      </c>
      <c r="C42" s="2">
        <v>0.8</v>
      </c>
      <c r="D42" s="2" t="s">
        <v>800</v>
      </c>
      <c r="E42" s="2">
        <v>0.5</v>
      </c>
    </row>
    <row r="43" spans="1:7" ht="51" x14ac:dyDescent="0.25">
      <c r="A43" s="2">
        <v>2</v>
      </c>
      <c r="B43" s="2" t="s">
        <v>801</v>
      </c>
      <c r="C43" s="2">
        <v>0.9</v>
      </c>
      <c r="D43" s="2" t="s">
        <v>802</v>
      </c>
      <c r="E43" s="2">
        <v>0.7</v>
      </c>
    </row>
    <row r="44" spans="1:7" ht="63.75" x14ac:dyDescent="0.25">
      <c r="A44" s="2">
        <v>3</v>
      </c>
      <c r="B44" s="2" t="s">
        <v>803</v>
      </c>
      <c r="C44" s="2">
        <v>1</v>
      </c>
      <c r="D44" s="2" t="s">
        <v>804</v>
      </c>
      <c r="E44" s="2">
        <v>1</v>
      </c>
    </row>
    <row r="45" spans="1:7" ht="63.75" x14ac:dyDescent="0.25">
      <c r="A45" s="2">
        <v>4</v>
      </c>
      <c r="B45" s="2" t="s">
        <v>805</v>
      </c>
      <c r="C45" s="2">
        <v>1.1499999999999999</v>
      </c>
      <c r="D45" s="2" t="s">
        <v>806</v>
      </c>
      <c r="E45" s="2">
        <v>1.3</v>
      </c>
    </row>
    <row r="47" spans="1:7" x14ac:dyDescent="0.25">
      <c r="A47" s="3" t="s">
        <v>807</v>
      </c>
      <c r="B47" s="3" t="s">
        <v>1045</v>
      </c>
      <c r="C47" s="4"/>
      <c r="D47" s="4"/>
      <c r="E47" s="4"/>
      <c r="F47" s="4"/>
      <c r="G47" s="4"/>
    </row>
    <row r="48" spans="1:7" x14ac:dyDescent="0.25">
      <c r="A48" s="6" t="s">
        <v>808</v>
      </c>
      <c r="B48" s="6" t="s">
        <v>809</v>
      </c>
      <c r="C48" s="6" t="s">
        <v>810</v>
      </c>
      <c r="D48" s="6" t="s">
        <v>792</v>
      </c>
      <c r="E48" s="6" t="s">
        <v>811</v>
      </c>
    </row>
    <row r="49" spans="1:7" x14ac:dyDescent="0.25">
      <c r="A49" s="2" t="s">
        <v>812</v>
      </c>
      <c r="B49" s="2" t="s">
        <v>813</v>
      </c>
      <c r="C49" s="2">
        <v>1.2</v>
      </c>
      <c r="D49" s="2">
        <v>1.3</v>
      </c>
      <c r="E49" s="2">
        <v>1.25</v>
      </c>
    </row>
    <row r="50" spans="1:7" ht="25.5" x14ac:dyDescent="0.25">
      <c r="A50" s="2" t="s">
        <v>814</v>
      </c>
      <c r="B50" s="2" t="s">
        <v>815</v>
      </c>
      <c r="C50" s="2">
        <v>1.1000000000000001</v>
      </c>
      <c r="D50" s="2">
        <v>1.2</v>
      </c>
      <c r="E50" s="2">
        <v>1.1499999999999999</v>
      </c>
    </row>
    <row r="51" spans="1:7" ht="25.5" x14ac:dyDescent="0.25">
      <c r="A51" s="2" t="s">
        <v>816</v>
      </c>
      <c r="B51" s="2" t="s">
        <v>1043</v>
      </c>
      <c r="C51" s="2">
        <v>1.05</v>
      </c>
      <c r="D51" s="2">
        <v>1.1200000000000001</v>
      </c>
      <c r="E51" s="2">
        <v>1.08</v>
      </c>
    </row>
    <row r="52" spans="1:7" x14ac:dyDescent="0.25">
      <c r="A52" s="2" t="s">
        <v>817</v>
      </c>
      <c r="B52" s="2" t="s">
        <v>818</v>
      </c>
      <c r="C52" s="2">
        <v>1</v>
      </c>
      <c r="D52" s="2">
        <v>1.05</v>
      </c>
      <c r="E52" s="2">
        <v>1.03</v>
      </c>
    </row>
    <row r="53" spans="1:7" ht="38.25" x14ac:dyDescent="0.25">
      <c r="A53" s="2" t="s">
        <v>819</v>
      </c>
      <c r="B53" s="2" t="s">
        <v>1041</v>
      </c>
      <c r="C53" s="2">
        <v>0.92</v>
      </c>
      <c r="D53" s="2">
        <v>0.97</v>
      </c>
      <c r="E53" s="2">
        <v>0.94</v>
      </c>
    </row>
    <row r="54" spans="1:7" x14ac:dyDescent="0.25">
      <c r="A54" s="2" t="s">
        <v>820</v>
      </c>
      <c r="B54" s="2" t="s">
        <v>821</v>
      </c>
      <c r="C54" s="2">
        <v>0.91</v>
      </c>
      <c r="D54" s="2">
        <v>0.96</v>
      </c>
      <c r="E54" s="2">
        <v>0.93</v>
      </c>
    </row>
    <row r="55" spans="1:7" x14ac:dyDescent="0.25">
      <c r="A55" s="2" t="s">
        <v>822</v>
      </c>
      <c r="B55" s="2" t="s">
        <v>823</v>
      </c>
      <c r="C55" s="2">
        <v>0.88</v>
      </c>
      <c r="D55" s="2">
        <v>0.93</v>
      </c>
      <c r="E55" s="2">
        <v>0.9</v>
      </c>
    </row>
    <row r="56" spans="1:7" ht="25.5" x14ac:dyDescent="0.25">
      <c r="A56" s="2" t="s">
        <v>824</v>
      </c>
      <c r="B56" s="2" t="s">
        <v>1042</v>
      </c>
      <c r="C56" s="2">
        <v>0.9</v>
      </c>
      <c r="D56" s="2">
        <v>0.95</v>
      </c>
      <c r="E56" s="2">
        <v>0.92</v>
      </c>
    </row>
    <row r="57" spans="1:7" x14ac:dyDescent="0.25">
      <c r="A57" s="2" t="s">
        <v>825</v>
      </c>
      <c r="B57" s="2" t="s">
        <v>826</v>
      </c>
      <c r="C57" s="2">
        <v>0.87</v>
      </c>
      <c r="D57" s="2">
        <v>0.92</v>
      </c>
      <c r="E57" s="2">
        <v>0.88</v>
      </c>
    </row>
    <row r="58" spans="1:7" x14ac:dyDescent="0.25">
      <c r="A58" s="2" t="s">
        <v>827</v>
      </c>
      <c r="B58" s="2" t="s">
        <v>828</v>
      </c>
      <c r="C58" s="2">
        <v>0.87</v>
      </c>
      <c r="D58" s="2">
        <v>0.93</v>
      </c>
      <c r="E58" s="2">
        <v>0.89</v>
      </c>
    </row>
    <row r="59" spans="1:7" ht="25.5" x14ac:dyDescent="0.25">
      <c r="A59" s="2" t="s">
        <v>829</v>
      </c>
      <c r="B59" s="2" t="s">
        <v>1044</v>
      </c>
      <c r="C59" s="2">
        <v>0.93</v>
      </c>
      <c r="D59" s="2">
        <v>1</v>
      </c>
      <c r="E59" s="2">
        <v>0.96499999999999997</v>
      </c>
    </row>
    <row r="60" spans="1:7" x14ac:dyDescent="0.25">
      <c r="A60" s="2" t="s">
        <v>830</v>
      </c>
      <c r="B60" s="2" t="s">
        <v>831</v>
      </c>
      <c r="C60" s="2">
        <v>0.82</v>
      </c>
      <c r="D60" s="2">
        <v>0.88</v>
      </c>
      <c r="E60" s="2">
        <v>0.85</v>
      </c>
    </row>
    <row r="61" spans="1:7" ht="25.5" x14ac:dyDescent="0.25">
      <c r="A61" s="2" t="s">
        <v>1046</v>
      </c>
      <c r="B61" s="2" t="s">
        <v>1047</v>
      </c>
      <c r="C61" s="2">
        <v>0.94</v>
      </c>
      <c r="D61" s="2">
        <v>1</v>
      </c>
      <c r="E61" s="2">
        <v>0.97</v>
      </c>
    </row>
    <row r="62" spans="1:7" x14ac:dyDescent="0.25">
      <c r="A62" s="3" t="s">
        <v>832</v>
      </c>
      <c r="B62" s="3" t="s">
        <v>833</v>
      </c>
      <c r="C62" s="4"/>
      <c r="D62" s="4"/>
      <c r="E62" s="4"/>
      <c r="F62" s="4"/>
      <c r="G62" s="4"/>
    </row>
    <row r="63" spans="1:7" x14ac:dyDescent="0.25">
      <c r="A63" s="6" t="s">
        <v>834</v>
      </c>
      <c r="B63" s="6" t="s">
        <v>835</v>
      </c>
      <c r="C63" s="6" t="s">
        <v>836</v>
      </c>
      <c r="D63" s="6" t="s">
        <v>837</v>
      </c>
    </row>
    <row r="64" spans="1:7" x14ac:dyDescent="0.25">
      <c r="A64" s="2" t="s">
        <v>774</v>
      </c>
      <c r="B64" s="2" t="s">
        <v>752</v>
      </c>
      <c r="C64" s="2">
        <v>600</v>
      </c>
      <c r="D64" s="2">
        <v>1200</v>
      </c>
    </row>
    <row r="65" spans="1:4" x14ac:dyDescent="0.25">
      <c r="A65" s="2" t="s">
        <v>774</v>
      </c>
      <c r="B65" s="2" t="s">
        <v>299</v>
      </c>
      <c r="C65" s="2">
        <v>700</v>
      </c>
      <c r="D65" s="2">
        <v>1500</v>
      </c>
    </row>
    <row r="66" spans="1:4" x14ac:dyDescent="0.25">
      <c r="A66" s="2" t="s">
        <v>774</v>
      </c>
      <c r="B66" s="2" t="s">
        <v>754</v>
      </c>
      <c r="C66" s="2">
        <v>800</v>
      </c>
      <c r="D66" s="2">
        <v>1800</v>
      </c>
    </row>
    <row r="67" spans="1:4" x14ac:dyDescent="0.25">
      <c r="A67" s="2" t="s">
        <v>774</v>
      </c>
      <c r="B67" s="2" t="s">
        <v>245</v>
      </c>
      <c r="C67" s="2">
        <v>1000</v>
      </c>
      <c r="D67" s="2">
        <v>2200</v>
      </c>
    </row>
    <row r="68" spans="1:4" x14ac:dyDescent="0.25">
      <c r="A68" s="2" t="s">
        <v>774</v>
      </c>
      <c r="B68" s="2" t="s">
        <v>246</v>
      </c>
      <c r="C68" s="2">
        <v>1500</v>
      </c>
      <c r="D68" s="2">
        <v>3000</v>
      </c>
    </row>
    <row r="69" spans="1:4" x14ac:dyDescent="0.25">
      <c r="A69" s="2" t="s">
        <v>774</v>
      </c>
      <c r="B69" s="2" t="s">
        <v>338</v>
      </c>
      <c r="C69" s="2">
        <v>500</v>
      </c>
      <c r="D69" s="2">
        <v>1300</v>
      </c>
    </row>
    <row r="70" spans="1:4" x14ac:dyDescent="0.25">
      <c r="A70" s="2" t="s">
        <v>774</v>
      </c>
      <c r="B70" s="2" t="s">
        <v>345</v>
      </c>
      <c r="C70" s="2">
        <v>400</v>
      </c>
      <c r="D70" s="2">
        <v>1100</v>
      </c>
    </row>
    <row r="71" spans="1:4" x14ac:dyDescent="0.25">
      <c r="A71" s="2" t="s">
        <v>776</v>
      </c>
      <c r="B71" s="2" t="s">
        <v>752</v>
      </c>
      <c r="C71" s="2">
        <v>500</v>
      </c>
      <c r="D71" s="2">
        <v>1200</v>
      </c>
    </row>
    <row r="72" spans="1:4" x14ac:dyDescent="0.25">
      <c r="A72" s="2" t="s">
        <v>776</v>
      </c>
      <c r="B72" s="2" t="s">
        <v>245</v>
      </c>
      <c r="C72" s="2">
        <v>900</v>
      </c>
      <c r="D72" s="2">
        <v>2000</v>
      </c>
    </row>
    <row r="73" spans="1:4" x14ac:dyDescent="0.25">
      <c r="A73" s="2" t="s">
        <v>776</v>
      </c>
      <c r="B73" s="2" t="s">
        <v>338</v>
      </c>
      <c r="C73" s="2">
        <v>500</v>
      </c>
      <c r="D73" s="2">
        <v>1400</v>
      </c>
    </row>
    <row r="74" spans="1:4" x14ac:dyDescent="0.25">
      <c r="A74" s="2" t="s">
        <v>515</v>
      </c>
      <c r="B74" s="2" t="s">
        <v>752</v>
      </c>
      <c r="C74" s="2">
        <v>1800</v>
      </c>
      <c r="D74" s="2">
        <v>2800</v>
      </c>
    </row>
    <row r="75" spans="1:4" x14ac:dyDescent="0.25">
      <c r="A75" s="2" t="s">
        <v>515</v>
      </c>
      <c r="B75" s="2" t="s">
        <v>299</v>
      </c>
      <c r="C75" s="2">
        <v>1600</v>
      </c>
      <c r="D75" s="2">
        <v>2600</v>
      </c>
    </row>
    <row r="76" spans="1:4" x14ac:dyDescent="0.25">
      <c r="A76" s="2" t="s">
        <v>515</v>
      </c>
      <c r="B76" s="2" t="s">
        <v>754</v>
      </c>
      <c r="C76" s="2">
        <v>2000</v>
      </c>
      <c r="D76" s="2">
        <v>3200</v>
      </c>
    </row>
    <row r="77" spans="1:4" x14ac:dyDescent="0.25">
      <c r="A77" s="2" t="s">
        <v>515</v>
      </c>
      <c r="B77" s="2" t="s">
        <v>245</v>
      </c>
      <c r="C77" s="2">
        <v>2200</v>
      </c>
      <c r="D77" s="2">
        <v>3500</v>
      </c>
    </row>
    <row r="78" spans="1:4" x14ac:dyDescent="0.25">
      <c r="A78" s="2" t="s">
        <v>515</v>
      </c>
      <c r="B78" s="2" t="s">
        <v>246</v>
      </c>
      <c r="C78" s="2">
        <v>3000</v>
      </c>
      <c r="D78" s="2">
        <v>5000</v>
      </c>
    </row>
    <row r="79" spans="1:4" x14ac:dyDescent="0.25">
      <c r="A79" s="2" t="s">
        <v>515</v>
      </c>
      <c r="B79" s="2" t="s">
        <v>345</v>
      </c>
      <c r="C79" s="2">
        <v>650</v>
      </c>
      <c r="D79" s="2">
        <v>1800</v>
      </c>
    </row>
    <row r="81" spans="1:7" x14ac:dyDescent="0.25">
      <c r="A81" s="3" t="s">
        <v>838</v>
      </c>
      <c r="B81" s="3" t="s">
        <v>839</v>
      </c>
      <c r="C81" s="4"/>
      <c r="D81" s="4"/>
      <c r="E81" s="4"/>
      <c r="F81" s="4"/>
      <c r="G81" s="4"/>
    </row>
    <row r="82" spans="1:7" x14ac:dyDescent="0.25">
      <c r="A82" s="6" t="s">
        <v>796</v>
      </c>
      <c r="B82" s="6" t="s">
        <v>840</v>
      </c>
      <c r="C82" s="6" t="s">
        <v>841</v>
      </c>
      <c r="D82" s="6" t="s">
        <v>57</v>
      </c>
    </row>
    <row r="83" spans="1:7" ht="25.5" x14ac:dyDescent="0.25">
      <c r="A83" s="2" t="s">
        <v>85</v>
      </c>
      <c r="B83" s="2" t="s">
        <v>842</v>
      </c>
      <c r="C83" s="2" t="s">
        <v>843</v>
      </c>
      <c r="D83" s="2" t="s">
        <v>844</v>
      </c>
    </row>
    <row r="84" spans="1:7" x14ac:dyDescent="0.25">
      <c r="A84" s="2" t="s">
        <v>505</v>
      </c>
      <c r="B84" s="2" t="s">
        <v>845</v>
      </c>
      <c r="C84" s="2" t="s">
        <v>19</v>
      </c>
      <c r="D84" s="2" t="s">
        <v>846</v>
      </c>
    </row>
    <row r="85" spans="1:7" x14ac:dyDescent="0.25">
      <c r="A85" s="2" t="s">
        <v>98</v>
      </c>
      <c r="B85" s="2" t="s">
        <v>847</v>
      </c>
      <c r="C85" s="2" t="s">
        <v>848</v>
      </c>
      <c r="D85" s="2" t="s">
        <v>849</v>
      </c>
    </row>
    <row r="86" spans="1:7" x14ac:dyDescent="0.25">
      <c r="A86" s="2" t="s">
        <v>161</v>
      </c>
      <c r="B86" s="2" t="s">
        <v>847</v>
      </c>
      <c r="C86" s="2" t="s">
        <v>850</v>
      </c>
      <c r="D86" s="2" t="s">
        <v>851</v>
      </c>
    </row>
    <row r="87" spans="1:7" ht="25.5" x14ac:dyDescent="0.25">
      <c r="A87" s="2" t="s">
        <v>640</v>
      </c>
      <c r="B87" s="2" t="s">
        <v>852</v>
      </c>
      <c r="C87" s="2" t="s">
        <v>853</v>
      </c>
      <c r="D87" s="2" t="s">
        <v>854</v>
      </c>
    </row>
    <row r="88" spans="1:7" ht="25.5" x14ac:dyDescent="0.25">
      <c r="A88" s="2" t="s">
        <v>76</v>
      </c>
      <c r="B88" s="2" t="s">
        <v>855</v>
      </c>
      <c r="C88" s="2" t="s">
        <v>1959</v>
      </c>
      <c r="D88" s="2" t="s">
        <v>856</v>
      </c>
    </row>
    <row r="89" spans="1:7" x14ac:dyDescent="0.25">
      <c r="A89" s="2" t="s">
        <v>857</v>
      </c>
      <c r="B89" s="2" t="s">
        <v>858</v>
      </c>
      <c r="C89" s="2"/>
      <c r="D89" s="2" t="s">
        <v>859</v>
      </c>
    </row>
    <row r="90" spans="1:7" x14ac:dyDescent="0.25">
      <c r="A90" s="2" t="s">
        <v>860</v>
      </c>
      <c r="B90" s="2" t="s">
        <v>861</v>
      </c>
      <c r="C90" s="2"/>
      <c r="D90" s="2" t="s">
        <v>862</v>
      </c>
    </row>
    <row r="91" spans="1:7" ht="25.5" x14ac:dyDescent="0.25">
      <c r="A91" s="2" t="s">
        <v>863</v>
      </c>
      <c r="B91" s="2" t="s">
        <v>864</v>
      </c>
      <c r="C91" s="2"/>
      <c r="D91" s="2" t="s">
        <v>865</v>
      </c>
    </row>
    <row r="92" spans="1:7" x14ac:dyDescent="0.25">
      <c r="A92" s="2" t="s">
        <v>866</v>
      </c>
      <c r="B92" s="2" t="s">
        <v>867</v>
      </c>
      <c r="C92" s="2"/>
      <c r="D92" s="2" t="s">
        <v>868</v>
      </c>
    </row>
    <row r="93" spans="1:7" ht="38.25" x14ac:dyDescent="0.25">
      <c r="A93" s="2" t="s">
        <v>1998</v>
      </c>
      <c r="B93" s="2" t="s">
        <v>1999</v>
      </c>
      <c r="C93" s="2" t="s">
        <v>2000</v>
      </c>
      <c r="D93" s="2" t="s">
        <v>2001</v>
      </c>
    </row>
    <row r="94" spans="1:7" ht="25.5" x14ac:dyDescent="0.25">
      <c r="A94" s="2" t="s">
        <v>2002</v>
      </c>
      <c r="B94" s="2" t="s">
        <v>2003</v>
      </c>
      <c r="C94" s="2">
        <v>0</v>
      </c>
      <c r="D94" s="2" t="s">
        <v>2004</v>
      </c>
    </row>
    <row r="96" spans="1:7" x14ac:dyDescent="0.25">
      <c r="A96" s="3" t="s">
        <v>869</v>
      </c>
      <c r="B96" s="3" t="s">
        <v>870</v>
      </c>
      <c r="C96" s="4"/>
      <c r="D96" s="4"/>
      <c r="E96" s="4"/>
      <c r="F96" s="4"/>
      <c r="G96" s="4"/>
    </row>
    <row r="97" spans="1:5" x14ac:dyDescent="0.25">
      <c r="A97" s="6" t="s">
        <v>871</v>
      </c>
      <c r="B97" s="6" t="s">
        <v>835</v>
      </c>
      <c r="C97" s="6" t="s">
        <v>739</v>
      </c>
      <c r="D97" s="6" t="s">
        <v>872</v>
      </c>
      <c r="E97" s="6" t="s">
        <v>873</v>
      </c>
    </row>
    <row r="98" spans="1:5" x14ac:dyDescent="0.25">
      <c r="A98" s="2" t="s">
        <v>874</v>
      </c>
      <c r="B98" s="2" t="s">
        <v>65</v>
      </c>
      <c r="C98" s="2">
        <v>10</v>
      </c>
      <c r="D98" s="2" t="s">
        <v>875</v>
      </c>
      <c r="E98" s="7" t="s">
        <v>10</v>
      </c>
    </row>
    <row r="99" spans="1:5" x14ac:dyDescent="0.25">
      <c r="A99" s="2" t="s">
        <v>874</v>
      </c>
      <c r="B99" s="2" t="s">
        <v>754</v>
      </c>
      <c r="C99" s="2">
        <v>5</v>
      </c>
      <c r="D99" s="2" t="s">
        <v>876</v>
      </c>
      <c r="E99" s="7" t="s">
        <v>10</v>
      </c>
    </row>
    <row r="100" spans="1:5" x14ac:dyDescent="0.25">
      <c r="A100" s="2" t="s">
        <v>874</v>
      </c>
      <c r="B100" s="2" t="s">
        <v>246</v>
      </c>
      <c r="C100" s="2">
        <v>15</v>
      </c>
      <c r="D100" s="2" t="s">
        <v>877</v>
      </c>
      <c r="E100" s="7" t="s">
        <v>10</v>
      </c>
    </row>
    <row r="101" spans="1:5" x14ac:dyDescent="0.25">
      <c r="A101" s="2" t="s">
        <v>874</v>
      </c>
      <c r="B101" s="2" t="s">
        <v>338</v>
      </c>
      <c r="C101" s="2">
        <v>7</v>
      </c>
      <c r="D101" s="2" t="s">
        <v>878</v>
      </c>
      <c r="E101" s="7" t="s">
        <v>10</v>
      </c>
    </row>
    <row r="102" spans="1:5" x14ac:dyDescent="0.25">
      <c r="A102" s="2" t="s">
        <v>874</v>
      </c>
      <c r="B102" s="2" t="s">
        <v>345</v>
      </c>
      <c r="C102" s="2">
        <v>40</v>
      </c>
      <c r="D102" s="2" t="s">
        <v>879</v>
      </c>
      <c r="E102" s="7" t="s">
        <v>10</v>
      </c>
    </row>
    <row r="103" spans="1:5" x14ac:dyDescent="0.25">
      <c r="A103" s="2" t="s">
        <v>874</v>
      </c>
      <c r="B103" s="2" t="s">
        <v>245</v>
      </c>
      <c r="C103" s="2">
        <v>5</v>
      </c>
      <c r="D103" s="2" t="s">
        <v>880</v>
      </c>
      <c r="E103" s="7" t="s">
        <v>10</v>
      </c>
    </row>
    <row r="104" spans="1:5" ht="25.5" x14ac:dyDescent="0.25">
      <c r="A104" s="2" t="s">
        <v>881</v>
      </c>
      <c r="B104" s="2" t="s">
        <v>65</v>
      </c>
      <c r="C104" s="2">
        <v>20</v>
      </c>
      <c r="D104" s="2" t="s">
        <v>882</v>
      </c>
      <c r="E104" s="7" t="s">
        <v>10</v>
      </c>
    </row>
    <row r="105" spans="1:5" x14ac:dyDescent="0.25">
      <c r="A105" s="2" t="s">
        <v>883</v>
      </c>
      <c r="B105" s="2" t="s">
        <v>65</v>
      </c>
      <c r="C105" s="2">
        <v>1</v>
      </c>
      <c r="D105" s="2" t="s">
        <v>884</v>
      </c>
      <c r="E105" s="7" t="s">
        <v>10</v>
      </c>
    </row>
    <row r="106" spans="1:5" ht="63.75" x14ac:dyDescent="0.25">
      <c r="A106" s="2" t="s">
        <v>885</v>
      </c>
      <c r="B106" s="2" t="s">
        <v>65</v>
      </c>
      <c r="C106" s="2">
        <v>66</v>
      </c>
      <c r="D106" s="2" t="s">
        <v>886</v>
      </c>
      <c r="E106" s="2" t="s">
        <v>1672</v>
      </c>
    </row>
    <row r="107" spans="1:5" ht="63.75" x14ac:dyDescent="0.25">
      <c r="A107" s="2" t="s">
        <v>887</v>
      </c>
      <c r="B107" s="2" t="s">
        <v>65</v>
      </c>
      <c r="C107" s="2">
        <v>1</v>
      </c>
      <c r="D107" s="2" t="s">
        <v>888</v>
      </c>
      <c r="E107" s="2" t="s">
        <v>1672</v>
      </c>
    </row>
    <row r="108" spans="1:5" x14ac:dyDescent="0.25">
      <c r="A108" s="2" t="s">
        <v>889</v>
      </c>
      <c r="B108" s="2" t="s">
        <v>65</v>
      </c>
      <c r="C108" s="2">
        <v>25</v>
      </c>
      <c r="D108" s="2" t="s">
        <v>890</v>
      </c>
      <c r="E108" s="7" t="s">
        <v>10</v>
      </c>
    </row>
    <row r="109" spans="1:5" x14ac:dyDescent="0.25">
      <c r="A109" s="2" t="s">
        <v>889</v>
      </c>
      <c r="B109" s="2" t="s">
        <v>302</v>
      </c>
      <c r="C109" s="2">
        <v>25</v>
      </c>
      <c r="D109" s="2" t="s">
        <v>891</v>
      </c>
      <c r="E109" s="7" t="s">
        <v>10</v>
      </c>
    </row>
    <row r="110" spans="1:5" x14ac:dyDescent="0.25">
      <c r="A110" s="2" t="s">
        <v>889</v>
      </c>
      <c r="B110" s="2" t="s">
        <v>246</v>
      </c>
      <c r="C110" s="2">
        <v>70</v>
      </c>
      <c r="D110" s="2" t="s">
        <v>892</v>
      </c>
      <c r="E110" s="7" t="s">
        <v>10</v>
      </c>
    </row>
    <row r="111" spans="1:5" x14ac:dyDescent="0.25">
      <c r="A111" s="2" t="s">
        <v>893</v>
      </c>
      <c r="B111" s="2" t="s">
        <v>65</v>
      </c>
      <c r="C111" s="2">
        <v>35</v>
      </c>
      <c r="D111" s="2" t="s">
        <v>894</v>
      </c>
      <c r="E111" s="7" t="s">
        <v>10</v>
      </c>
    </row>
    <row r="112" spans="1:5" x14ac:dyDescent="0.25">
      <c r="A112" s="2" t="s">
        <v>895</v>
      </c>
      <c r="B112" s="2" t="s">
        <v>65</v>
      </c>
      <c r="C112" s="2">
        <v>6</v>
      </c>
      <c r="D112" s="2" t="s">
        <v>896</v>
      </c>
      <c r="E112" s="7" t="s">
        <v>10</v>
      </c>
    </row>
    <row r="113" spans="1:5" x14ac:dyDescent="0.25">
      <c r="A113" s="2" t="s">
        <v>897</v>
      </c>
      <c r="B113" s="2" t="s">
        <v>65</v>
      </c>
      <c r="C113" s="2">
        <v>1</v>
      </c>
      <c r="D113" s="2" t="s">
        <v>898</v>
      </c>
      <c r="E113" s="7" t="s">
        <v>10</v>
      </c>
    </row>
    <row r="114" spans="1:5" x14ac:dyDescent="0.25">
      <c r="A114" s="2" t="s">
        <v>899</v>
      </c>
      <c r="B114" s="2" t="s">
        <v>65</v>
      </c>
      <c r="C114" s="2">
        <v>0.03</v>
      </c>
      <c r="D114" s="2" t="s">
        <v>900</v>
      </c>
      <c r="E114" s="7" t="s">
        <v>10</v>
      </c>
    </row>
    <row r="115" spans="1:5" x14ac:dyDescent="0.25">
      <c r="A115" s="2" t="s">
        <v>899</v>
      </c>
      <c r="B115" s="2" t="s">
        <v>245</v>
      </c>
      <c r="C115" s="2">
        <v>0.1</v>
      </c>
      <c r="D115" s="2" t="s">
        <v>901</v>
      </c>
      <c r="E115" s="7" t="s">
        <v>10</v>
      </c>
    </row>
    <row r="116" spans="1:5" x14ac:dyDescent="0.25">
      <c r="A116" s="2" t="s">
        <v>902</v>
      </c>
      <c r="B116" s="2" t="s">
        <v>65</v>
      </c>
      <c r="C116" s="2">
        <v>0.1</v>
      </c>
      <c r="D116" s="2" t="s">
        <v>903</v>
      </c>
      <c r="E116" s="7" t="s">
        <v>10</v>
      </c>
    </row>
    <row r="117" spans="1:5" x14ac:dyDescent="0.25">
      <c r="A117" s="2" t="s">
        <v>902</v>
      </c>
      <c r="B117" s="2" t="s">
        <v>754</v>
      </c>
      <c r="C117" s="2">
        <v>0.15</v>
      </c>
      <c r="D117" s="2" t="s">
        <v>904</v>
      </c>
      <c r="E117" s="7" t="s">
        <v>10</v>
      </c>
    </row>
    <row r="118" spans="1:5" x14ac:dyDescent="0.25">
      <c r="A118" s="2" t="s">
        <v>905</v>
      </c>
      <c r="B118" s="2" t="s">
        <v>65</v>
      </c>
      <c r="C118" s="2">
        <v>0.1</v>
      </c>
      <c r="D118" s="2" t="s">
        <v>906</v>
      </c>
      <c r="E118" s="7" t="s">
        <v>10</v>
      </c>
    </row>
    <row r="119" spans="1:5" x14ac:dyDescent="0.25">
      <c r="A119" s="2" t="s">
        <v>905</v>
      </c>
      <c r="B119" s="2" t="s">
        <v>246</v>
      </c>
      <c r="C119" s="2">
        <v>0.4</v>
      </c>
      <c r="D119" s="2" t="s">
        <v>907</v>
      </c>
      <c r="E119" s="7" t="s">
        <v>10</v>
      </c>
    </row>
    <row r="120" spans="1:5" x14ac:dyDescent="0.25">
      <c r="A120" s="2" t="s">
        <v>908</v>
      </c>
      <c r="B120" s="2" t="s">
        <v>65</v>
      </c>
      <c r="C120" s="2">
        <v>2</v>
      </c>
      <c r="D120" s="2" t="s">
        <v>585</v>
      </c>
      <c r="E120" s="7" t="s">
        <v>10</v>
      </c>
    </row>
    <row r="121" spans="1:5" x14ac:dyDescent="0.25">
      <c r="A121" s="2" t="s">
        <v>909</v>
      </c>
      <c r="B121" s="2" t="s">
        <v>65</v>
      </c>
      <c r="C121" s="2">
        <v>0.1</v>
      </c>
      <c r="D121" s="2" t="s">
        <v>910</v>
      </c>
      <c r="E121" s="7" t="s">
        <v>10</v>
      </c>
    </row>
    <row r="122" spans="1:5" x14ac:dyDescent="0.25">
      <c r="A122" s="2" t="s">
        <v>911</v>
      </c>
      <c r="B122" s="2" t="s">
        <v>65</v>
      </c>
      <c r="C122" s="2">
        <v>1.5</v>
      </c>
      <c r="D122" s="2" t="s">
        <v>912</v>
      </c>
      <c r="E122" s="7" t="s">
        <v>10</v>
      </c>
    </row>
    <row r="123" spans="1:5" x14ac:dyDescent="0.25">
      <c r="A123" s="2" t="s">
        <v>913</v>
      </c>
      <c r="B123" s="2" t="s">
        <v>65</v>
      </c>
      <c r="C123" s="2">
        <v>0.6</v>
      </c>
      <c r="D123" s="2" t="s">
        <v>914</v>
      </c>
      <c r="E123" s="7" t="s">
        <v>10</v>
      </c>
    </row>
    <row r="124" spans="1:5" x14ac:dyDescent="0.25">
      <c r="A124" s="2" t="s">
        <v>915</v>
      </c>
      <c r="B124" s="2" t="s">
        <v>65</v>
      </c>
      <c r="C124" s="2">
        <v>0.4</v>
      </c>
      <c r="D124" s="2" t="s">
        <v>916</v>
      </c>
      <c r="E124" s="7" t="s">
        <v>10</v>
      </c>
    </row>
    <row r="125" spans="1:5" ht="25.5" x14ac:dyDescent="0.25">
      <c r="A125" s="2" t="s">
        <v>917</v>
      </c>
      <c r="B125" s="2" t="s">
        <v>65</v>
      </c>
      <c r="C125" s="2">
        <v>4</v>
      </c>
      <c r="D125" s="2" t="s">
        <v>918</v>
      </c>
      <c r="E125" s="7" t="s">
        <v>10</v>
      </c>
    </row>
    <row r="126" spans="1:5" ht="38.25" x14ac:dyDescent="0.25">
      <c r="A126" s="2" t="s">
        <v>1957</v>
      </c>
      <c r="B126" s="2" t="s">
        <v>65</v>
      </c>
      <c r="C126" s="2">
        <v>25</v>
      </c>
      <c r="D126" s="2" t="s">
        <v>1958</v>
      </c>
      <c r="E126" s="7" t="s">
        <v>10</v>
      </c>
    </row>
    <row r="127" spans="1:5" ht="38.25" x14ac:dyDescent="0.25">
      <c r="A127" s="2" t="s">
        <v>1996</v>
      </c>
      <c r="B127" s="2" t="s">
        <v>65</v>
      </c>
      <c r="C127" s="2">
        <v>0.1</v>
      </c>
      <c r="D127" s="2" t="s">
        <v>1997</v>
      </c>
      <c r="E127" s="7" t="s">
        <v>10</v>
      </c>
    </row>
    <row r="129" spans="1:7" x14ac:dyDescent="0.25">
      <c r="A129" s="3" t="s">
        <v>919</v>
      </c>
      <c r="B129" s="3" t="s">
        <v>920</v>
      </c>
      <c r="C129" s="4"/>
      <c r="D129" s="4"/>
      <c r="E129" s="4"/>
      <c r="F129" s="4"/>
      <c r="G129" s="4"/>
    </row>
    <row r="130" spans="1:7" x14ac:dyDescent="0.25">
      <c r="A130" s="6" t="s">
        <v>871</v>
      </c>
      <c r="B130" s="6" t="s">
        <v>739</v>
      </c>
      <c r="C130" s="6" t="s">
        <v>921</v>
      </c>
      <c r="D130" s="6" t="s">
        <v>922</v>
      </c>
      <c r="E130" s="6" t="s">
        <v>873</v>
      </c>
    </row>
    <row r="131" spans="1:7" x14ac:dyDescent="0.25">
      <c r="A131" s="2" t="s">
        <v>923</v>
      </c>
      <c r="B131" s="2">
        <v>1.05</v>
      </c>
      <c r="C131" s="2" t="s">
        <v>924</v>
      </c>
      <c r="D131" s="2" t="s">
        <v>925</v>
      </c>
      <c r="E131" s="7" t="s">
        <v>10</v>
      </c>
    </row>
    <row r="132" spans="1:7" ht="25.5" x14ac:dyDescent="0.25">
      <c r="A132" s="2" t="s">
        <v>1969</v>
      </c>
      <c r="B132" s="2">
        <v>0.5</v>
      </c>
      <c r="C132" s="2" t="s">
        <v>1970</v>
      </c>
      <c r="D132" s="2" t="s">
        <v>1971</v>
      </c>
      <c r="E132" s="7" t="s">
        <v>1972</v>
      </c>
    </row>
    <row r="133" spans="1:7" ht="25.5" x14ac:dyDescent="0.25">
      <c r="A133" s="2" t="s">
        <v>1973</v>
      </c>
      <c r="B133" s="2">
        <v>20</v>
      </c>
      <c r="C133" s="2" t="s">
        <v>1974</v>
      </c>
      <c r="D133" s="2" t="s">
        <v>1975</v>
      </c>
      <c r="E133" s="7" t="s">
        <v>1976</v>
      </c>
    </row>
    <row r="134" spans="1:7" ht="25.5" x14ac:dyDescent="0.25">
      <c r="A134" s="2" t="s">
        <v>1977</v>
      </c>
      <c r="B134" s="2">
        <v>10</v>
      </c>
      <c r="C134" s="2" t="s">
        <v>1978</v>
      </c>
      <c r="D134" s="2" t="s">
        <v>1979</v>
      </c>
      <c r="E134" s="7" t="s">
        <v>1976</v>
      </c>
    </row>
    <row r="135" spans="1:7" ht="25.5" x14ac:dyDescent="0.25">
      <c r="A135" s="2" t="s">
        <v>1980</v>
      </c>
      <c r="B135" s="2">
        <v>3</v>
      </c>
      <c r="C135" s="2" t="s">
        <v>1981</v>
      </c>
      <c r="D135" s="2" t="s">
        <v>1979</v>
      </c>
      <c r="E135" s="7" t="s">
        <v>1976</v>
      </c>
    </row>
    <row r="136" spans="1:7" ht="25.5" x14ac:dyDescent="0.25">
      <c r="A136" s="2" t="s">
        <v>1982</v>
      </c>
      <c r="B136" s="2">
        <v>1</v>
      </c>
      <c r="C136" s="2" t="s">
        <v>1983</v>
      </c>
      <c r="D136" s="2" t="s">
        <v>1979</v>
      </c>
      <c r="E136" s="7" t="s">
        <v>1976</v>
      </c>
    </row>
    <row r="137" spans="1:7" ht="25.5" x14ac:dyDescent="0.25">
      <c r="A137" s="2" t="s">
        <v>1984</v>
      </c>
      <c r="B137" s="2">
        <v>2</v>
      </c>
      <c r="C137" s="2" t="s">
        <v>1985</v>
      </c>
      <c r="D137" s="2" t="s">
        <v>1979</v>
      </c>
      <c r="E137" s="7" t="s">
        <v>1976</v>
      </c>
    </row>
    <row r="138" spans="1:7" ht="25.5" x14ac:dyDescent="0.25">
      <c r="A138" s="2" t="s">
        <v>1986</v>
      </c>
      <c r="B138" s="2">
        <v>2</v>
      </c>
      <c r="C138" s="2" t="s">
        <v>1987</v>
      </c>
      <c r="D138" s="2" t="s">
        <v>1979</v>
      </c>
      <c r="E138" s="7" t="s">
        <v>1976</v>
      </c>
    </row>
    <row r="139" spans="1:7" ht="38.25" x14ac:dyDescent="0.25">
      <c r="A139" s="2" t="s">
        <v>1988</v>
      </c>
      <c r="B139" s="2">
        <v>2</v>
      </c>
      <c r="C139" s="2" t="s">
        <v>1989</v>
      </c>
      <c r="D139" s="2" t="s">
        <v>1979</v>
      </c>
      <c r="E139" s="7" t="s">
        <v>1976</v>
      </c>
    </row>
    <row r="140" spans="1:7" ht="25.5" x14ac:dyDescent="0.25">
      <c r="A140" s="2" t="s">
        <v>1990</v>
      </c>
      <c r="B140" s="2">
        <v>2</v>
      </c>
      <c r="C140" s="2" t="s">
        <v>1991</v>
      </c>
      <c r="D140" s="2" t="s">
        <v>1979</v>
      </c>
      <c r="E140" s="7" t="s">
        <v>1976</v>
      </c>
    </row>
    <row r="141" spans="1:7" ht="38.25" x14ac:dyDescent="0.25">
      <c r="A141" s="2" t="s">
        <v>2007</v>
      </c>
      <c r="B141" s="2">
        <v>11</v>
      </c>
      <c r="C141" s="2" t="s">
        <v>2008</v>
      </c>
      <c r="D141" s="2" t="s">
        <v>2009</v>
      </c>
      <c r="E141" s="7" t="s">
        <v>1976</v>
      </c>
    </row>
    <row r="142" spans="1:7" ht="38.25" x14ac:dyDescent="0.25">
      <c r="A142" s="2" t="s">
        <v>2010</v>
      </c>
      <c r="B142" s="2">
        <v>13</v>
      </c>
      <c r="C142" s="2" t="s">
        <v>2011</v>
      </c>
      <c r="D142" s="2" t="s">
        <v>2009</v>
      </c>
      <c r="E142" s="7" t="s">
        <v>1976</v>
      </c>
    </row>
    <row r="144" spans="1:7" x14ac:dyDescent="0.25">
      <c r="A144" s="3" t="s">
        <v>926</v>
      </c>
      <c r="B144" s="3" t="s">
        <v>1724</v>
      </c>
      <c r="C144" s="4"/>
      <c r="D144" s="4"/>
      <c r="E144" s="4"/>
      <c r="F144" s="4"/>
      <c r="G144" s="4"/>
    </row>
    <row r="145" spans="1:6" x14ac:dyDescent="0.25">
      <c r="A145" s="6" t="s">
        <v>747</v>
      </c>
      <c r="B145" s="6" t="s">
        <v>927</v>
      </c>
      <c r="C145" s="6" t="s">
        <v>928</v>
      </c>
      <c r="D145" s="6" t="s">
        <v>929</v>
      </c>
      <c r="E145" s="6" t="s">
        <v>930</v>
      </c>
      <c r="F145" s="6" t="s">
        <v>931</v>
      </c>
    </row>
    <row r="146" spans="1:6" ht="25.5" x14ac:dyDescent="0.25">
      <c r="A146" s="2" t="s">
        <v>932</v>
      </c>
      <c r="B146" s="2" t="s">
        <v>933</v>
      </c>
      <c r="C146" s="2" t="s">
        <v>934</v>
      </c>
      <c r="D146" s="2" t="s">
        <v>1801</v>
      </c>
      <c r="E146" s="2">
        <v>7</v>
      </c>
      <c r="F146" s="2">
        <v>11</v>
      </c>
    </row>
    <row r="147" spans="1:6" x14ac:dyDescent="0.25">
      <c r="A147" s="2" t="s">
        <v>932</v>
      </c>
      <c r="B147" s="2" t="s">
        <v>933</v>
      </c>
      <c r="C147" s="2" t="s">
        <v>935</v>
      </c>
      <c r="D147" s="2" t="s">
        <v>936</v>
      </c>
      <c r="E147" s="2">
        <v>2</v>
      </c>
      <c r="F147" s="2">
        <v>11</v>
      </c>
    </row>
    <row r="148" spans="1:6" x14ac:dyDescent="0.25">
      <c r="A148" s="2" t="s">
        <v>932</v>
      </c>
      <c r="B148" s="2" t="s">
        <v>933</v>
      </c>
      <c r="C148" s="2" t="s">
        <v>935</v>
      </c>
      <c r="D148" s="2" t="s">
        <v>937</v>
      </c>
      <c r="E148" s="2">
        <v>1</v>
      </c>
      <c r="F148" s="2">
        <v>11</v>
      </c>
    </row>
    <row r="149" spans="1:6" x14ac:dyDescent="0.25">
      <c r="A149" s="2" t="s">
        <v>932</v>
      </c>
      <c r="B149" s="2" t="s">
        <v>933</v>
      </c>
      <c r="C149" s="2" t="s">
        <v>935</v>
      </c>
      <c r="D149" s="2" t="s">
        <v>938</v>
      </c>
      <c r="E149" s="2">
        <v>0.5</v>
      </c>
      <c r="F149" s="2">
        <v>11</v>
      </c>
    </row>
    <row r="150" spans="1:6" ht="25.5" x14ac:dyDescent="0.25">
      <c r="A150" s="2" t="s">
        <v>932</v>
      </c>
      <c r="B150" s="2" t="s">
        <v>933</v>
      </c>
      <c r="C150" s="2" t="s">
        <v>935</v>
      </c>
      <c r="D150" s="2" t="s">
        <v>1953</v>
      </c>
      <c r="E150" s="2">
        <v>0.5</v>
      </c>
      <c r="F150" s="2">
        <v>11</v>
      </c>
    </row>
    <row r="151" spans="1:6" ht="25.5" x14ac:dyDescent="0.25">
      <c r="A151" s="2" t="s">
        <v>932</v>
      </c>
      <c r="B151" s="2" t="s">
        <v>933</v>
      </c>
      <c r="C151" s="2" t="s">
        <v>935</v>
      </c>
      <c r="D151" s="2" t="s">
        <v>1954</v>
      </c>
      <c r="E151" s="2">
        <v>0.5</v>
      </c>
      <c r="F151" s="2">
        <v>11</v>
      </c>
    </row>
    <row r="152" spans="1:6" ht="25.5" x14ac:dyDescent="0.25">
      <c r="A152" s="2" t="s">
        <v>932</v>
      </c>
      <c r="B152" s="2" t="s">
        <v>933</v>
      </c>
      <c r="C152" s="2" t="s">
        <v>935</v>
      </c>
      <c r="D152" s="2" t="s">
        <v>1955</v>
      </c>
      <c r="E152" s="2">
        <v>0.5</v>
      </c>
      <c r="F152" s="2">
        <v>11</v>
      </c>
    </row>
    <row r="153" spans="1:6" ht="25.5" x14ac:dyDescent="0.25">
      <c r="A153" s="2" t="s">
        <v>932</v>
      </c>
      <c r="B153" s="2" t="s">
        <v>933</v>
      </c>
      <c r="C153" s="2" t="s">
        <v>935</v>
      </c>
      <c r="D153" s="2" t="s">
        <v>1956</v>
      </c>
      <c r="E153" s="2">
        <v>0.5</v>
      </c>
      <c r="F153" s="2">
        <v>11</v>
      </c>
    </row>
    <row r="154" spans="1:6" x14ac:dyDescent="0.25">
      <c r="A154" s="2" t="s">
        <v>932</v>
      </c>
      <c r="B154" s="2" t="s">
        <v>933</v>
      </c>
      <c r="C154" s="2" t="s">
        <v>935</v>
      </c>
      <c r="D154" s="2" t="s">
        <v>939</v>
      </c>
      <c r="E154" s="2">
        <v>0.5</v>
      </c>
      <c r="F154" s="2">
        <v>11</v>
      </c>
    </row>
    <row r="155" spans="1:6" x14ac:dyDescent="0.25">
      <c r="A155" s="2" t="s">
        <v>932</v>
      </c>
      <c r="B155" s="2" t="s">
        <v>933</v>
      </c>
      <c r="C155" s="2" t="s">
        <v>935</v>
      </c>
      <c r="D155" s="2" t="s">
        <v>1802</v>
      </c>
      <c r="E155" s="2">
        <v>0.5</v>
      </c>
      <c r="F155" s="2">
        <v>11</v>
      </c>
    </row>
    <row r="156" spans="1:6" ht="25.5" x14ac:dyDescent="0.25">
      <c r="A156" s="2" t="s">
        <v>932</v>
      </c>
      <c r="B156" s="2" t="s">
        <v>933</v>
      </c>
      <c r="C156" s="2" t="s">
        <v>935</v>
      </c>
      <c r="D156" s="2" t="s">
        <v>1803</v>
      </c>
      <c r="E156" s="2">
        <v>0.5</v>
      </c>
      <c r="F156" s="2">
        <v>11</v>
      </c>
    </row>
    <row r="157" spans="1:6" x14ac:dyDescent="0.25">
      <c r="A157" s="2" t="s">
        <v>932</v>
      </c>
      <c r="B157" s="2" t="s">
        <v>933</v>
      </c>
      <c r="C157" s="2" t="s">
        <v>935</v>
      </c>
      <c r="D157" s="2" t="s">
        <v>1804</v>
      </c>
      <c r="E157" s="2">
        <v>1.5</v>
      </c>
      <c r="F157" s="2">
        <v>11</v>
      </c>
    </row>
    <row r="158" spans="1:6" x14ac:dyDescent="0.25">
      <c r="A158" s="2" t="s">
        <v>932</v>
      </c>
      <c r="B158" s="2" t="s">
        <v>933</v>
      </c>
      <c r="C158" s="2" t="s">
        <v>935</v>
      </c>
      <c r="D158" s="2" t="s">
        <v>1805</v>
      </c>
      <c r="E158" s="2">
        <v>1</v>
      </c>
      <c r="F158" s="2">
        <v>11</v>
      </c>
    </row>
    <row r="159" spans="1:6" x14ac:dyDescent="0.25">
      <c r="A159" s="2" t="s">
        <v>932</v>
      </c>
      <c r="B159" s="2" t="s">
        <v>933</v>
      </c>
      <c r="C159" s="2" t="s">
        <v>935</v>
      </c>
      <c r="D159" s="2" t="s">
        <v>1806</v>
      </c>
      <c r="E159" s="2">
        <v>2</v>
      </c>
      <c r="F159" s="2">
        <v>14</v>
      </c>
    </row>
    <row r="160" spans="1:6" x14ac:dyDescent="0.25">
      <c r="A160" s="2" t="s">
        <v>932</v>
      </c>
      <c r="B160" s="2" t="s">
        <v>933</v>
      </c>
      <c r="C160" s="2" t="s">
        <v>935</v>
      </c>
      <c r="D160" s="2" t="s">
        <v>1807</v>
      </c>
      <c r="E160" s="2">
        <v>3</v>
      </c>
      <c r="F160" s="2">
        <v>14</v>
      </c>
    </row>
    <row r="161" spans="1:6" x14ac:dyDescent="0.25">
      <c r="A161" s="2" t="s">
        <v>940</v>
      </c>
      <c r="B161" s="2" t="s">
        <v>941</v>
      </c>
      <c r="C161" s="2" t="s">
        <v>942</v>
      </c>
      <c r="D161" s="2" t="s">
        <v>943</v>
      </c>
      <c r="E161" s="2">
        <v>11</v>
      </c>
      <c r="F161" s="2"/>
    </row>
    <row r="162" spans="1:6" x14ac:dyDescent="0.25">
      <c r="A162" s="2" t="s">
        <v>940</v>
      </c>
      <c r="B162" s="2" t="s">
        <v>941</v>
      </c>
      <c r="C162" s="2" t="s">
        <v>942</v>
      </c>
      <c r="D162" s="2" t="s">
        <v>944</v>
      </c>
      <c r="E162" s="2">
        <v>9.5</v>
      </c>
      <c r="F162" s="2"/>
    </row>
    <row r="163" spans="1:6" x14ac:dyDescent="0.25">
      <c r="A163" s="2" t="s">
        <v>940</v>
      </c>
      <c r="B163" s="2" t="s">
        <v>941</v>
      </c>
      <c r="C163" s="2" t="s">
        <v>942</v>
      </c>
      <c r="D163" s="2" t="s">
        <v>945</v>
      </c>
      <c r="E163" s="2">
        <v>8.5</v>
      </c>
      <c r="F163" s="2"/>
    </row>
    <row r="164" spans="1:6" x14ac:dyDescent="0.25">
      <c r="A164" s="2" t="s">
        <v>946</v>
      </c>
      <c r="B164" s="2" t="s">
        <v>947</v>
      </c>
      <c r="C164" s="2" t="s">
        <v>934</v>
      </c>
      <c r="D164" s="2" t="s">
        <v>948</v>
      </c>
      <c r="E164" s="2">
        <v>13.5</v>
      </c>
      <c r="F164" s="2"/>
    </row>
    <row r="165" spans="1:6" x14ac:dyDescent="0.25">
      <c r="A165" s="2" t="s">
        <v>946</v>
      </c>
      <c r="B165" s="2" t="s">
        <v>947</v>
      </c>
      <c r="C165" s="2" t="s">
        <v>934</v>
      </c>
      <c r="D165" s="2" t="s">
        <v>949</v>
      </c>
      <c r="E165" s="2">
        <v>11.5</v>
      </c>
      <c r="F165" s="2"/>
    </row>
    <row r="166" spans="1:6" x14ac:dyDescent="0.25">
      <c r="A166" s="2" t="s">
        <v>946</v>
      </c>
      <c r="B166" s="2" t="s">
        <v>947</v>
      </c>
      <c r="C166" s="2" t="s">
        <v>934</v>
      </c>
      <c r="D166" s="2" t="s">
        <v>950</v>
      </c>
      <c r="E166" s="2">
        <v>8.5</v>
      </c>
      <c r="F166" s="2"/>
    </row>
    <row r="167" spans="1:6" x14ac:dyDescent="0.25">
      <c r="A167" s="2" t="s">
        <v>946</v>
      </c>
      <c r="B167" s="2" t="s">
        <v>947</v>
      </c>
      <c r="C167" s="2" t="s">
        <v>934</v>
      </c>
      <c r="D167" s="2" t="s">
        <v>951</v>
      </c>
      <c r="E167" s="2">
        <v>6</v>
      </c>
      <c r="F167" s="2"/>
    </row>
    <row r="168" spans="1:6" x14ac:dyDescent="0.25">
      <c r="A168" s="2" t="s">
        <v>946</v>
      </c>
      <c r="B168" s="2" t="s">
        <v>947</v>
      </c>
      <c r="C168" s="2" t="s">
        <v>935</v>
      </c>
      <c r="D168" s="2" t="s">
        <v>1034</v>
      </c>
      <c r="E168" s="2">
        <v>1.5</v>
      </c>
      <c r="F168" s="2"/>
    </row>
    <row r="169" spans="1:6" x14ac:dyDescent="0.25">
      <c r="A169" s="2" t="s">
        <v>946</v>
      </c>
      <c r="B169" s="2" t="s">
        <v>947</v>
      </c>
      <c r="C169" s="2" t="s">
        <v>935</v>
      </c>
      <c r="D169" s="2" t="s">
        <v>952</v>
      </c>
      <c r="E169" s="2">
        <v>1</v>
      </c>
      <c r="F169" s="2"/>
    </row>
    <row r="170" spans="1:6" ht="38.25" x14ac:dyDescent="0.25">
      <c r="A170" s="2" t="s">
        <v>946</v>
      </c>
      <c r="B170" s="2" t="s">
        <v>947</v>
      </c>
      <c r="C170" s="2" t="s">
        <v>935</v>
      </c>
      <c r="D170" s="2" t="s">
        <v>953</v>
      </c>
      <c r="E170" s="2">
        <v>2</v>
      </c>
      <c r="F170" s="2"/>
    </row>
    <row r="171" spans="1:6" x14ac:dyDescent="0.25">
      <c r="A171" s="2" t="s">
        <v>954</v>
      </c>
      <c r="B171" s="2" t="s">
        <v>955</v>
      </c>
      <c r="C171" s="2" t="s">
        <v>934</v>
      </c>
      <c r="D171" s="2" t="s">
        <v>956</v>
      </c>
      <c r="E171" s="2">
        <v>3.5</v>
      </c>
      <c r="F171" s="2"/>
    </row>
    <row r="172" spans="1:6" x14ac:dyDescent="0.25">
      <c r="A172" s="2" t="s">
        <v>954</v>
      </c>
      <c r="B172" s="2" t="s">
        <v>955</v>
      </c>
      <c r="C172" s="2" t="s">
        <v>934</v>
      </c>
      <c r="D172" s="2" t="s">
        <v>957</v>
      </c>
      <c r="E172" s="2">
        <v>4</v>
      </c>
      <c r="F172" s="2"/>
    </row>
    <row r="173" spans="1:6" x14ac:dyDescent="0.25">
      <c r="A173" s="2" t="s">
        <v>954</v>
      </c>
      <c r="B173" s="2" t="s">
        <v>955</v>
      </c>
      <c r="C173" s="2" t="s">
        <v>934</v>
      </c>
      <c r="D173" s="2" t="s">
        <v>958</v>
      </c>
      <c r="E173" s="2">
        <v>4</v>
      </c>
      <c r="F173" s="2"/>
    </row>
    <row r="174" spans="1:6" x14ac:dyDescent="0.25">
      <c r="A174" s="2" t="s">
        <v>954</v>
      </c>
      <c r="B174" s="2" t="s">
        <v>955</v>
      </c>
      <c r="C174" s="2" t="s">
        <v>934</v>
      </c>
      <c r="D174" s="2" t="s">
        <v>959</v>
      </c>
      <c r="E174" s="2">
        <v>2.5</v>
      </c>
      <c r="F174" s="2"/>
    </row>
    <row r="175" spans="1:6" x14ac:dyDescent="0.25">
      <c r="A175" s="2" t="s">
        <v>954</v>
      </c>
      <c r="B175" s="2" t="s">
        <v>955</v>
      </c>
      <c r="C175" s="2" t="s">
        <v>934</v>
      </c>
      <c r="D175" s="2" t="s">
        <v>960</v>
      </c>
      <c r="E175" s="2">
        <v>2</v>
      </c>
      <c r="F175" s="2"/>
    </row>
    <row r="176" spans="1:6" x14ac:dyDescent="0.25">
      <c r="A176" s="2" t="s">
        <v>954</v>
      </c>
      <c r="B176" s="2" t="s">
        <v>955</v>
      </c>
      <c r="C176" s="2" t="s">
        <v>934</v>
      </c>
      <c r="D176" s="2" t="s">
        <v>961</v>
      </c>
      <c r="E176" s="2">
        <v>3</v>
      </c>
      <c r="F176" s="2"/>
    </row>
    <row r="177" spans="1:6" x14ac:dyDescent="0.25">
      <c r="A177" s="2" t="s">
        <v>954</v>
      </c>
      <c r="B177" s="2" t="s">
        <v>955</v>
      </c>
      <c r="C177" s="2" t="s">
        <v>935</v>
      </c>
      <c r="D177" s="2" t="s">
        <v>962</v>
      </c>
      <c r="E177" s="2">
        <v>0.5</v>
      </c>
      <c r="F177" s="2"/>
    </row>
    <row r="178" spans="1:6" ht="38.25" x14ac:dyDescent="0.25">
      <c r="A178" s="2" t="s">
        <v>954</v>
      </c>
      <c r="B178" s="2" t="s">
        <v>955</v>
      </c>
      <c r="C178" s="2" t="s">
        <v>934</v>
      </c>
      <c r="D178" s="2" t="s">
        <v>963</v>
      </c>
      <c r="E178" s="2">
        <v>4</v>
      </c>
      <c r="F178" s="2"/>
    </row>
    <row r="179" spans="1:6" x14ac:dyDescent="0.25">
      <c r="A179" s="2" t="s">
        <v>964</v>
      </c>
      <c r="B179" s="2" t="s">
        <v>965</v>
      </c>
      <c r="C179" s="2" t="s">
        <v>934</v>
      </c>
      <c r="D179" s="2" t="s">
        <v>966</v>
      </c>
      <c r="E179" s="2">
        <v>5</v>
      </c>
      <c r="F179" s="2">
        <v>10</v>
      </c>
    </row>
    <row r="180" spans="1:6" x14ac:dyDescent="0.25">
      <c r="A180" s="2" t="s">
        <v>964</v>
      </c>
      <c r="B180" s="2" t="s">
        <v>965</v>
      </c>
      <c r="C180" s="2" t="s">
        <v>935</v>
      </c>
      <c r="D180" s="2" t="s">
        <v>967</v>
      </c>
      <c r="E180" s="2">
        <v>2</v>
      </c>
      <c r="F180" s="2">
        <v>10</v>
      </c>
    </row>
    <row r="181" spans="1:6" x14ac:dyDescent="0.25">
      <c r="A181" s="2" t="s">
        <v>964</v>
      </c>
      <c r="B181" s="2" t="s">
        <v>965</v>
      </c>
      <c r="C181" s="2" t="s">
        <v>935</v>
      </c>
      <c r="D181" s="2" t="s">
        <v>968</v>
      </c>
      <c r="E181" s="2">
        <v>2</v>
      </c>
      <c r="F181" s="2">
        <v>10</v>
      </c>
    </row>
    <row r="182" spans="1:6" x14ac:dyDescent="0.25">
      <c r="A182" s="2" t="s">
        <v>964</v>
      </c>
      <c r="B182" s="2" t="s">
        <v>965</v>
      </c>
      <c r="C182" s="2" t="s">
        <v>935</v>
      </c>
      <c r="D182" s="2" t="s">
        <v>969</v>
      </c>
      <c r="E182" s="2">
        <v>1.5</v>
      </c>
      <c r="F182" s="2">
        <v>10</v>
      </c>
    </row>
    <row r="183" spans="1:6" x14ac:dyDescent="0.25">
      <c r="A183" s="2" t="s">
        <v>964</v>
      </c>
      <c r="B183" s="2" t="s">
        <v>965</v>
      </c>
      <c r="C183" s="2" t="s">
        <v>935</v>
      </c>
      <c r="D183" s="2" t="s">
        <v>970</v>
      </c>
      <c r="E183" s="2">
        <v>1.5</v>
      </c>
      <c r="F183" s="2">
        <v>10</v>
      </c>
    </row>
    <row r="184" spans="1:6" x14ac:dyDescent="0.25">
      <c r="A184" s="2" t="s">
        <v>964</v>
      </c>
      <c r="B184" s="2" t="s">
        <v>965</v>
      </c>
      <c r="C184" s="2" t="s">
        <v>935</v>
      </c>
      <c r="D184" s="2" t="s">
        <v>971</v>
      </c>
      <c r="E184" s="2">
        <v>1</v>
      </c>
      <c r="F184" s="2">
        <v>10</v>
      </c>
    </row>
    <row r="185" spans="1:6" x14ac:dyDescent="0.25">
      <c r="A185" s="2" t="s">
        <v>964</v>
      </c>
      <c r="B185" s="2" t="s">
        <v>965</v>
      </c>
      <c r="C185" s="2" t="s">
        <v>935</v>
      </c>
      <c r="D185" s="2" t="s">
        <v>972</v>
      </c>
      <c r="E185" s="2">
        <v>0.5</v>
      </c>
      <c r="F185" s="2">
        <v>10</v>
      </c>
    </row>
    <row r="186" spans="1:6" x14ac:dyDescent="0.25">
      <c r="A186" s="2" t="s">
        <v>964</v>
      </c>
      <c r="B186" s="2" t="s">
        <v>965</v>
      </c>
      <c r="C186" s="2" t="s">
        <v>935</v>
      </c>
      <c r="D186" s="2" t="s">
        <v>973</v>
      </c>
      <c r="E186" s="2">
        <v>0.5</v>
      </c>
      <c r="F186" s="2">
        <v>10</v>
      </c>
    </row>
    <row r="187" spans="1:6" x14ac:dyDescent="0.25">
      <c r="A187" s="2" t="s">
        <v>964</v>
      </c>
      <c r="B187" s="2" t="s">
        <v>965</v>
      </c>
      <c r="C187" s="2" t="s">
        <v>935</v>
      </c>
      <c r="D187" s="2" t="s">
        <v>974</v>
      </c>
      <c r="E187" s="2">
        <v>0.5</v>
      </c>
      <c r="F187" s="2">
        <v>10</v>
      </c>
    </row>
    <row r="188" spans="1:6" x14ac:dyDescent="0.25">
      <c r="A188" s="2" t="s">
        <v>964</v>
      </c>
      <c r="B188" s="2" t="s">
        <v>965</v>
      </c>
      <c r="C188" s="2" t="s">
        <v>935</v>
      </c>
      <c r="D188" s="2" t="s">
        <v>975</v>
      </c>
      <c r="E188" s="2">
        <v>0.5</v>
      </c>
      <c r="F188" s="2">
        <v>10</v>
      </c>
    </row>
    <row r="189" spans="1:6" x14ac:dyDescent="0.25">
      <c r="A189" s="2" t="s">
        <v>964</v>
      </c>
      <c r="B189" s="2" t="s">
        <v>965</v>
      </c>
      <c r="C189" s="2" t="s">
        <v>935</v>
      </c>
      <c r="D189" s="2" t="s">
        <v>976</v>
      </c>
      <c r="E189" s="2">
        <v>1</v>
      </c>
      <c r="F189" s="2">
        <v>10</v>
      </c>
    </row>
    <row r="190" spans="1:6" x14ac:dyDescent="0.25">
      <c r="A190" s="2" t="s">
        <v>964</v>
      </c>
      <c r="B190" s="2" t="s">
        <v>965</v>
      </c>
      <c r="C190" s="2" t="s">
        <v>935</v>
      </c>
      <c r="D190" s="2" t="s">
        <v>936</v>
      </c>
      <c r="E190" s="2">
        <v>0.5</v>
      </c>
      <c r="F190" s="2">
        <v>10</v>
      </c>
    </row>
    <row r="191" spans="1:6" ht="25.5" x14ac:dyDescent="0.25">
      <c r="A191" s="2" t="s">
        <v>977</v>
      </c>
      <c r="B191" s="2" t="s">
        <v>978</v>
      </c>
      <c r="C191" s="2" t="s">
        <v>979</v>
      </c>
      <c r="D191" s="2" t="s">
        <v>980</v>
      </c>
      <c r="E191" s="2">
        <v>5</v>
      </c>
      <c r="F191" s="2">
        <v>5</v>
      </c>
    </row>
    <row r="192" spans="1:6" x14ac:dyDescent="0.25">
      <c r="A192" s="2" t="s">
        <v>981</v>
      </c>
      <c r="B192" s="2" t="s">
        <v>982</v>
      </c>
      <c r="C192" s="2" t="s">
        <v>983</v>
      </c>
      <c r="D192" s="2" t="s">
        <v>984</v>
      </c>
      <c r="E192" s="2">
        <v>0</v>
      </c>
      <c r="F192" s="2">
        <v>12</v>
      </c>
    </row>
    <row r="193" spans="1:7" x14ac:dyDescent="0.25">
      <c r="A193" s="2" t="s">
        <v>981</v>
      </c>
      <c r="B193" s="2" t="s">
        <v>982</v>
      </c>
      <c r="C193" s="2" t="s">
        <v>983</v>
      </c>
      <c r="D193" s="2" t="s">
        <v>985</v>
      </c>
      <c r="E193" s="2">
        <v>2</v>
      </c>
      <c r="F193" s="2">
        <v>12</v>
      </c>
    </row>
    <row r="194" spans="1:7" x14ac:dyDescent="0.25">
      <c r="A194" s="2" t="s">
        <v>981</v>
      </c>
      <c r="B194" s="2" t="s">
        <v>982</v>
      </c>
      <c r="C194" s="2" t="s">
        <v>983</v>
      </c>
      <c r="D194" s="2" t="s">
        <v>986</v>
      </c>
      <c r="E194" s="2">
        <v>4</v>
      </c>
      <c r="F194" s="2">
        <v>12</v>
      </c>
    </row>
    <row r="195" spans="1:7" x14ac:dyDescent="0.25">
      <c r="A195" s="2" t="s">
        <v>981</v>
      </c>
      <c r="B195" s="2" t="s">
        <v>982</v>
      </c>
      <c r="C195" s="2" t="s">
        <v>983</v>
      </c>
      <c r="D195" s="2" t="s">
        <v>987</v>
      </c>
      <c r="E195" s="2">
        <v>6</v>
      </c>
      <c r="F195" s="2">
        <v>12</v>
      </c>
    </row>
    <row r="196" spans="1:7" x14ac:dyDescent="0.25">
      <c r="A196" s="2" t="s">
        <v>981</v>
      </c>
      <c r="B196" s="2" t="s">
        <v>988</v>
      </c>
      <c r="C196" s="2" t="s">
        <v>983</v>
      </c>
      <c r="D196" s="2" t="s">
        <v>989</v>
      </c>
      <c r="E196" s="2">
        <v>1</v>
      </c>
      <c r="F196" s="2">
        <v>12</v>
      </c>
    </row>
    <row r="197" spans="1:7" x14ac:dyDescent="0.25">
      <c r="A197" s="2" t="s">
        <v>981</v>
      </c>
      <c r="B197" s="2" t="s">
        <v>988</v>
      </c>
      <c r="C197" s="2" t="s">
        <v>983</v>
      </c>
      <c r="D197" s="2" t="s">
        <v>990</v>
      </c>
      <c r="E197" s="2">
        <v>2</v>
      </c>
      <c r="F197" s="2">
        <v>12</v>
      </c>
    </row>
    <row r="198" spans="1:7" x14ac:dyDescent="0.25">
      <c r="A198" s="2" t="s">
        <v>981</v>
      </c>
      <c r="B198" s="2" t="s">
        <v>988</v>
      </c>
      <c r="C198" s="2" t="s">
        <v>983</v>
      </c>
      <c r="D198" s="2" t="s">
        <v>991</v>
      </c>
      <c r="E198" s="2">
        <v>3</v>
      </c>
      <c r="F198" s="2">
        <v>12</v>
      </c>
    </row>
    <row r="199" spans="1:7" x14ac:dyDescent="0.25">
      <c r="A199" s="2" t="s">
        <v>981</v>
      </c>
      <c r="B199" s="2" t="s">
        <v>988</v>
      </c>
      <c r="C199" s="2" t="s">
        <v>983</v>
      </c>
      <c r="D199" s="2" t="s">
        <v>992</v>
      </c>
      <c r="E199" s="2">
        <v>4</v>
      </c>
      <c r="F199" s="2">
        <v>12</v>
      </c>
    </row>
    <row r="200" spans="1:7" x14ac:dyDescent="0.25">
      <c r="A200" s="2" t="s">
        <v>981</v>
      </c>
      <c r="B200" s="2" t="s">
        <v>988</v>
      </c>
      <c r="C200" s="2" t="s">
        <v>983</v>
      </c>
      <c r="D200" s="2" t="s">
        <v>993</v>
      </c>
      <c r="E200" s="2">
        <v>5</v>
      </c>
      <c r="F200" s="2">
        <v>12</v>
      </c>
    </row>
    <row r="201" spans="1:7" ht="25.5" x14ac:dyDescent="0.25">
      <c r="A201" s="2" t="s">
        <v>994</v>
      </c>
      <c r="B201" s="2" t="s">
        <v>995</v>
      </c>
      <c r="C201" s="2" t="s">
        <v>979</v>
      </c>
      <c r="D201" s="2" t="s">
        <v>996</v>
      </c>
      <c r="E201" s="2">
        <v>20</v>
      </c>
      <c r="F201" s="2">
        <v>20</v>
      </c>
    </row>
    <row r="203" spans="1:7" x14ac:dyDescent="0.25">
      <c r="A203" s="3" t="s">
        <v>997</v>
      </c>
      <c r="B203" s="3" t="s">
        <v>998</v>
      </c>
      <c r="C203" s="4"/>
      <c r="D203" s="4"/>
      <c r="E203" s="4"/>
      <c r="F203" s="4"/>
      <c r="G203" s="4"/>
    </row>
    <row r="204" spans="1:7" x14ac:dyDescent="0.25">
      <c r="A204" s="6" t="s">
        <v>999</v>
      </c>
      <c r="B204" s="6" t="s">
        <v>1000</v>
      </c>
      <c r="C204" s="6" t="s">
        <v>1001</v>
      </c>
      <c r="D204" s="6" t="s">
        <v>1002</v>
      </c>
      <c r="E204" s="6" t="s">
        <v>742</v>
      </c>
    </row>
    <row r="205" spans="1:7" x14ac:dyDescent="0.25">
      <c r="A205" s="2" t="s">
        <v>285</v>
      </c>
      <c r="B205" s="2" t="s">
        <v>1003</v>
      </c>
      <c r="C205" s="2" t="s">
        <v>1004</v>
      </c>
      <c r="D205" s="2" t="s">
        <v>1005</v>
      </c>
      <c r="E205" s="2" t="s">
        <v>743</v>
      </c>
    </row>
    <row r="206" spans="1:7" x14ac:dyDescent="0.25">
      <c r="A206" s="2" t="s">
        <v>1006</v>
      </c>
      <c r="B206" s="2" t="s">
        <v>1007</v>
      </c>
      <c r="C206" s="2" t="s">
        <v>1004</v>
      </c>
      <c r="D206" s="2" t="s">
        <v>1008</v>
      </c>
      <c r="E206" s="2" t="s">
        <v>743</v>
      </c>
    </row>
    <row r="207" spans="1:7" x14ac:dyDescent="0.25">
      <c r="A207" s="2" t="s">
        <v>1009</v>
      </c>
      <c r="B207" s="2" t="s">
        <v>1010</v>
      </c>
      <c r="C207" s="2" t="s">
        <v>1004</v>
      </c>
      <c r="D207" s="2" t="s">
        <v>1011</v>
      </c>
      <c r="E207" s="2" t="s">
        <v>743</v>
      </c>
    </row>
    <row r="208" spans="1:7" x14ac:dyDescent="0.25">
      <c r="A208" s="2" t="s">
        <v>1012</v>
      </c>
      <c r="B208" s="2" t="s">
        <v>1013</v>
      </c>
      <c r="C208" s="2" t="s">
        <v>1004</v>
      </c>
      <c r="D208" s="2" t="s">
        <v>1014</v>
      </c>
      <c r="E208" s="2" t="s">
        <v>743</v>
      </c>
    </row>
    <row r="209" spans="1:7" x14ac:dyDescent="0.25">
      <c r="A209" s="2" t="s">
        <v>1015</v>
      </c>
      <c r="B209" s="2" t="s">
        <v>1016</v>
      </c>
      <c r="C209" s="2" t="s">
        <v>1004</v>
      </c>
      <c r="D209" s="2" t="s">
        <v>1017</v>
      </c>
      <c r="E209" s="2" t="s">
        <v>743</v>
      </c>
    </row>
    <row r="210" spans="1:7" x14ac:dyDescent="0.25">
      <c r="A210" s="2" t="s">
        <v>1018</v>
      </c>
      <c r="B210" s="2" t="s">
        <v>1019</v>
      </c>
      <c r="C210" s="2" t="s">
        <v>1004</v>
      </c>
      <c r="D210" s="2" t="s">
        <v>1020</v>
      </c>
      <c r="E210" s="2" t="s">
        <v>743</v>
      </c>
    </row>
    <row r="211" spans="1:7" x14ac:dyDescent="0.25">
      <c r="A211" s="2" t="s">
        <v>1021</v>
      </c>
      <c r="B211" s="2" t="s">
        <v>1022</v>
      </c>
      <c r="C211" s="2" t="s">
        <v>1004</v>
      </c>
      <c r="D211" s="2" t="s">
        <v>1023</v>
      </c>
      <c r="E211" s="2" t="s">
        <v>743</v>
      </c>
    </row>
    <row r="212" spans="1:7" x14ac:dyDescent="0.25">
      <c r="A212" s="2" t="s">
        <v>1024</v>
      </c>
      <c r="B212" s="2" t="s">
        <v>1025</v>
      </c>
      <c r="C212" s="2" t="s">
        <v>1004</v>
      </c>
      <c r="D212" s="2" t="s">
        <v>1026</v>
      </c>
      <c r="E212" s="2" t="s">
        <v>743</v>
      </c>
    </row>
    <row r="213" spans="1:7" ht="25.5" x14ac:dyDescent="0.25">
      <c r="A213" s="2" t="s">
        <v>1027</v>
      </c>
      <c r="B213" s="2" t="s">
        <v>1028</v>
      </c>
      <c r="C213" s="2" t="s">
        <v>1004</v>
      </c>
      <c r="D213" s="2" t="s">
        <v>1029</v>
      </c>
      <c r="E213" s="2" t="s">
        <v>743</v>
      </c>
    </row>
    <row r="214" spans="1:7" ht="25.5" x14ac:dyDescent="0.25">
      <c r="A214" s="30" t="s">
        <v>726</v>
      </c>
      <c r="B214" s="2" t="s">
        <v>725</v>
      </c>
      <c r="C214" s="2" t="s">
        <v>1004</v>
      </c>
      <c r="D214" s="2" t="s">
        <v>1615</v>
      </c>
      <c r="E214" s="30" t="s">
        <v>1614</v>
      </c>
    </row>
    <row r="216" spans="1:7" x14ac:dyDescent="0.25">
      <c r="A216" s="3" t="s">
        <v>1035</v>
      </c>
      <c r="B216" s="3" t="s">
        <v>1036</v>
      </c>
      <c r="C216" s="4"/>
      <c r="D216" s="4"/>
      <c r="E216" s="4"/>
      <c r="F216" s="4"/>
      <c r="G216" s="4"/>
    </row>
    <row r="217" spans="1:7" x14ac:dyDescent="0.25">
      <c r="A217" s="6" t="s">
        <v>1037</v>
      </c>
      <c r="B217" s="6" t="s">
        <v>810</v>
      </c>
      <c r="C217" s="6" t="s">
        <v>792</v>
      </c>
      <c r="D217" s="6" t="s">
        <v>57</v>
      </c>
    </row>
    <row r="218" spans="1:7" ht="25.5" x14ac:dyDescent="0.25">
      <c r="A218" s="2" t="s">
        <v>932</v>
      </c>
      <c r="B218" s="2">
        <v>0.9</v>
      </c>
      <c r="C218" s="2">
        <v>1.1499999999999999</v>
      </c>
      <c r="D218" s="2" t="s">
        <v>1038</v>
      </c>
    </row>
    <row r="219" spans="1:7" x14ac:dyDescent="0.25">
      <c r="A219" s="2" t="s">
        <v>940</v>
      </c>
      <c r="B219" s="2">
        <v>0.9</v>
      </c>
      <c r="C219" s="2">
        <v>1.2</v>
      </c>
    </row>
    <row r="220" spans="1:7" x14ac:dyDescent="0.25">
      <c r="A220" s="2" t="s">
        <v>946</v>
      </c>
      <c r="B220" s="2">
        <v>0.85</v>
      </c>
      <c r="C220" s="2">
        <v>1.25</v>
      </c>
    </row>
    <row r="221" spans="1:7" x14ac:dyDescent="0.25">
      <c r="A221" s="2" t="s">
        <v>954</v>
      </c>
      <c r="B221" s="2">
        <v>0.8</v>
      </c>
      <c r="C221" s="2">
        <v>1.35</v>
      </c>
    </row>
    <row r="222" spans="1:7" x14ac:dyDescent="0.25">
      <c r="A222" s="2" t="s">
        <v>1967</v>
      </c>
      <c r="B222" s="2">
        <v>0.89</v>
      </c>
      <c r="C222" s="2">
        <v>1.1100000000000001</v>
      </c>
      <c r="D222" t="s">
        <v>1968</v>
      </c>
    </row>
    <row r="224" spans="1:7" x14ac:dyDescent="0.25">
      <c r="A224" s="3" t="s">
        <v>1808</v>
      </c>
      <c r="B224" s="3" t="s">
        <v>1809</v>
      </c>
      <c r="C224" s="4"/>
      <c r="D224" s="4"/>
      <c r="E224" s="4"/>
      <c r="F224" s="4"/>
      <c r="G224" s="4"/>
    </row>
    <row r="225" spans="1:5" x14ac:dyDescent="0.25">
      <c r="A225" s="6" t="s">
        <v>871</v>
      </c>
      <c r="B225" s="6" t="s">
        <v>1810</v>
      </c>
      <c r="C225" s="6" t="s">
        <v>1811</v>
      </c>
      <c r="D225" s="6" t="s">
        <v>1812</v>
      </c>
      <c r="E225" s="6" t="s">
        <v>1813</v>
      </c>
    </row>
    <row r="226" spans="1:5" ht="25.5" x14ac:dyDescent="0.25">
      <c r="A226" s="2" t="s">
        <v>1814</v>
      </c>
      <c r="B226" s="2" t="s">
        <v>1815</v>
      </c>
      <c r="C226" s="2">
        <v>1</v>
      </c>
      <c r="D226" s="2"/>
      <c r="E226" s="2"/>
    </row>
    <row r="227" spans="1:5" ht="25.5" x14ac:dyDescent="0.25">
      <c r="A227" s="2" t="s">
        <v>1816</v>
      </c>
      <c r="B227" s="2" t="s">
        <v>1817</v>
      </c>
      <c r="C227" s="2">
        <v>3</v>
      </c>
      <c r="D227" s="2"/>
      <c r="E227" s="2"/>
    </row>
    <row r="228" spans="1:5" ht="25.5" x14ac:dyDescent="0.25">
      <c r="A228" s="2" t="s">
        <v>1818</v>
      </c>
      <c r="B228" s="2" t="s">
        <v>1819</v>
      </c>
      <c r="C228" s="2">
        <v>6</v>
      </c>
      <c r="D228" s="2"/>
      <c r="E228" s="2"/>
    </row>
    <row r="229" spans="1:5" x14ac:dyDescent="0.25">
      <c r="A229" s="2" t="s">
        <v>1820</v>
      </c>
      <c r="B229" s="2" t="s">
        <v>1821</v>
      </c>
      <c r="C229" s="2">
        <v>1</v>
      </c>
      <c r="D229" s="2"/>
      <c r="E229" s="2" t="s">
        <v>940</v>
      </c>
    </row>
    <row r="230" spans="1:5" x14ac:dyDescent="0.25">
      <c r="A230" s="2" t="s">
        <v>1822</v>
      </c>
      <c r="B230" s="2" t="s">
        <v>1823</v>
      </c>
      <c r="C230" s="2">
        <v>2</v>
      </c>
      <c r="D230" s="2"/>
      <c r="E230" s="2"/>
    </row>
    <row r="231" spans="1:5" ht="25.5" x14ac:dyDescent="0.25">
      <c r="A231" s="2" t="s">
        <v>1824</v>
      </c>
      <c r="B231" s="2" t="s">
        <v>1825</v>
      </c>
      <c r="C231" s="2">
        <v>1</v>
      </c>
      <c r="D231" s="2"/>
      <c r="E231" s="2"/>
    </row>
    <row r="232" spans="1:5" ht="25.5" x14ac:dyDescent="0.25">
      <c r="A232" s="2" t="s">
        <v>1826</v>
      </c>
      <c r="B232" s="2" t="s">
        <v>1827</v>
      </c>
      <c r="C232" s="2">
        <v>1</v>
      </c>
      <c r="D232" s="2"/>
      <c r="E232" s="2"/>
    </row>
    <row r="233" spans="1:5" ht="25.5" x14ac:dyDescent="0.25">
      <c r="A233" s="2" t="s">
        <v>1828</v>
      </c>
      <c r="B233" s="2" t="s">
        <v>1829</v>
      </c>
      <c r="C233" s="2">
        <v>0</v>
      </c>
      <c r="D233" s="2"/>
      <c r="E233" s="2" t="s">
        <v>946</v>
      </c>
    </row>
    <row r="234" spans="1:5" x14ac:dyDescent="0.25">
      <c r="A234" s="2" t="s">
        <v>1830</v>
      </c>
      <c r="B234" s="2" t="s">
        <v>1831</v>
      </c>
      <c r="C234" s="2">
        <v>1</v>
      </c>
      <c r="D234" s="2"/>
      <c r="E234" s="2"/>
    </row>
    <row r="235" spans="1:5" x14ac:dyDescent="0.25">
      <c r="A235" s="2" t="s">
        <v>1832</v>
      </c>
      <c r="B235" s="2" t="s">
        <v>1833</v>
      </c>
      <c r="C235" s="2">
        <v>1</v>
      </c>
      <c r="D235" s="2"/>
      <c r="E235" s="2"/>
    </row>
    <row r="236" spans="1:5" x14ac:dyDescent="0.25">
      <c r="A236" s="2" t="s">
        <v>1834</v>
      </c>
      <c r="B236" s="2" t="s">
        <v>1835</v>
      </c>
      <c r="C236" s="2">
        <v>1</v>
      </c>
      <c r="D236" s="2"/>
      <c r="E236" s="2"/>
    </row>
    <row r="237" spans="1:5" x14ac:dyDescent="0.25">
      <c r="A237" s="2" t="s">
        <v>1836</v>
      </c>
      <c r="B237" s="2" t="s">
        <v>1837</v>
      </c>
      <c r="C237" s="2">
        <v>0.5</v>
      </c>
      <c r="D237" s="2"/>
      <c r="E237" s="2"/>
    </row>
    <row r="238" spans="1:5" x14ac:dyDescent="0.25">
      <c r="A238" s="2" t="s">
        <v>1838</v>
      </c>
      <c r="B238" s="2" t="s">
        <v>1839</v>
      </c>
      <c r="C238" s="2">
        <v>1</v>
      </c>
      <c r="D238" s="2"/>
      <c r="E238" s="2"/>
    </row>
    <row r="239" spans="1:5" x14ac:dyDescent="0.25">
      <c r="A239" s="2" t="s">
        <v>1840</v>
      </c>
      <c r="B239" s="2" t="s">
        <v>1841</v>
      </c>
      <c r="C239" s="2">
        <v>0.5</v>
      </c>
      <c r="D239" s="2"/>
      <c r="E239" s="2"/>
    </row>
    <row r="240" spans="1:5" ht="25.5" x14ac:dyDescent="0.25">
      <c r="A240" s="2" t="s">
        <v>1842</v>
      </c>
      <c r="B240" s="2" t="s">
        <v>1843</v>
      </c>
      <c r="C240" s="2">
        <v>1</v>
      </c>
      <c r="D240" s="2">
        <v>2</v>
      </c>
      <c r="E240" s="2"/>
    </row>
    <row r="241" spans="1:7" ht="38.25" x14ac:dyDescent="0.25">
      <c r="A241" s="2" t="s">
        <v>1844</v>
      </c>
      <c r="B241" s="2" t="s">
        <v>1845</v>
      </c>
      <c r="C241" s="2">
        <v>0.5</v>
      </c>
      <c r="D241" s="2">
        <v>0.25</v>
      </c>
      <c r="E241" s="2"/>
    </row>
    <row r="242" spans="1:7" x14ac:dyDescent="0.25">
      <c r="A242" s="2" t="s">
        <v>1846</v>
      </c>
      <c r="B242" s="2" t="s">
        <v>1847</v>
      </c>
      <c r="C242" s="2">
        <v>2</v>
      </c>
      <c r="D242" s="2"/>
      <c r="E242" s="2"/>
    </row>
    <row r="243" spans="1:7" x14ac:dyDescent="0.25">
      <c r="A243" s="2" t="s">
        <v>1848</v>
      </c>
      <c r="B243" s="2" t="s">
        <v>1849</v>
      </c>
      <c r="C243" s="2">
        <v>1</v>
      </c>
      <c r="D243" s="2"/>
      <c r="E243" s="2"/>
    </row>
    <row r="244" spans="1:7" ht="25.5" x14ac:dyDescent="0.25">
      <c r="A244" s="2" t="s">
        <v>1850</v>
      </c>
      <c r="B244" s="2" t="s">
        <v>1851</v>
      </c>
      <c r="C244" s="2">
        <v>1</v>
      </c>
      <c r="D244" s="2"/>
      <c r="E244" s="2"/>
    </row>
    <row r="245" spans="1:7" ht="25.5" x14ac:dyDescent="0.25">
      <c r="A245" s="2" t="s">
        <v>1852</v>
      </c>
      <c r="B245" s="2" t="s">
        <v>1853</v>
      </c>
      <c r="C245" s="2">
        <v>1</v>
      </c>
      <c r="D245" s="2"/>
      <c r="E245" s="2"/>
    </row>
    <row r="246" spans="1:7" x14ac:dyDescent="0.25">
      <c r="A246" s="2" t="s">
        <v>1854</v>
      </c>
      <c r="B246" s="2" t="s">
        <v>1855</v>
      </c>
      <c r="C246" s="2">
        <v>1</v>
      </c>
      <c r="D246" s="2"/>
      <c r="E246" s="2"/>
    </row>
    <row r="247" spans="1:7" ht="25.5" x14ac:dyDescent="0.25">
      <c r="A247" s="2" t="s">
        <v>1856</v>
      </c>
      <c r="B247" s="2" t="s">
        <v>1857</v>
      </c>
      <c r="C247" s="2">
        <v>1</v>
      </c>
      <c r="D247" s="2"/>
      <c r="E247" s="2"/>
    </row>
    <row r="248" spans="1:7" ht="38.25" x14ac:dyDescent="0.25">
      <c r="A248" s="2" t="s">
        <v>1965</v>
      </c>
      <c r="B248" s="2" t="s">
        <v>1966</v>
      </c>
      <c r="C248" s="2">
        <v>0</v>
      </c>
      <c r="D248" s="2">
        <v>0.3</v>
      </c>
      <c r="E248" s="2" t="s">
        <v>954</v>
      </c>
    </row>
    <row r="250" spans="1:7" x14ac:dyDescent="0.25">
      <c r="A250" s="3" t="s">
        <v>1858</v>
      </c>
      <c r="B250" s="3" t="s">
        <v>1859</v>
      </c>
      <c r="C250" s="4"/>
      <c r="D250" s="4"/>
      <c r="E250" s="4"/>
      <c r="F250" s="4"/>
      <c r="G250" s="4"/>
    </row>
    <row r="251" spans="1:7" ht="25.5" x14ac:dyDescent="0.25">
      <c r="A251" s="6" t="s">
        <v>871</v>
      </c>
      <c r="B251" s="6" t="s">
        <v>1860</v>
      </c>
      <c r="C251" s="6" t="s">
        <v>1861</v>
      </c>
      <c r="D251" s="6" t="s">
        <v>1862</v>
      </c>
      <c r="E251" s="6" t="s">
        <v>57</v>
      </c>
    </row>
    <row r="252" spans="1:7" ht="38.25" x14ac:dyDescent="0.25">
      <c r="A252" s="2" t="s">
        <v>1863</v>
      </c>
      <c r="B252" s="2" t="s">
        <v>1864</v>
      </c>
      <c r="C252" s="2" t="s">
        <v>1821</v>
      </c>
      <c r="D252" s="2">
        <v>5</v>
      </c>
      <c r="E252" s="2" t="s">
        <v>1865</v>
      </c>
    </row>
    <row r="253" spans="1:7" x14ac:dyDescent="0.25">
      <c r="A253" s="2" t="s">
        <v>1866</v>
      </c>
      <c r="B253" s="2" t="s">
        <v>1864</v>
      </c>
      <c r="C253" s="2" t="s">
        <v>1867</v>
      </c>
      <c r="D253" s="2">
        <v>3</v>
      </c>
      <c r="E253" s="2"/>
    </row>
    <row r="254" spans="1:7" x14ac:dyDescent="0.25">
      <c r="A254" s="2" t="s">
        <v>1868</v>
      </c>
      <c r="B254" s="2" t="s">
        <v>1864</v>
      </c>
      <c r="C254" s="2" t="s">
        <v>1869</v>
      </c>
      <c r="D254" s="2">
        <v>2</v>
      </c>
      <c r="E254" s="2"/>
    </row>
    <row r="255" spans="1:7" x14ac:dyDescent="0.25">
      <c r="A255" s="2" t="s">
        <v>1870</v>
      </c>
      <c r="B255" s="2" t="s">
        <v>1864</v>
      </c>
      <c r="C255" s="2" t="s">
        <v>1871</v>
      </c>
      <c r="D255" s="2">
        <v>1</v>
      </c>
      <c r="E255" s="2"/>
    </row>
    <row r="256" spans="1:7" ht="25.5" x14ac:dyDescent="0.25">
      <c r="A256" s="2" t="s">
        <v>1872</v>
      </c>
      <c r="B256" s="2" t="s">
        <v>1864</v>
      </c>
      <c r="C256" s="2" t="s">
        <v>1825</v>
      </c>
      <c r="D256" s="2">
        <v>1</v>
      </c>
      <c r="E256" s="2"/>
    </row>
    <row r="257" spans="1:5" ht="25.5" x14ac:dyDescent="0.25">
      <c r="A257" s="2" t="s">
        <v>1873</v>
      </c>
      <c r="B257" s="2" t="s">
        <v>1864</v>
      </c>
      <c r="C257" s="2" t="s">
        <v>1874</v>
      </c>
      <c r="D257" s="2">
        <v>1</v>
      </c>
      <c r="E257" s="2" t="s">
        <v>1875</v>
      </c>
    </row>
    <row r="258" spans="1:5" ht="51" x14ac:dyDescent="0.25">
      <c r="A258" s="2" t="s">
        <v>1876</v>
      </c>
      <c r="B258" s="2" t="s">
        <v>1864</v>
      </c>
      <c r="C258" s="2" t="s">
        <v>1877</v>
      </c>
      <c r="D258" s="2">
        <v>0.5</v>
      </c>
      <c r="E258" s="2" t="s">
        <v>1878</v>
      </c>
    </row>
    <row r="259" spans="1:5" x14ac:dyDescent="0.25">
      <c r="A259" s="2" t="s">
        <v>1879</v>
      </c>
      <c r="B259" s="2" t="s">
        <v>1864</v>
      </c>
      <c r="C259" s="2" t="s">
        <v>1880</v>
      </c>
      <c r="D259" s="2">
        <v>1</v>
      </c>
      <c r="E259" s="2"/>
    </row>
    <row r="260" spans="1:5" ht="25.5" x14ac:dyDescent="0.25">
      <c r="A260" s="2" t="s">
        <v>1881</v>
      </c>
      <c r="B260" s="2" t="s">
        <v>1882</v>
      </c>
      <c r="C260" s="2" t="s">
        <v>1883</v>
      </c>
      <c r="D260" s="2">
        <v>2</v>
      </c>
      <c r="E260" s="2" t="s">
        <v>1884</v>
      </c>
    </row>
    <row r="261" spans="1:5" ht="51" x14ac:dyDescent="0.25">
      <c r="A261" s="2" t="s">
        <v>1885</v>
      </c>
      <c r="B261" s="2" t="s">
        <v>1882</v>
      </c>
      <c r="C261" s="2" t="s">
        <v>1835</v>
      </c>
      <c r="D261" s="2">
        <v>4</v>
      </c>
      <c r="E261" s="2" t="s">
        <v>1886</v>
      </c>
    </row>
    <row r="262" spans="1:5" ht="25.5" x14ac:dyDescent="0.25">
      <c r="A262" s="2" t="s">
        <v>1887</v>
      </c>
      <c r="B262" s="2" t="s">
        <v>1882</v>
      </c>
      <c r="C262" s="2" t="s">
        <v>1888</v>
      </c>
      <c r="D262" s="2">
        <v>2</v>
      </c>
      <c r="E262" s="2" t="s">
        <v>1889</v>
      </c>
    </row>
    <row r="263" spans="1:5" ht="25.5" x14ac:dyDescent="0.25">
      <c r="A263" s="2" t="s">
        <v>1890</v>
      </c>
      <c r="B263" s="2" t="s">
        <v>1882</v>
      </c>
      <c r="C263" s="2" t="s">
        <v>1891</v>
      </c>
      <c r="D263" s="2">
        <v>1</v>
      </c>
      <c r="E263" s="2"/>
    </row>
    <row r="264" spans="1:5" ht="38.25" x14ac:dyDescent="0.25">
      <c r="A264" s="2" t="s">
        <v>1892</v>
      </c>
      <c r="B264" s="2" t="s">
        <v>1882</v>
      </c>
      <c r="C264" s="2" t="s">
        <v>1893</v>
      </c>
      <c r="D264" s="2">
        <v>1.5</v>
      </c>
      <c r="E264" s="2" t="s">
        <v>1894</v>
      </c>
    </row>
    <row r="265" spans="1:5" ht="25.5" x14ac:dyDescent="0.25">
      <c r="A265" s="2" t="s">
        <v>1895</v>
      </c>
      <c r="B265" s="2" t="s">
        <v>1882</v>
      </c>
      <c r="C265" s="2" t="s">
        <v>1896</v>
      </c>
      <c r="D265" s="2">
        <v>0.75</v>
      </c>
      <c r="E265" s="2"/>
    </row>
    <row r="266" spans="1:5" x14ac:dyDescent="0.25">
      <c r="A266" s="2" t="s">
        <v>1897</v>
      </c>
      <c r="B266" s="2" t="s">
        <v>1882</v>
      </c>
      <c r="C266" s="2" t="s">
        <v>1898</v>
      </c>
      <c r="D266" s="2">
        <v>1.5</v>
      </c>
      <c r="E266" s="2" t="s">
        <v>1899</v>
      </c>
    </row>
    <row r="267" spans="1:5" ht="25.5" x14ac:dyDescent="0.25">
      <c r="A267" s="2" t="s">
        <v>1900</v>
      </c>
      <c r="B267" s="2" t="s">
        <v>1882</v>
      </c>
      <c r="C267" s="2" t="s">
        <v>1901</v>
      </c>
      <c r="D267" s="2">
        <v>0.5</v>
      </c>
      <c r="E267" s="2"/>
    </row>
    <row r="268" spans="1:5" ht="25.5" x14ac:dyDescent="0.25">
      <c r="A268" s="2" t="s">
        <v>1902</v>
      </c>
      <c r="B268" s="2" t="s">
        <v>1882</v>
      </c>
      <c r="C268" s="2" t="s">
        <v>1903</v>
      </c>
      <c r="D268" s="2">
        <v>0.5</v>
      </c>
      <c r="E268" s="2" t="s">
        <v>1904</v>
      </c>
    </row>
    <row r="269" spans="1:5" ht="25.5" x14ac:dyDescent="0.25">
      <c r="A269" s="2" t="s">
        <v>1905</v>
      </c>
      <c r="B269" s="2" t="s">
        <v>1882</v>
      </c>
      <c r="C269" s="2" t="s">
        <v>1906</v>
      </c>
      <c r="D269" s="2">
        <v>0.5</v>
      </c>
      <c r="E269" s="2" t="s">
        <v>1907</v>
      </c>
    </row>
    <row r="270" spans="1:5" ht="25.5" x14ac:dyDescent="0.25">
      <c r="A270" s="2" t="s">
        <v>1908</v>
      </c>
      <c r="B270" s="2" t="s">
        <v>1882</v>
      </c>
      <c r="C270" s="2" t="s">
        <v>1909</v>
      </c>
      <c r="D270" s="2">
        <v>0.5</v>
      </c>
      <c r="E270" s="2" t="s">
        <v>1910</v>
      </c>
    </row>
    <row r="271" spans="1:5" ht="25.5" x14ac:dyDescent="0.25">
      <c r="A271" s="2" t="s">
        <v>1911</v>
      </c>
      <c r="B271" s="2" t="s">
        <v>1882</v>
      </c>
      <c r="C271" s="2" t="s">
        <v>1912</v>
      </c>
      <c r="D271" s="2">
        <v>0.5</v>
      </c>
      <c r="E271" s="2" t="s">
        <v>1913</v>
      </c>
    </row>
    <row r="272" spans="1:5" x14ac:dyDescent="0.25">
      <c r="A272" s="2" t="s">
        <v>1914</v>
      </c>
      <c r="B272" s="2" t="s">
        <v>1915</v>
      </c>
      <c r="C272" s="2" t="s">
        <v>1821</v>
      </c>
      <c r="D272" s="2">
        <v>3</v>
      </c>
      <c r="E272" s="2" t="s">
        <v>1916</v>
      </c>
    </row>
    <row r="273" spans="1:7" x14ac:dyDescent="0.25">
      <c r="A273" s="2" t="s">
        <v>1917</v>
      </c>
      <c r="B273" s="2" t="s">
        <v>1915</v>
      </c>
      <c r="C273" s="2" t="s">
        <v>1918</v>
      </c>
      <c r="D273" s="2">
        <v>2</v>
      </c>
      <c r="E273" s="2" t="s">
        <v>1916</v>
      </c>
    </row>
    <row r="274" spans="1:7" x14ac:dyDescent="0.25">
      <c r="A274" s="2" t="s">
        <v>1919</v>
      </c>
      <c r="B274" s="2" t="s">
        <v>1920</v>
      </c>
      <c r="C274" s="2" t="s">
        <v>1921</v>
      </c>
      <c r="D274" s="2">
        <v>1</v>
      </c>
      <c r="E274" s="2" t="s">
        <v>1916</v>
      </c>
    </row>
    <row r="275" spans="1:7" ht="25.5" x14ac:dyDescent="0.25">
      <c r="A275" s="2" t="s">
        <v>1922</v>
      </c>
      <c r="B275" s="2" t="s">
        <v>1920</v>
      </c>
      <c r="C275" s="2" t="s">
        <v>1923</v>
      </c>
      <c r="D275" s="2">
        <v>0.5</v>
      </c>
      <c r="E275" s="2"/>
    </row>
    <row r="276" spans="1:7" x14ac:dyDescent="0.25">
      <c r="A276" s="2" t="s">
        <v>1924</v>
      </c>
      <c r="B276" s="2" t="s">
        <v>1920</v>
      </c>
      <c r="C276" s="2" t="s">
        <v>1925</v>
      </c>
      <c r="D276" s="2">
        <v>0.5</v>
      </c>
      <c r="E276" s="2"/>
    </row>
    <row r="277" spans="1:7" x14ac:dyDescent="0.25">
      <c r="A277" s="2" t="s">
        <v>1926</v>
      </c>
      <c r="B277" s="2" t="s">
        <v>1920</v>
      </c>
      <c r="C277" s="2" t="s">
        <v>1927</v>
      </c>
      <c r="D277" s="2">
        <v>0.5</v>
      </c>
      <c r="E277" s="2"/>
    </row>
    <row r="278" spans="1:7" x14ac:dyDescent="0.25">
      <c r="A278" s="2" t="s">
        <v>1928</v>
      </c>
      <c r="B278" s="2" t="s">
        <v>1929</v>
      </c>
      <c r="C278" s="2" t="s">
        <v>1930</v>
      </c>
      <c r="D278" s="2">
        <v>25</v>
      </c>
      <c r="E278" s="2"/>
    </row>
    <row r="280" spans="1:7" x14ac:dyDescent="0.25">
      <c r="A280" s="3" t="s">
        <v>1931</v>
      </c>
      <c r="B280" s="3" t="s">
        <v>1932</v>
      </c>
      <c r="C280" s="4"/>
      <c r="D280" s="4"/>
      <c r="E280" s="4"/>
      <c r="F280" s="4"/>
      <c r="G280" s="4"/>
    </row>
    <row r="281" spans="1:7" x14ac:dyDescent="0.25">
      <c r="A281" s="6" t="s">
        <v>871</v>
      </c>
      <c r="B281" s="6" t="s">
        <v>739</v>
      </c>
      <c r="C281" s="6" t="s">
        <v>57</v>
      </c>
    </row>
    <row r="282" spans="1:7" ht="63.75" x14ac:dyDescent="0.25">
      <c r="A282" s="2" t="s">
        <v>1933</v>
      </c>
      <c r="B282" s="2" t="s">
        <v>1934</v>
      </c>
      <c r="C282" s="2" t="s">
        <v>1935</v>
      </c>
    </row>
    <row r="283" spans="1:7" ht="25.5" x14ac:dyDescent="0.25">
      <c r="A283" s="2" t="s">
        <v>1936</v>
      </c>
      <c r="B283" s="2" t="s">
        <v>1937</v>
      </c>
      <c r="C283" s="2" t="s">
        <v>1938</v>
      </c>
    </row>
    <row r="284" spans="1:7" ht="51" x14ac:dyDescent="0.25">
      <c r="A284" s="2" t="s">
        <v>1939</v>
      </c>
      <c r="B284" s="2">
        <v>3.5</v>
      </c>
      <c r="C284" s="2" t="s">
        <v>1940</v>
      </c>
    </row>
    <row r="285" spans="1:7" ht="25.5" x14ac:dyDescent="0.25">
      <c r="A285" s="2" t="s">
        <v>1941</v>
      </c>
      <c r="B285" s="2">
        <v>12</v>
      </c>
      <c r="C285" s="2" t="s">
        <v>1942</v>
      </c>
    </row>
    <row r="287" spans="1:7" x14ac:dyDescent="0.25">
      <c r="A287" s="3" t="s">
        <v>1943</v>
      </c>
      <c r="B287" s="3" t="s">
        <v>1944</v>
      </c>
      <c r="C287" s="4"/>
      <c r="D287" s="4"/>
      <c r="E287" s="4"/>
      <c r="F287" s="4"/>
      <c r="G287" s="4"/>
    </row>
    <row r="288" spans="1:7" x14ac:dyDescent="0.25">
      <c r="A288" s="6" t="s">
        <v>1945</v>
      </c>
      <c r="B288" s="6" t="s">
        <v>1946</v>
      </c>
      <c r="C288" s="6" t="s">
        <v>1947</v>
      </c>
      <c r="D288" s="6" t="s">
        <v>57</v>
      </c>
    </row>
    <row r="289" spans="1:4" x14ac:dyDescent="0.25">
      <c r="A289" s="2" t="s">
        <v>1948</v>
      </c>
      <c r="B289" s="2">
        <v>0</v>
      </c>
      <c r="C289" s="2">
        <v>0</v>
      </c>
      <c r="D289" s="2" t="s">
        <v>1949</v>
      </c>
    </row>
    <row r="290" spans="1:4" ht="25.5" x14ac:dyDescent="0.25">
      <c r="A290" s="2" t="s">
        <v>2014</v>
      </c>
      <c r="B290" s="2">
        <v>-3</v>
      </c>
      <c r="C290" s="2">
        <v>2</v>
      </c>
      <c r="D290" s="2" t="s">
        <v>2089</v>
      </c>
    </row>
    <row r="291" spans="1:4" ht="25.5" x14ac:dyDescent="0.25">
      <c r="A291" s="2" t="s">
        <v>2015</v>
      </c>
      <c r="B291" s="2">
        <v>-1.5</v>
      </c>
      <c r="C291" s="2">
        <v>1</v>
      </c>
      <c r="D291" s="2" t="s">
        <v>1951</v>
      </c>
    </row>
    <row r="292" spans="1:4" ht="38.25" x14ac:dyDescent="0.25">
      <c r="A292" s="2" t="s">
        <v>2016</v>
      </c>
      <c r="B292" s="2">
        <v>0</v>
      </c>
      <c r="C292" s="2">
        <v>0</v>
      </c>
      <c r="D292" s="2" t="s">
        <v>1952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7"/>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1499</v>
      </c>
    </row>
    <row r="2" spans="1:16" x14ac:dyDescent="0.2">
      <c r="A2" s="10" t="s">
        <v>1500</v>
      </c>
    </row>
    <row r="4" spans="1:16" x14ac:dyDescent="0.2">
      <c r="A4" s="11" t="s">
        <v>1501</v>
      </c>
    </row>
    <row r="5" spans="1:16" ht="42" customHeight="1" x14ac:dyDescent="0.2">
      <c r="A5" s="28" t="s">
        <v>34</v>
      </c>
      <c r="B5" s="28" t="s">
        <v>747</v>
      </c>
      <c r="C5" s="28" t="s">
        <v>1502</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1960</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1503</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1096</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184</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1613</v>
      </c>
      <c r="I19" s="15" t="s">
        <v>61</v>
      </c>
      <c r="J19" s="15" t="s">
        <v>178</v>
      </c>
      <c r="K19" s="15"/>
      <c r="L19" s="14" t="s">
        <v>164</v>
      </c>
      <c r="M19" s="15">
        <v>1</v>
      </c>
      <c r="N19" s="15"/>
      <c r="O19" s="15"/>
      <c r="P19" s="15" t="s">
        <v>179</v>
      </c>
    </row>
    <row r="20" spans="1:16" x14ac:dyDescent="0.2">
      <c r="A20" s="15" t="s">
        <v>181</v>
      </c>
      <c r="B20" s="14" t="s">
        <v>188</v>
      </c>
      <c r="C20" s="15" t="s">
        <v>183</v>
      </c>
      <c r="D20" s="15" t="s">
        <v>152</v>
      </c>
      <c r="E20" s="15" t="s">
        <v>182</v>
      </c>
      <c r="F20" s="15" t="s">
        <v>63</v>
      </c>
      <c r="G20" s="15" t="s">
        <v>98</v>
      </c>
      <c r="H20" s="15" t="s">
        <v>169</v>
      </c>
      <c r="I20" s="15" t="s">
        <v>128</v>
      </c>
      <c r="J20" s="15" t="s">
        <v>65</v>
      </c>
      <c r="K20" s="15"/>
      <c r="L20" s="14" t="s">
        <v>184</v>
      </c>
      <c r="M20" s="15">
        <v>1</v>
      </c>
      <c r="N20" s="15"/>
      <c r="O20" s="15"/>
      <c r="P20" s="14" t="s">
        <v>184</v>
      </c>
    </row>
    <row r="21" spans="1:16" x14ac:dyDescent="0.2">
      <c r="A21" s="15" t="s">
        <v>186</v>
      </c>
      <c r="B21" s="14" t="s">
        <v>193</v>
      </c>
      <c r="C21" s="15" t="s">
        <v>187</v>
      </c>
      <c r="D21" s="15" t="s">
        <v>152</v>
      </c>
      <c r="E21" s="15" t="s">
        <v>182</v>
      </c>
      <c r="F21" s="15" t="s">
        <v>63</v>
      </c>
      <c r="G21" s="15" t="s">
        <v>85</v>
      </c>
      <c r="H21" s="15" t="s">
        <v>169</v>
      </c>
      <c r="I21" s="15" t="s">
        <v>128</v>
      </c>
      <c r="J21" s="15" t="s">
        <v>65</v>
      </c>
      <c r="K21" s="15"/>
      <c r="L21" s="14" t="s">
        <v>188</v>
      </c>
      <c r="M21" s="15">
        <v>1</v>
      </c>
      <c r="N21" s="15"/>
      <c r="O21" s="15"/>
      <c r="P21" s="14" t="s">
        <v>188</v>
      </c>
    </row>
    <row r="22" spans="1:16" x14ac:dyDescent="0.2">
      <c r="A22" s="15" t="s">
        <v>190</v>
      </c>
      <c r="B22" s="14" t="s">
        <v>199</v>
      </c>
      <c r="C22" s="15" t="s">
        <v>191</v>
      </c>
      <c r="D22" s="15" t="s">
        <v>152</v>
      </c>
      <c r="E22" s="15" t="s">
        <v>182</v>
      </c>
      <c r="F22" s="15" t="s">
        <v>63</v>
      </c>
      <c r="G22" s="15" t="s">
        <v>85</v>
      </c>
      <c r="H22" s="15" t="s">
        <v>169</v>
      </c>
      <c r="I22" s="15" t="s">
        <v>128</v>
      </c>
      <c r="J22" s="15" t="s">
        <v>65</v>
      </c>
      <c r="K22" s="15"/>
      <c r="L22" s="14" t="s">
        <v>193</v>
      </c>
      <c r="M22" s="15">
        <v>1</v>
      </c>
      <c r="N22" s="15"/>
      <c r="O22" s="15"/>
      <c r="P22" s="14" t="s">
        <v>193</v>
      </c>
    </row>
    <row r="23" spans="1:16" x14ac:dyDescent="0.2">
      <c r="A23" s="15" t="s">
        <v>195</v>
      </c>
      <c r="B23" s="14" t="s">
        <v>204</v>
      </c>
      <c r="C23" s="15" t="s">
        <v>197</v>
      </c>
      <c r="D23" s="15" t="s">
        <v>152</v>
      </c>
      <c r="E23" s="15" t="s">
        <v>196</v>
      </c>
      <c r="F23" s="15" t="s">
        <v>63</v>
      </c>
      <c r="G23" s="15" t="s">
        <v>1994</v>
      </c>
      <c r="H23" s="15" t="s">
        <v>177</v>
      </c>
      <c r="I23" s="15" t="s">
        <v>128</v>
      </c>
      <c r="J23" s="15" t="s">
        <v>65</v>
      </c>
      <c r="K23" s="15"/>
      <c r="L23" s="14" t="s">
        <v>199</v>
      </c>
      <c r="M23" s="15">
        <v>1</v>
      </c>
      <c r="N23" s="15"/>
      <c r="O23" s="15"/>
      <c r="P23" s="14" t="s">
        <v>199</v>
      </c>
    </row>
    <row r="24" spans="1:16" x14ac:dyDescent="0.2">
      <c r="A24" s="15" t="s">
        <v>201</v>
      </c>
      <c r="B24" s="14" t="s">
        <v>1130</v>
      </c>
      <c r="C24" s="15" t="s">
        <v>202</v>
      </c>
      <c r="D24" s="15" t="s">
        <v>152</v>
      </c>
      <c r="E24" s="15" t="s">
        <v>196</v>
      </c>
      <c r="F24" s="15" t="s">
        <v>63</v>
      </c>
      <c r="G24" s="15" t="s">
        <v>1994</v>
      </c>
      <c r="H24" s="15" t="s">
        <v>177</v>
      </c>
      <c r="I24" s="15" t="s">
        <v>128</v>
      </c>
      <c r="J24" s="15" t="s">
        <v>65</v>
      </c>
      <c r="K24" s="15"/>
      <c r="L24" s="14" t="s">
        <v>204</v>
      </c>
      <c r="M24" s="15">
        <v>1</v>
      </c>
      <c r="N24" s="15"/>
      <c r="O24" s="15"/>
      <c r="P24" s="14" t="s">
        <v>204</v>
      </c>
    </row>
    <row r="25" spans="1:16" x14ac:dyDescent="0.2">
      <c r="A25" s="15" t="s">
        <v>206</v>
      </c>
      <c r="B25" s="14" t="s">
        <v>1134</v>
      </c>
      <c r="C25" s="15" t="s">
        <v>207</v>
      </c>
      <c r="D25" s="15" t="s">
        <v>152</v>
      </c>
      <c r="E25" s="15" t="s">
        <v>196</v>
      </c>
      <c r="F25" s="15" t="s">
        <v>63</v>
      </c>
      <c r="G25" s="15" t="s">
        <v>85</v>
      </c>
      <c r="H25" s="15" t="s">
        <v>210</v>
      </c>
      <c r="I25" s="15" t="s">
        <v>61</v>
      </c>
      <c r="J25" s="15" t="s">
        <v>65</v>
      </c>
      <c r="K25" s="15"/>
      <c r="L25" s="14" t="s">
        <v>199</v>
      </c>
      <c r="M25" s="15">
        <v>1</v>
      </c>
      <c r="N25" s="15"/>
      <c r="O25" s="15"/>
      <c r="P25" s="14" t="s">
        <v>211</v>
      </c>
    </row>
    <row r="26" spans="1:16" x14ac:dyDescent="0.2">
      <c r="A26" s="15" t="s">
        <v>213</v>
      </c>
      <c r="B26" s="14" t="s">
        <v>217</v>
      </c>
      <c r="C26" s="15" t="s">
        <v>215</v>
      </c>
      <c r="D26" s="15" t="s">
        <v>214</v>
      </c>
      <c r="E26" s="15" t="s">
        <v>61</v>
      </c>
      <c r="F26" s="15" t="s">
        <v>63</v>
      </c>
      <c r="G26" s="15" t="s">
        <v>1994</v>
      </c>
      <c r="H26" s="15" t="s">
        <v>177</v>
      </c>
      <c r="I26" s="15" t="s">
        <v>128</v>
      </c>
      <c r="J26" s="15" t="s">
        <v>65</v>
      </c>
      <c r="K26" s="15"/>
      <c r="L26" s="14" t="s">
        <v>217</v>
      </c>
      <c r="M26" s="15">
        <v>1</v>
      </c>
      <c r="N26" s="15"/>
      <c r="O26" s="15"/>
      <c r="P26" s="15" t="s">
        <v>218</v>
      </c>
    </row>
    <row r="27" spans="1:16" x14ac:dyDescent="0.2">
      <c r="A27" s="15" t="s">
        <v>220</v>
      </c>
      <c r="B27" s="14" t="s">
        <v>224</v>
      </c>
      <c r="C27" s="15" t="s">
        <v>221</v>
      </c>
      <c r="D27" s="15" t="s">
        <v>214</v>
      </c>
      <c r="E27" s="15" t="s">
        <v>61</v>
      </c>
      <c r="F27" s="15" t="s">
        <v>63</v>
      </c>
      <c r="G27" s="15" t="s">
        <v>1994</v>
      </c>
      <c r="H27" s="15" t="s">
        <v>177</v>
      </c>
      <c r="I27" s="15" t="s">
        <v>128</v>
      </c>
      <c r="J27" s="15" t="s">
        <v>65</v>
      </c>
      <c r="K27" s="15"/>
      <c r="L27" s="14" t="s">
        <v>224</v>
      </c>
      <c r="M27" s="15">
        <v>1</v>
      </c>
      <c r="N27" s="15"/>
      <c r="O27" s="15"/>
      <c r="P27" s="15" t="s">
        <v>225</v>
      </c>
    </row>
    <row r="28" spans="1:16" x14ac:dyDescent="0.2">
      <c r="A28" s="15" t="s">
        <v>230</v>
      </c>
      <c r="B28" s="14" t="s">
        <v>233</v>
      </c>
      <c r="C28" s="15" t="s">
        <v>231</v>
      </c>
      <c r="D28" s="15" t="s">
        <v>214</v>
      </c>
      <c r="E28" s="15" t="s">
        <v>61</v>
      </c>
      <c r="F28" s="15" t="s">
        <v>63</v>
      </c>
      <c r="G28" s="15" t="s">
        <v>1994</v>
      </c>
      <c r="H28" s="15" t="s">
        <v>177</v>
      </c>
      <c r="I28" s="15" t="s">
        <v>128</v>
      </c>
      <c r="J28" s="15" t="s">
        <v>65</v>
      </c>
      <c r="K28" s="15"/>
      <c r="L28" s="14" t="s">
        <v>233</v>
      </c>
      <c r="M28" s="15">
        <v>1</v>
      </c>
      <c r="N28" s="15"/>
      <c r="O28" s="15"/>
      <c r="P28" s="14" t="s">
        <v>233</v>
      </c>
    </row>
    <row r="29" spans="1:16" x14ac:dyDescent="0.2">
      <c r="A29" s="15" t="s">
        <v>235</v>
      </c>
      <c r="B29" s="14" t="s">
        <v>280</v>
      </c>
      <c r="C29" s="15" t="s">
        <v>238</v>
      </c>
      <c r="D29" s="15" t="s">
        <v>236</v>
      </c>
      <c r="E29" s="15" t="s">
        <v>237</v>
      </c>
      <c r="F29" s="15" t="s">
        <v>239</v>
      </c>
      <c r="G29" s="15" t="s">
        <v>241</v>
      </c>
      <c r="H29" s="15" t="s">
        <v>177</v>
      </c>
      <c r="I29" s="15" t="s">
        <v>128</v>
      </c>
      <c r="J29" s="15" t="s">
        <v>242</v>
      </c>
      <c r="K29" s="15"/>
      <c r="L29" s="14" t="s">
        <v>243</v>
      </c>
      <c r="M29" s="15">
        <v>0.8</v>
      </c>
      <c r="N29" s="14" t="s">
        <v>199</v>
      </c>
      <c r="O29" s="15">
        <v>0.2</v>
      </c>
      <c r="P29" s="15" t="s">
        <v>244</v>
      </c>
    </row>
    <row r="30" spans="1:16" x14ac:dyDescent="0.2">
      <c r="A30" s="15" t="s">
        <v>254</v>
      </c>
      <c r="B30" s="14" t="s">
        <v>271</v>
      </c>
      <c r="C30" s="15" t="s">
        <v>255</v>
      </c>
      <c r="D30" s="15" t="s">
        <v>236</v>
      </c>
      <c r="E30" s="15" t="s">
        <v>237</v>
      </c>
      <c r="F30" s="15" t="s">
        <v>63</v>
      </c>
      <c r="G30" s="15" t="s">
        <v>256</v>
      </c>
      <c r="H30" s="15" t="s">
        <v>177</v>
      </c>
      <c r="I30" s="15" t="s">
        <v>128</v>
      </c>
      <c r="J30" s="15" t="s">
        <v>257</v>
      </c>
      <c r="K30" s="15"/>
      <c r="L30" s="14" t="s">
        <v>243</v>
      </c>
      <c r="M30" s="15">
        <v>1</v>
      </c>
      <c r="N30" s="15"/>
      <c r="O30" s="15"/>
      <c r="P30" s="15" t="s">
        <v>258</v>
      </c>
    </row>
    <row r="31" spans="1:16" x14ac:dyDescent="0.2">
      <c r="A31" s="15" t="s">
        <v>262</v>
      </c>
      <c r="B31" s="14" t="s">
        <v>323</v>
      </c>
      <c r="C31" s="15" t="s">
        <v>263</v>
      </c>
      <c r="D31" s="15" t="s">
        <v>236</v>
      </c>
      <c r="E31" s="15" t="s">
        <v>237</v>
      </c>
      <c r="F31" s="15" t="s">
        <v>63</v>
      </c>
      <c r="G31" s="15" t="s">
        <v>106</v>
      </c>
      <c r="H31" s="15" t="s">
        <v>177</v>
      </c>
      <c r="I31" s="15" t="s">
        <v>61</v>
      </c>
      <c r="J31" s="15" t="s">
        <v>242</v>
      </c>
      <c r="K31" s="15"/>
      <c r="L31" s="14" t="s">
        <v>243</v>
      </c>
      <c r="M31" s="15">
        <v>1</v>
      </c>
      <c r="N31" s="15"/>
      <c r="O31" s="15"/>
      <c r="P31" s="14" t="s">
        <v>265</v>
      </c>
    </row>
    <row r="32" spans="1:16" x14ac:dyDescent="0.2">
      <c r="A32" s="15" t="s">
        <v>267</v>
      </c>
      <c r="B32" s="14" t="s">
        <v>285</v>
      </c>
      <c r="C32" s="15" t="s">
        <v>268</v>
      </c>
      <c r="D32" s="15" t="s">
        <v>236</v>
      </c>
      <c r="E32" s="15" t="s">
        <v>237</v>
      </c>
      <c r="F32" s="15" t="s">
        <v>63</v>
      </c>
      <c r="G32" s="15" t="s">
        <v>270</v>
      </c>
      <c r="H32" s="15" t="s">
        <v>177</v>
      </c>
      <c r="I32" s="15" t="s">
        <v>128</v>
      </c>
      <c r="J32" s="15" t="s">
        <v>65</v>
      </c>
      <c r="K32" s="15"/>
      <c r="L32" s="14" t="s">
        <v>271</v>
      </c>
      <c r="M32" s="15">
        <v>1</v>
      </c>
      <c r="N32" s="15"/>
      <c r="O32" s="15"/>
      <c r="P32" s="15" t="s">
        <v>272</v>
      </c>
    </row>
    <row r="33" spans="1:16" x14ac:dyDescent="0.2">
      <c r="A33" s="15" t="s">
        <v>276</v>
      </c>
      <c r="B33" s="14" t="s">
        <v>286</v>
      </c>
      <c r="C33" s="15" t="s">
        <v>278</v>
      </c>
      <c r="D33" s="15" t="s">
        <v>236</v>
      </c>
      <c r="E33" s="15" t="s">
        <v>277</v>
      </c>
      <c r="F33" s="15" t="s">
        <v>63</v>
      </c>
      <c r="G33" s="15" t="s">
        <v>85</v>
      </c>
      <c r="H33" s="15" t="s">
        <v>177</v>
      </c>
      <c r="I33" s="15" t="s">
        <v>61</v>
      </c>
      <c r="J33" s="15" t="s">
        <v>65</v>
      </c>
      <c r="K33" s="15"/>
      <c r="L33" s="14" t="s">
        <v>280</v>
      </c>
      <c r="M33" s="15">
        <v>1</v>
      </c>
      <c r="N33" s="15"/>
      <c r="O33" s="15"/>
      <c r="P33" s="14" t="s">
        <v>280</v>
      </c>
    </row>
    <row r="34" spans="1:16" x14ac:dyDescent="0.2">
      <c r="A34" s="15" t="s">
        <v>282</v>
      </c>
      <c r="B34" s="14" t="s">
        <v>1187</v>
      </c>
      <c r="C34" s="15" t="s">
        <v>283</v>
      </c>
      <c r="D34" s="15" t="s">
        <v>236</v>
      </c>
      <c r="E34" s="15" t="s">
        <v>277</v>
      </c>
      <c r="F34" s="15" t="s">
        <v>63</v>
      </c>
      <c r="G34" s="15" t="s">
        <v>1994</v>
      </c>
      <c r="H34" s="15" t="s">
        <v>177</v>
      </c>
      <c r="I34" s="15" t="s">
        <v>128</v>
      </c>
      <c r="J34" s="15" t="s">
        <v>65</v>
      </c>
      <c r="K34" s="15"/>
      <c r="L34" s="14" t="s">
        <v>285</v>
      </c>
      <c r="M34" s="15">
        <v>1</v>
      </c>
      <c r="N34" s="15"/>
      <c r="O34" s="15"/>
      <c r="P34" s="14" t="s">
        <v>286</v>
      </c>
    </row>
    <row r="35" spans="1:16" x14ac:dyDescent="0.2">
      <c r="A35" s="15" t="s">
        <v>288</v>
      </c>
      <c r="B35" s="14" t="s">
        <v>1191</v>
      </c>
      <c r="C35" s="15" t="s">
        <v>289</v>
      </c>
      <c r="D35" s="15" t="s">
        <v>236</v>
      </c>
      <c r="E35" s="15" t="s">
        <v>277</v>
      </c>
      <c r="F35" s="15" t="s">
        <v>63</v>
      </c>
      <c r="G35" s="15" t="s">
        <v>85</v>
      </c>
      <c r="H35" s="15" t="s">
        <v>177</v>
      </c>
      <c r="I35" s="15" t="s">
        <v>61</v>
      </c>
      <c r="J35" s="15" t="s">
        <v>291</v>
      </c>
      <c r="K35" s="15"/>
      <c r="L35" s="14" t="s">
        <v>292</v>
      </c>
      <c r="M35" s="15">
        <v>1</v>
      </c>
      <c r="N35" s="15"/>
      <c r="O35" s="15"/>
      <c r="P35" s="14" t="s">
        <v>293</v>
      </c>
    </row>
    <row r="36" spans="1:16" x14ac:dyDescent="0.2">
      <c r="A36" s="15" t="s">
        <v>295</v>
      </c>
      <c r="B36" s="14" t="s">
        <v>1504</v>
      </c>
      <c r="C36" s="15" t="s">
        <v>296</v>
      </c>
      <c r="D36" s="15" t="s">
        <v>236</v>
      </c>
      <c r="E36" s="15" t="s">
        <v>277</v>
      </c>
      <c r="F36" s="15" t="s">
        <v>63</v>
      </c>
      <c r="G36" s="15" t="s">
        <v>85</v>
      </c>
      <c r="H36" s="15" t="s">
        <v>177</v>
      </c>
      <c r="I36" s="15" t="s">
        <v>61</v>
      </c>
      <c r="J36" s="15" t="s">
        <v>65</v>
      </c>
      <c r="K36" s="15"/>
      <c r="L36" s="14" t="s">
        <v>280</v>
      </c>
      <c r="M36" s="15">
        <v>1</v>
      </c>
      <c r="N36" s="15"/>
      <c r="O36" s="15"/>
      <c r="P36" s="15" t="s">
        <v>297</v>
      </c>
    </row>
    <row r="37" spans="1:16" x14ac:dyDescent="0.2">
      <c r="A37" s="15" t="s">
        <v>307</v>
      </c>
      <c r="B37" s="14" t="s">
        <v>1204</v>
      </c>
      <c r="C37" s="15" t="s">
        <v>309</v>
      </c>
      <c r="D37" s="15" t="s">
        <v>236</v>
      </c>
      <c r="E37" s="15" t="s">
        <v>308</v>
      </c>
      <c r="F37" s="15" t="s">
        <v>63</v>
      </c>
      <c r="G37" s="15" t="s">
        <v>310</v>
      </c>
      <c r="H37" s="15" t="s">
        <v>177</v>
      </c>
      <c r="I37" s="15" t="s">
        <v>61</v>
      </c>
      <c r="J37" s="15" t="s">
        <v>312</v>
      </c>
      <c r="K37" s="15"/>
      <c r="L37" s="14" t="s">
        <v>314</v>
      </c>
      <c r="M37" s="15">
        <v>1</v>
      </c>
      <c r="N37" s="15"/>
      <c r="O37" s="15"/>
      <c r="P37" s="15" t="s">
        <v>315</v>
      </c>
    </row>
    <row r="38" spans="1:16" x14ac:dyDescent="0.2">
      <c r="A38" s="15" t="s">
        <v>317</v>
      </c>
      <c r="B38" s="14" t="s">
        <v>1208</v>
      </c>
      <c r="C38" s="15" t="s">
        <v>318</v>
      </c>
      <c r="D38" s="15" t="s">
        <v>236</v>
      </c>
      <c r="E38" s="15" t="s">
        <v>308</v>
      </c>
      <c r="F38" s="15" t="s">
        <v>63</v>
      </c>
      <c r="G38" s="15" t="s">
        <v>320</v>
      </c>
      <c r="H38" s="15" t="s">
        <v>177</v>
      </c>
      <c r="I38" s="15" t="s">
        <v>61</v>
      </c>
      <c r="J38" s="15" t="s">
        <v>321</v>
      </c>
      <c r="K38" s="15"/>
      <c r="L38" s="14" t="s">
        <v>323</v>
      </c>
      <c r="M38" s="15">
        <v>1</v>
      </c>
      <c r="N38" s="15"/>
      <c r="O38" s="15"/>
      <c r="P38" s="15" t="s">
        <v>324</v>
      </c>
    </row>
    <row r="39" spans="1:16" x14ac:dyDescent="0.2">
      <c r="A39" s="15" t="s">
        <v>326</v>
      </c>
      <c r="B39" s="14" t="s">
        <v>1211</v>
      </c>
      <c r="C39" s="15" t="s">
        <v>327</v>
      </c>
      <c r="D39" s="15" t="s">
        <v>236</v>
      </c>
      <c r="E39" s="15" t="s">
        <v>308</v>
      </c>
      <c r="F39" s="15" t="s">
        <v>63</v>
      </c>
      <c r="G39" s="15" t="s">
        <v>329</v>
      </c>
      <c r="H39" s="15" t="s">
        <v>177</v>
      </c>
      <c r="I39" s="15" t="s">
        <v>61</v>
      </c>
      <c r="J39" s="15" t="s">
        <v>246</v>
      </c>
      <c r="K39" s="15"/>
      <c r="L39" s="14" t="s">
        <v>323</v>
      </c>
      <c r="M39" s="15">
        <v>1</v>
      </c>
      <c r="N39" s="15"/>
      <c r="O39" s="15"/>
      <c r="P39" s="15" t="s">
        <v>331</v>
      </c>
    </row>
    <row r="40" spans="1:16" x14ac:dyDescent="0.2">
      <c r="A40" s="15" t="s">
        <v>333</v>
      </c>
      <c r="B40" s="14" t="s">
        <v>1214</v>
      </c>
      <c r="C40" s="15" t="s">
        <v>334</v>
      </c>
      <c r="D40" s="15" t="s">
        <v>236</v>
      </c>
      <c r="E40" s="15" t="s">
        <v>308</v>
      </c>
      <c r="F40" s="15" t="s">
        <v>63</v>
      </c>
      <c r="G40" s="15" t="s">
        <v>336</v>
      </c>
      <c r="H40" s="15" t="s">
        <v>177</v>
      </c>
      <c r="I40" s="15" t="s">
        <v>61</v>
      </c>
      <c r="J40" s="15" t="s">
        <v>338</v>
      </c>
      <c r="K40" s="15"/>
      <c r="L40" s="14" t="s">
        <v>323</v>
      </c>
      <c r="M40" s="15">
        <v>1</v>
      </c>
      <c r="N40" s="15"/>
      <c r="O40" s="15"/>
      <c r="P40" s="15" t="s">
        <v>339</v>
      </c>
    </row>
    <row r="41" spans="1:16" x14ac:dyDescent="0.2">
      <c r="A41" s="15" t="s">
        <v>341</v>
      </c>
      <c r="B41" s="14" t="s">
        <v>1217</v>
      </c>
      <c r="C41" s="15" t="s">
        <v>342</v>
      </c>
      <c r="D41" s="15" t="s">
        <v>236</v>
      </c>
      <c r="E41" s="15" t="s">
        <v>308</v>
      </c>
      <c r="F41" s="15" t="s">
        <v>63</v>
      </c>
      <c r="G41" s="15" t="s">
        <v>343</v>
      </c>
      <c r="H41" s="15" t="s">
        <v>177</v>
      </c>
      <c r="I41" s="15" t="s">
        <v>61</v>
      </c>
      <c r="J41" s="15" t="s">
        <v>345</v>
      </c>
      <c r="K41" s="15"/>
      <c r="L41" s="14" t="s">
        <v>323</v>
      </c>
      <c r="M41" s="15">
        <v>1</v>
      </c>
      <c r="N41" s="15"/>
      <c r="O41" s="15"/>
      <c r="P41" s="15" t="s">
        <v>346</v>
      </c>
    </row>
    <row r="42" spans="1:16" x14ac:dyDescent="0.2">
      <c r="A42" s="15" t="s">
        <v>348</v>
      </c>
      <c r="B42" s="14" t="s">
        <v>1221</v>
      </c>
      <c r="C42" s="15" t="s">
        <v>349</v>
      </c>
      <c r="D42" s="15" t="s">
        <v>236</v>
      </c>
      <c r="E42" s="15" t="s">
        <v>308</v>
      </c>
      <c r="F42" s="15" t="s">
        <v>63</v>
      </c>
      <c r="G42" s="15" t="s">
        <v>106</v>
      </c>
      <c r="H42" s="15" t="s">
        <v>177</v>
      </c>
      <c r="I42" s="15" t="s">
        <v>61</v>
      </c>
      <c r="J42" s="15" t="s">
        <v>352</v>
      </c>
      <c r="K42" s="15"/>
      <c r="L42" s="14" t="s">
        <v>323</v>
      </c>
      <c r="M42" s="15">
        <v>1</v>
      </c>
      <c r="N42" s="15"/>
      <c r="O42" s="15"/>
      <c r="P42" s="15" t="s">
        <v>353</v>
      </c>
    </row>
    <row r="43" spans="1:16" x14ac:dyDescent="0.2">
      <c r="A43" s="15" t="s">
        <v>355</v>
      </c>
      <c r="B43" s="14" t="s">
        <v>1224</v>
      </c>
      <c r="C43" s="15" t="s">
        <v>356</v>
      </c>
      <c r="D43" s="15" t="s">
        <v>236</v>
      </c>
      <c r="E43" s="15" t="s">
        <v>308</v>
      </c>
      <c r="F43" s="15" t="s">
        <v>63</v>
      </c>
      <c r="G43" s="15" t="s">
        <v>106</v>
      </c>
      <c r="H43" s="15" t="s">
        <v>177</v>
      </c>
      <c r="I43" s="15" t="s">
        <v>61</v>
      </c>
      <c r="J43" s="15" t="s">
        <v>321</v>
      </c>
      <c r="K43" s="15"/>
      <c r="L43" s="14" t="s">
        <v>359</v>
      </c>
      <c r="M43" s="15">
        <v>1</v>
      </c>
      <c r="N43" s="15"/>
      <c r="O43" s="15"/>
      <c r="P43" s="15" t="s">
        <v>360</v>
      </c>
    </row>
    <row r="44" spans="1:16" x14ac:dyDescent="0.2">
      <c r="A44" s="15" t="s">
        <v>362</v>
      </c>
      <c r="B44" s="14" t="s">
        <v>243</v>
      </c>
      <c r="C44" s="15" t="s">
        <v>365</v>
      </c>
      <c r="D44" s="15" t="s">
        <v>363</v>
      </c>
      <c r="E44" s="15" t="s">
        <v>364</v>
      </c>
      <c r="F44" s="15" t="s">
        <v>63</v>
      </c>
      <c r="G44" s="15" t="s">
        <v>1995</v>
      </c>
      <c r="H44" s="15" t="s">
        <v>177</v>
      </c>
      <c r="I44" s="15" t="s">
        <v>128</v>
      </c>
      <c r="J44" s="15" t="s">
        <v>65</v>
      </c>
      <c r="K44" s="15"/>
      <c r="L44" s="14" t="s">
        <v>367</v>
      </c>
      <c r="M44" s="15">
        <v>0.4</v>
      </c>
      <c r="N44" s="14" t="s">
        <v>368</v>
      </c>
      <c r="O44" s="15">
        <v>0.6</v>
      </c>
      <c r="P44" s="15" t="s">
        <v>369</v>
      </c>
    </row>
    <row r="45" spans="1:16" x14ac:dyDescent="0.2">
      <c r="A45" s="15" t="s">
        <v>410</v>
      </c>
      <c r="B45" s="14" t="s">
        <v>314</v>
      </c>
      <c r="C45" s="15" t="s">
        <v>411</v>
      </c>
      <c r="D45" s="15" t="s">
        <v>363</v>
      </c>
      <c r="E45" s="15" t="s">
        <v>364</v>
      </c>
      <c r="F45" s="15" t="s">
        <v>63</v>
      </c>
      <c r="G45" s="15" t="s">
        <v>1995</v>
      </c>
      <c r="H45" s="15" t="s">
        <v>177</v>
      </c>
      <c r="I45" s="15" t="s">
        <v>128</v>
      </c>
      <c r="J45" s="15" t="s">
        <v>65</v>
      </c>
      <c r="K45" s="15"/>
      <c r="L45" s="14" t="s">
        <v>413</v>
      </c>
      <c r="M45" s="15">
        <v>0.5</v>
      </c>
      <c r="N45" s="14" t="s">
        <v>414</v>
      </c>
      <c r="O45" s="15">
        <v>0.5</v>
      </c>
      <c r="P45" s="14" t="s">
        <v>243</v>
      </c>
    </row>
    <row r="46" spans="1:16" x14ac:dyDescent="0.2">
      <c r="A46" s="15" t="s">
        <v>419</v>
      </c>
      <c r="B46" s="14" t="s">
        <v>413</v>
      </c>
      <c r="C46" s="15" t="s">
        <v>420</v>
      </c>
      <c r="D46" s="15" t="s">
        <v>363</v>
      </c>
      <c r="E46" s="15" t="s">
        <v>364</v>
      </c>
      <c r="F46" s="15" t="s">
        <v>63</v>
      </c>
      <c r="G46" s="15" t="s">
        <v>1995</v>
      </c>
      <c r="H46" s="15" t="s">
        <v>177</v>
      </c>
      <c r="I46" s="15" t="s">
        <v>128</v>
      </c>
      <c r="J46" s="15" t="s">
        <v>65</v>
      </c>
      <c r="K46" s="15"/>
      <c r="L46" s="14" t="s">
        <v>422</v>
      </c>
      <c r="M46" s="15">
        <v>1</v>
      </c>
      <c r="N46" s="15"/>
      <c r="O46" s="15"/>
      <c r="P46" s="14" t="s">
        <v>413</v>
      </c>
    </row>
    <row r="47" spans="1:16" x14ac:dyDescent="0.2">
      <c r="A47" s="15" t="s">
        <v>424</v>
      </c>
      <c r="B47" s="14" t="s">
        <v>414</v>
      </c>
      <c r="C47" s="15" t="s">
        <v>425</v>
      </c>
      <c r="D47" s="15" t="s">
        <v>363</v>
      </c>
      <c r="E47" s="15" t="s">
        <v>364</v>
      </c>
      <c r="F47" s="15" t="s">
        <v>63</v>
      </c>
      <c r="G47" s="15" t="s">
        <v>85</v>
      </c>
      <c r="H47" s="15" t="s">
        <v>177</v>
      </c>
      <c r="I47" s="15" t="s">
        <v>61</v>
      </c>
      <c r="J47" s="15" t="s">
        <v>65</v>
      </c>
      <c r="K47" s="15"/>
      <c r="L47" s="14" t="s">
        <v>368</v>
      </c>
      <c r="M47" s="15">
        <v>1</v>
      </c>
      <c r="N47" s="15"/>
      <c r="O47" s="15"/>
      <c r="P47" s="14" t="s">
        <v>414</v>
      </c>
    </row>
    <row r="48" spans="1:16" x14ac:dyDescent="0.2">
      <c r="A48" s="15" t="s">
        <v>428</v>
      </c>
      <c r="B48" s="14" t="s">
        <v>367</v>
      </c>
      <c r="C48" s="15" t="s">
        <v>429</v>
      </c>
      <c r="D48" s="15" t="s">
        <v>363</v>
      </c>
      <c r="E48" s="15" t="s">
        <v>364</v>
      </c>
      <c r="F48" s="15" t="s">
        <v>63</v>
      </c>
      <c r="G48" s="15" t="s">
        <v>85</v>
      </c>
      <c r="H48" s="15" t="s">
        <v>177</v>
      </c>
      <c r="I48" s="15" t="s">
        <v>61</v>
      </c>
      <c r="J48" s="15" t="s">
        <v>65</v>
      </c>
      <c r="K48" s="15"/>
      <c r="L48" s="14" t="s">
        <v>292</v>
      </c>
      <c r="M48" s="15">
        <v>1</v>
      </c>
      <c r="N48" s="15"/>
      <c r="O48" s="15"/>
      <c r="P48" s="14" t="s">
        <v>431</v>
      </c>
    </row>
    <row r="49" spans="1:16" x14ac:dyDescent="0.2">
      <c r="A49" s="15" t="s">
        <v>433</v>
      </c>
      <c r="B49" s="14" t="s">
        <v>368</v>
      </c>
      <c r="C49" s="15" t="s">
        <v>435</v>
      </c>
      <c r="D49" s="15" t="s">
        <v>363</v>
      </c>
      <c r="E49" s="15" t="s">
        <v>434</v>
      </c>
      <c r="F49" s="15" t="s">
        <v>63</v>
      </c>
      <c r="G49" s="14" t="s">
        <v>19</v>
      </c>
      <c r="H49" s="15" t="s">
        <v>437</v>
      </c>
      <c r="I49" s="15" t="s">
        <v>61</v>
      </c>
      <c r="J49" s="15" t="s">
        <v>65</v>
      </c>
      <c r="K49" s="15"/>
      <c r="L49" s="14" t="s">
        <v>438</v>
      </c>
      <c r="M49" s="15">
        <v>1</v>
      </c>
      <c r="N49" s="15"/>
      <c r="O49" s="15"/>
      <c r="P49" s="14" t="s">
        <v>359</v>
      </c>
    </row>
    <row r="50" spans="1:16" x14ac:dyDescent="0.2">
      <c r="A50" s="15" t="s">
        <v>444</v>
      </c>
      <c r="B50" s="14" t="s">
        <v>422</v>
      </c>
      <c r="C50" s="15" t="s">
        <v>445</v>
      </c>
      <c r="D50" s="15" t="s">
        <v>363</v>
      </c>
      <c r="E50" s="15" t="s">
        <v>434</v>
      </c>
      <c r="F50" s="15" t="s">
        <v>63</v>
      </c>
      <c r="G50" s="15" t="s">
        <v>1995</v>
      </c>
      <c r="H50" s="15" t="s">
        <v>177</v>
      </c>
      <c r="I50" s="15" t="s">
        <v>128</v>
      </c>
      <c r="J50" s="15" t="s">
        <v>65</v>
      </c>
      <c r="K50" s="15"/>
      <c r="L50" s="14" t="s">
        <v>447</v>
      </c>
      <c r="M50" s="15">
        <v>1</v>
      </c>
      <c r="N50" s="15"/>
      <c r="O50" s="15"/>
      <c r="P50" s="15" t="s">
        <v>448</v>
      </c>
    </row>
    <row r="51" spans="1:16" x14ac:dyDescent="0.2">
      <c r="A51" s="15" t="s">
        <v>455</v>
      </c>
      <c r="B51" s="14" t="s">
        <v>447</v>
      </c>
      <c r="C51" s="15" t="s">
        <v>456</v>
      </c>
      <c r="D51" s="15" t="s">
        <v>363</v>
      </c>
      <c r="E51" s="15" t="s">
        <v>434</v>
      </c>
      <c r="F51" s="15" t="s">
        <v>63</v>
      </c>
      <c r="G51" s="15" t="s">
        <v>85</v>
      </c>
      <c r="H51" s="15" t="s">
        <v>177</v>
      </c>
      <c r="I51" s="15" t="s">
        <v>128</v>
      </c>
      <c r="J51" s="15" t="s">
        <v>65</v>
      </c>
      <c r="K51" s="15"/>
      <c r="L51" s="14" t="s">
        <v>447</v>
      </c>
      <c r="M51" s="15">
        <v>1</v>
      </c>
      <c r="N51" s="15"/>
      <c r="O51" s="15"/>
      <c r="P51" s="15" t="s">
        <v>458</v>
      </c>
    </row>
    <row r="52" spans="1:16" x14ac:dyDescent="0.2">
      <c r="A52" s="15" t="s">
        <v>463</v>
      </c>
      <c r="B52" s="14" t="s">
        <v>1331</v>
      </c>
      <c r="C52" s="15" t="s">
        <v>464</v>
      </c>
      <c r="D52" s="15" t="s">
        <v>363</v>
      </c>
      <c r="E52" s="15" t="s">
        <v>434</v>
      </c>
      <c r="F52" s="15" t="s">
        <v>63</v>
      </c>
      <c r="G52" s="15" t="s">
        <v>85</v>
      </c>
      <c r="H52" s="15" t="s">
        <v>177</v>
      </c>
      <c r="I52" s="15" t="s">
        <v>128</v>
      </c>
      <c r="J52" s="15" t="s">
        <v>65</v>
      </c>
      <c r="K52" s="15"/>
      <c r="L52" s="14" t="s">
        <v>447</v>
      </c>
      <c r="M52" s="15">
        <v>1</v>
      </c>
      <c r="N52" s="15"/>
      <c r="O52" s="15"/>
      <c r="P52" s="15" t="s">
        <v>466</v>
      </c>
    </row>
    <row r="53" spans="1:16" x14ac:dyDescent="0.2">
      <c r="A53" s="15" t="s">
        <v>468</v>
      </c>
      <c r="B53" s="14" t="s">
        <v>528</v>
      </c>
      <c r="C53" s="15" t="s">
        <v>469</v>
      </c>
      <c r="D53" s="15" t="s">
        <v>363</v>
      </c>
      <c r="E53" s="15" t="s">
        <v>434</v>
      </c>
      <c r="F53" s="15" t="s">
        <v>239</v>
      </c>
      <c r="G53" s="14" t="s">
        <v>19</v>
      </c>
      <c r="H53" s="15" t="s">
        <v>177</v>
      </c>
      <c r="I53" s="15" t="s">
        <v>61</v>
      </c>
      <c r="J53" s="15" t="s">
        <v>242</v>
      </c>
      <c r="K53" s="15" t="s">
        <v>472</v>
      </c>
      <c r="L53" s="14" t="s">
        <v>447</v>
      </c>
      <c r="M53" s="15">
        <v>1</v>
      </c>
      <c r="N53" s="15"/>
      <c r="O53" s="15"/>
      <c r="P53" s="15" t="s">
        <v>473</v>
      </c>
    </row>
    <row r="54" spans="1:16" x14ac:dyDescent="0.2">
      <c r="A54" s="15" t="s">
        <v>490</v>
      </c>
      <c r="B54" s="14" t="s">
        <v>500</v>
      </c>
      <c r="C54" s="15" t="s">
        <v>492</v>
      </c>
      <c r="D54" s="15" t="s">
        <v>363</v>
      </c>
      <c r="E54" s="15" t="s">
        <v>491</v>
      </c>
      <c r="F54" s="15" t="s">
        <v>63</v>
      </c>
      <c r="G54" s="15" t="s">
        <v>85</v>
      </c>
      <c r="H54" s="15" t="s">
        <v>177</v>
      </c>
      <c r="I54" s="15" t="s">
        <v>128</v>
      </c>
      <c r="J54" s="15" t="s">
        <v>65</v>
      </c>
      <c r="K54" s="15"/>
      <c r="L54" s="14" t="s">
        <v>292</v>
      </c>
      <c r="M54" s="15">
        <v>1</v>
      </c>
      <c r="N54" s="15"/>
      <c r="O54" s="15"/>
      <c r="P54" s="15" t="s">
        <v>494</v>
      </c>
    </row>
    <row r="55" spans="1:16" x14ac:dyDescent="0.2">
      <c r="A55" s="15" t="s">
        <v>496</v>
      </c>
      <c r="B55" s="14" t="s">
        <v>292</v>
      </c>
      <c r="C55" s="15" t="s">
        <v>497</v>
      </c>
      <c r="D55" s="15" t="s">
        <v>363</v>
      </c>
      <c r="E55" s="15" t="s">
        <v>491</v>
      </c>
      <c r="F55" s="15" t="s">
        <v>63</v>
      </c>
      <c r="G55" s="15" t="s">
        <v>85</v>
      </c>
      <c r="H55" s="15" t="s">
        <v>177</v>
      </c>
      <c r="I55" s="15" t="s">
        <v>61</v>
      </c>
      <c r="J55" s="15" t="s">
        <v>65</v>
      </c>
      <c r="K55" s="15" t="s">
        <v>499</v>
      </c>
      <c r="L55" s="14" t="s">
        <v>500</v>
      </c>
      <c r="M55" s="15">
        <v>1</v>
      </c>
      <c r="N55" s="15"/>
      <c r="O55" s="15"/>
      <c r="P55" s="14" t="s">
        <v>368</v>
      </c>
    </row>
    <row r="56" spans="1:16" x14ac:dyDescent="0.2">
      <c r="A56" s="15" t="s">
        <v>502</v>
      </c>
      <c r="B56" s="14" t="s">
        <v>359</v>
      </c>
      <c r="C56" s="15" t="s">
        <v>503</v>
      </c>
      <c r="D56" s="15" t="s">
        <v>363</v>
      </c>
      <c r="E56" s="15" t="s">
        <v>491</v>
      </c>
      <c r="F56" s="15" t="s">
        <v>63</v>
      </c>
      <c r="G56" s="15" t="s">
        <v>505</v>
      </c>
      <c r="H56" s="15" t="s">
        <v>169</v>
      </c>
      <c r="I56" s="15" t="s">
        <v>61</v>
      </c>
      <c r="J56" s="15" t="s">
        <v>507</v>
      </c>
      <c r="K56" s="15" t="s">
        <v>508</v>
      </c>
      <c r="L56" s="14" t="s">
        <v>422</v>
      </c>
      <c r="M56" s="15">
        <v>1</v>
      </c>
      <c r="N56" s="15"/>
      <c r="O56" s="15"/>
      <c r="P56" s="14" t="s">
        <v>509</v>
      </c>
    </row>
    <row r="57" spans="1:16" x14ac:dyDescent="0.2">
      <c r="A57" s="15" t="s">
        <v>511</v>
      </c>
      <c r="B57" s="14" t="s">
        <v>431</v>
      </c>
      <c r="C57" s="15" t="s">
        <v>513</v>
      </c>
      <c r="D57" s="15" t="s">
        <v>363</v>
      </c>
      <c r="E57" s="15" t="s">
        <v>512</v>
      </c>
      <c r="F57" s="15" t="s">
        <v>63</v>
      </c>
      <c r="G57" s="15" t="s">
        <v>1994</v>
      </c>
      <c r="H57" s="15" t="s">
        <v>177</v>
      </c>
      <c r="I57" s="15" t="s">
        <v>515</v>
      </c>
      <c r="J57" s="15" t="s">
        <v>65</v>
      </c>
      <c r="K57" s="15"/>
      <c r="L57" s="14" t="s">
        <v>292</v>
      </c>
      <c r="M57" s="15">
        <v>1</v>
      </c>
      <c r="N57" s="15"/>
      <c r="O57" s="15"/>
      <c r="P57" s="14" t="s">
        <v>516</v>
      </c>
    </row>
    <row r="58" spans="1:16" x14ac:dyDescent="0.2">
      <c r="A58" s="15" t="s">
        <v>518</v>
      </c>
      <c r="B58" s="14" t="s">
        <v>556</v>
      </c>
      <c r="C58" s="15" t="s">
        <v>519</v>
      </c>
      <c r="D58" s="15" t="s">
        <v>363</v>
      </c>
      <c r="E58" s="15" t="s">
        <v>512</v>
      </c>
      <c r="F58" s="15" t="s">
        <v>63</v>
      </c>
      <c r="G58" s="15" t="s">
        <v>85</v>
      </c>
      <c r="H58" s="15" t="s">
        <v>177</v>
      </c>
      <c r="I58" s="15" t="s">
        <v>61</v>
      </c>
      <c r="J58" s="15" t="s">
        <v>65</v>
      </c>
      <c r="K58" s="15"/>
      <c r="L58" s="14" t="s">
        <v>292</v>
      </c>
      <c r="M58" s="15">
        <v>1</v>
      </c>
      <c r="N58" s="15"/>
      <c r="O58" s="15"/>
      <c r="P58" s="14" t="s">
        <v>521</v>
      </c>
    </row>
    <row r="59" spans="1:16" x14ac:dyDescent="0.2">
      <c r="A59" s="15" t="s">
        <v>523</v>
      </c>
      <c r="B59" s="14" t="s">
        <v>516</v>
      </c>
      <c r="C59" s="15" t="s">
        <v>524</v>
      </c>
      <c r="D59" s="15" t="s">
        <v>363</v>
      </c>
      <c r="E59" s="15" t="s">
        <v>524</v>
      </c>
      <c r="F59" s="15" t="s">
        <v>239</v>
      </c>
      <c r="G59" s="15" t="s">
        <v>526</v>
      </c>
      <c r="H59" s="15" t="s">
        <v>177</v>
      </c>
      <c r="I59" s="15" t="s">
        <v>515</v>
      </c>
      <c r="J59" s="15" t="s">
        <v>65</v>
      </c>
      <c r="K59" s="15" t="s">
        <v>163</v>
      </c>
      <c r="L59" s="14" t="s">
        <v>528</v>
      </c>
      <c r="M59" s="15">
        <v>1</v>
      </c>
      <c r="N59" s="15"/>
      <c r="O59" s="15"/>
      <c r="P59" s="14" t="s">
        <v>529</v>
      </c>
    </row>
    <row r="60" spans="1:16" x14ac:dyDescent="0.2">
      <c r="A60" s="15" t="s">
        <v>537</v>
      </c>
      <c r="B60" s="14" t="s">
        <v>1380</v>
      </c>
      <c r="C60" s="15" t="s">
        <v>539</v>
      </c>
      <c r="D60" s="15" t="s">
        <v>363</v>
      </c>
      <c r="E60" s="15" t="s">
        <v>538</v>
      </c>
      <c r="F60" s="15" t="s">
        <v>63</v>
      </c>
      <c r="G60" s="15" t="s">
        <v>542</v>
      </c>
      <c r="H60" s="15" t="s">
        <v>437</v>
      </c>
      <c r="I60" s="15" t="s">
        <v>61</v>
      </c>
      <c r="J60" s="15" t="s">
        <v>65</v>
      </c>
      <c r="K60" s="15"/>
      <c r="L60" s="14" t="s">
        <v>447</v>
      </c>
      <c r="M60" s="15">
        <v>1</v>
      </c>
      <c r="N60" s="15"/>
      <c r="O60" s="15"/>
      <c r="P60" s="14" t="s">
        <v>500</v>
      </c>
    </row>
    <row r="61" spans="1:16" x14ac:dyDescent="0.2">
      <c r="A61" s="15" t="s">
        <v>545</v>
      </c>
      <c r="B61" s="14" t="s">
        <v>521</v>
      </c>
      <c r="C61" s="15" t="s">
        <v>546</v>
      </c>
      <c r="D61" s="15" t="s">
        <v>363</v>
      </c>
      <c r="E61" s="15" t="s">
        <v>538</v>
      </c>
      <c r="F61" s="15" t="s">
        <v>63</v>
      </c>
      <c r="G61" s="15" t="s">
        <v>106</v>
      </c>
      <c r="H61" s="15" t="s">
        <v>437</v>
      </c>
      <c r="I61" s="15" t="s">
        <v>61</v>
      </c>
      <c r="J61" s="15" t="s">
        <v>65</v>
      </c>
      <c r="K61" s="15"/>
      <c r="L61" s="14" t="s">
        <v>447</v>
      </c>
      <c r="M61" s="15">
        <v>1</v>
      </c>
      <c r="N61" s="15"/>
      <c r="O61" s="15"/>
      <c r="P61" s="14" t="s">
        <v>292</v>
      </c>
    </row>
    <row r="62" spans="1:16" x14ac:dyDescent="0.2">
      <c r="A62" s="15" t="s">
        <v>550</v>
      </c>
      <c r="B62" s="14" t="s">
        <v>529</v>
      </c>
      <c r="C62" s="15" t="s">
        <v>551</v>
      </c>
      <c r="D62" s="15" t="s">
        <v>363</v>
      </c>
      <c r="E62" s="15" t="s">
        <v>538</v>
      </c>
      <c r="F62" s="15" t="s">
        <v>63</v>
      </c>
      <c r="G62" s="15" t="s">
        <v>553</v>
      </c>
      <c r="H62" s="15" t="s">
        <v>437</v>
      </c>
      <c r="I62" s="15" t="s">
        <v>61</v>
      </c>
      <c r="J62" s="15" t="s">
        <v>65</v>
      </c>
      <c r="K62" s="15"/>
      <c r="L62" s="14" t="s">
        <v>447</v>
      </c>
      <c r="M62" s="15">
        <v>1</v>
      </c>
      <c r="N62" s="15"/>
      <c r="O62" s="15"/>
      <c r="P62" s="14" t="s">
        <v>556</v>
      </c>
    </row>
    <row r="63" spans="1:16" x14ac:dyDescent="0.2">
      <c r="A63" s="15" t="s">
        <v>558</v>
      </c>
      <c r="B63" s="14" t="s">
        <v>733</v>
      </c>
      <c r="C63" s="15" t="s">
        <v>560</v>
      </c>
      <c r="D63" s="15" t="s">
        <v>363</v>
      </c>
      <c r="E63" s="15" t="s">
        <v>559</v>
      </c>
      <c r="F63" s="15" t="s">
        <v>63</v>
      </c>
      <c r="G63" s="14" t="s">
        <v>19</v>
      </c>
      <c r="H63" s="15" t="s">
        <v>177</v>
      </c>
      <c r="I63" s="15" t="s">
        <v>61</v>
      </c>
      <c r="J63" s="15" t="s">
        <v>562</v>
      </c>
      <c r="K63" s="15"/>
      <c r="L63" s="14" t="s">
        <v>359</v>
      </c>
      <c r="M63" s="15">
        <v>1</v>
      </c>
      <c r="N63" s="15"/>
      <c r="O63" s="15"/>
      <c r="P63" s="14" t="s">
        <v>563</v>
      </c>
    </row>
    <row r="64" spans="1:16" x14ac:dyDescent="0.2">
      <c r="A64" s="15" t="s">
        <v>569</v>
      </c>
      <c r="B64" s="14" t="s">
        <v>563</v>
      </c>
      <c r="C64" s="15" t="s">
        <v>570</v>
      </c>
      <c r="D64" s="15" t="s">
        <v>363</v>
      </c>
      <c r="E64" s="15" t="s">
        <v>559</v>
      </c>
      <c r="F64" s="15" t="s">
        <v>63</v>
      </c>
      <c r="G64" s="14" t="s">
        <v>19</v>
      </c>
      <c r="H64" s="15" t="s">
        <v>177</v>
      </c>
      <c r="I64" s="15" t="s">
        <v>61</v>
      </c>
      <c r="J64" s="15" t="s">
        <v>321</v>
      </c>
      <c r="K64" s="15"/>
      <c r="L64" s="14" t="s">
        <v>422</v>
      </c>
      <c r="M64" s="15">
        <v>1</v>
      </c>
      <c r="N64" s="15"/>
      <c r="O64" s="15"/>
      <c r="P64" s="14" t="s">
        <v>572</v>
      </c>
    </row>
    <row r="65" spans="1:16" x14ac:dyDescent="0.2">
      <c r="A65" s="15" t="s">
        <v>578</v>
      </c>
      <c r="B65" s="14" t="s">
        <v>1401</v>
      </c>
      <c r="C65" s="15" t="s">
        <v>579</v>
      </c>
      <c r="D65" s="15" t="s">
        <v>363</v>
      </c>
      <c r="E65" s="15" t="s">
        <v>559</v>
      </c>
      <c r="F65" s="15" t="s">
        <v>63</v>
      </c>
      <c r="G65" s="15" t="s">
        <v>106</v>
      </c>
      <c r="H65" s="15" t="s">
        <v>177</v>
      </c>
      <c r="I65" s="15" t="s">
        <v>61</v>
      </c>
      <c r="J65" s="15" t="s">
        <v>345</v>
      </c>
      <c r="K65" s="15"/>
      <c r="L65" s="14" t="s">
        <v>413</v>
      </c>
      <c r="M65" s="15">
        <v>1</v>
      </c>
      <c r="N65" s="15"/>
      <c r="O65" s="15"/>
      <c r="P65" s="14" t="s">
        <v>582</v>
      </c>
    </row>
    <row r="66" spans="1:16" x14ac:dyDescent="0.2">
      <c r="A66" s="15" t="s">
        <v>584</v>
      </c>
      <c r="B66" s="14" t="s">
        <v>582</v>
      </c>
      <c r="C66" s="15" t="s">
        <v>585</v>
      </c>
      <c r="D66" s="15" t="s">
        <v>363</v>
      </c>
      <c r="E66" s="15" t="s">
        <v>559</v>
      </c>
      <c r="F66" s="15" t="s">
        <v>63</v>
      </c>
      <c r="G66" s="15" t="s">
        <v>587</v>
      </c>
      <c r="H66" s="15" t="s">
        <v>177</v>
      </c>
      <c r="I66" s="15" t="s">
        <v>61</v>
      </c>
      <c r="J66" s="15" t="s">
        <v>246</v>
      </c>
      <c r="K66" s="15"/>
      <c r="L66" s="14" t="s">
        <v>359</v>
      </c>
      <c r="M66" s="15">
        <v>1</v>
      </c>
      <c r="N66" s="15"/>
      <c r="O66" s="15"/>
      <c r="P66" s="15" t="s">
        <v>589</v>
      </c>
    </row>
    <row r="67" spans="1:16" x14ac:dyDescent="0.2">
      <c r="A67" s="15" t="s">
        <v>591</v>
      </c>
      <c r="B67" s="14" t="s">
        <v>572</v>
      </c>
      <c r="C67" s="15" t="s">
        <v>592</v>
      </c>
      <c r="D67" s="15" t="s">
        <v>363</v>
      </c>
      <c r="E67" s="15" t="s">
        <v>559</v>
      </c>
      <c r="F67" s="15" t="s">
        <v>63</v>
      </c>
      <c r="G67" s="15" t="s">
        <v>593</v>
      </c>
      <c r="H67" s="15" t="s">
        <v>177</v>
      </c>
      <c r="I67" s="15" t="s">
        <v>61</v>
      </c>
      <c r="J67" s="15" t="s">
        <v>595</v>
      </c>
      <c r="K67" s="15"/>
      <c r="L67" s="14" t="s">
        <v>292</v>
      </c>
      <c r="M67" s="15">
        <v>1</v>
      </c>
      <c r="N67" s="15"/>
      <c r="O67" s="15"/>
      <c r="P67" s="14" t="s">
        <v>596</v>
      </c>
    </row>
    <row r="68" spans="1:16" x14ac:dyDescent="0.2">
      <c r="A68" s="15" t="s">
        <v>598</v>
      </c>
      <c r="B68" s="14" t="s">
        <v>1505</v>
      </c>
      <c r="C68" s="15" t="s">
        <v>599</v>
      </c>
      <c r="D68" s="15" t="s">
        <v>363</v>
      </c>
      <c r="E68" s="15" t="s">
        <v>559</v>
      </c>
      <c r="F68" s="15" t="s">
        <v>63</v>
      </c>
      <c r="G68" s="14" t="s">
        <v>19</v>
      </c>
      <c r="H68" s="15" t="s">
        <v>177</v>
      </c>
      <c r="I68" s="15" t="s">
        <v>61</v>
      </c>
      <c r="J68" s="15" t="s">
        <v>242</v>
      </c>
      <c r="K68" s="15"/>
      <c r="L68" s="14" t="s">
        <v>368</v>
      </c>
      <c r="M68" s="15">
        <v>1</v>
      </c>
      <c r="N68" s="15"/>
      <c r="O68" s="15"/>
      <c r="P68" s="14" t="s">
        <v>601</v>
      </c>
    </row>
    <row r="69" spans="1:16" x14ac:dyDescent="0.2">
      <c r="A69" s="15" t="s">
        <v>728</v>
      </c>
      <c r="B69" s="14" t="s">
        <v>1416</v>
      </c>
      <c r="C69" s="15" t="s">
        <v>730</v>
      </c>
      <c r="D69" s="15" t="s">
        <v>363</v>
      </c>
      <c r="E69" s="15" t="s">
        <v>729</v>
      </c>
      <c r="F69" s="15" t="s">
        <v>63</v>
      </c>
      <c r="G69" s="15" t="s">
        <v>1995</v>
      </c>
      <c r="H69" s="15" t="s">
        <v>61</v>
      </c>
      <c r="I69" s="15" t="s">
        <v>61</v>
      </c>
      <c r="J69" s="15" t="s">
        <v>65</v>
      </c>
      <c r="K69" s="15" t="s">
        <v>732</v>
      </c>
      <c r="L69" s="14" t="s">
        <v>431</v>
      </c>
      <c r="M69" s="15">
        <v>1</v>
      </c>
      <c r="N69" s="15"/>
      <c r="O69" s="15"/>
      <c r="P69" s="14" t="s">
        <v>733</v>
      </c>
    </row>
    <row r="70" spans="1:16" x14ac:dyDescent="0.2">
      <c r="A70" s="15" t="s">
        <v>607</v>
      </c>
      <c r="B70" s="14" t="s">
        <v>625</v>
      </c>
      <c r="C70" s="15" t="s">
        <v>609</v>
      </c>
      <c r="D70" s="15" t="s">
        <v>608</v>
      </c>
      <c r="E70" s="15" t="s">
        <v>61</v>
      </c>
      <c r="F70" s="15" t="s">
        <v>63</v>
      </c>
      <c r="G70" s="15" t="s">
        <v>85</v>
      </c>
      <c r="H70" s="15" t="s">
        <v>612</v>
      </c>
      <c r="I70" s="15" t="s">
        <v>61</v>
      </c>
      <c r="J70" s="15" t="s">
        <v>65</v>
      </c>
      <c r="K70" s="15"/>
      <c r="L70" s="14" t="s">
        <v>613</v>
      </c>
      <c r="M70" s="15">
        <v>1</v>
      </c>
      <c r="N70" s="15"/>
      <c r="O70" s="15"/>
      <c r="P70" s="15" t="s">
        <v>614</v>
      </c>
    </row>
    <row r="71" spans="1:16" x14ac:dyDescent="0.2">
      <c r="A71" s="15" t="s">
        <v>622</v>
      </c>
      <c r="B71" s="14" t="s">
        <v>1432</v>
      </c>
      <c r="C71" s="15" t="s">
        <v>623</v>
      </c>
      <c r="D71" s="15" t="s">
        <v>608</v>
      </c>
      <c r="E71" s="15" t="s">
        <v>61</v>
      </c>
      <c r="F71" s="15" t="s">
        <v>63</v>
      </c>
      <c r="G71" s="15" t="s">
        <v>85</v>
      </c>
      <c r="H71" s="15" t="s">
        <v>612</v>
      </c>
      <c r="I71" s="15" t="s">
        <v>61</v>
      </c>
      <c r="J71" s="15" t="s">
        <v>65</v>
      </c>
      <c r="K71" s="15"/>
      <c r="L71" s="14" t="s">
        <v>625</v>
      </c>
      <c r="M71" s="15">
        <v>1</v>
      </c>
      <c r="N71" s="15"/>
      <c r="O71" s="15"/>
      <c r="P71" s="15" t="s">
        <v>626</v>
      </c>
    </row>
    <row r="72" spans="1:16" x14ac:dyDescent="0.2">
      <c r="A72" s="15" t="s">
        <v>628</v>
      </c>
      <c r="B72" s="14" t="s">
        <v>632</v>
      </c>
      <c r="C72" s="15" t="s">
        <v>629</v>
      </c>
      <c r="D72" s="15" t="s">
        <v>608</v>
      </c>
      <c r="E72" s="15" t="s">
        <v>61</v>
      </c>
      <c r="F72" s="15" t="s">
        <v>63</v>
      </c>
      <c r="G72" s="15" t="s">
        <v>98</v>
      </c>
      <c r="H72" s="15" t="s">
        <v>612</v>
      </c>
      <c r="I72" s="15" t="s">
        <v>61</v>
      </c>
      <c r="J72" s="15" t="s">
        <v>65</v>
      </c>
      <c r="K72" s="15"/>
      <c r="L72" s="14" t="s">
        <v>632</v>
      </c>
      <c r="M72" s="15">
        <v>1</v>
      </c>
      <c r="N72" s="15"/>
      <c r="O72" s="15"/>
      <c r="P72" s="14" t="s">
        <v>632</v>
      </c>
    </row>
    <row r="73" spans="1:16" x14ac:dyDescent="0.2">
      <c r="A73" s="15" t="s">
        <v>634</v>
      </c>
      <c r="B73" s="14" t="s">
        <v>109</v>
      </c>
      <c r="C73" s="15" t="s">
        <v>637</v>
      </c>
      <c r="D73" s="15" t="s">
        <v>635</v>
      </c>
      <c r="E73" s="15" t="s">
        <v>636</v>
      </c>
      <c r="F73" s="15" t="s">
        <v>63</v>
      </c>
      <c r="G73" s="15" t="s">
        <v>640</v>
      </c>
      <c r="H73" s="15" t="s">
        <v>642</v>
      </c>
      <c r="I73" s="15" t="s">
        <v>1032</v>
      </c>
      <c r="J73" s="15" t="s">
        <v>65</v>
      </c>
      <c r="K73" s="15"/>
      <c r="L73" s="14" t="s">
        <v>109</v>
      </c>
      <c r="M73" s="15">
        <v>1</v>
      </c>
      <c r="N73" s="15"/>
      <c r="O73" s="15"/>
      <c r="P73" s="14" t="s">
        <v>109</v>
      </c>
    </row>
    <row r="74" spans="1:16" x14ac:dyDescent="0.2">
      <c r="A74" s="15" t="s">
        <v>644</v>
      </c>
      <c r="B74" s="14" t="s">
        <v>663</v>
      </c>
      <c r="C74" s="15" t="s">
        <v>645</v>
      </c>
      <c r="D74" s="15" t="s">
        <v>635</v>
      </c>
      <c r="E74" s="15" t="s">
        <v>636</v>
      </c>
      <c r="F74" s="15" t="s">
        <v>63</v>
      </c>
      <c r="G74" s="15" t="s">
        <v>640</v>
      </c>
      <c r="H74" s="15" t="s">
        <v>647</v>
      </c>
      <c r="I74" s="15" t="s">
        <v>1033</v>
      </c>
      <c r="J74" s="15" t="s">
        <v>65</v>
      </c>
      <c r="K74" s="15"/>
      <c r="L74" s="14" t="s">
        <v>648</v>
      </c>
      <c r="M74" s="15">
        <v>1</v>
      </c>
      <c r="N74" s="15"/>
      <c r="O74" s="15"/>
      <c r="P74" s="14" t="s">
        <v>649</v>
      </c>
    </row>
    <row r="75" spans="1:16" x14ac:dyDescent="0.2">
      <c r="A75" s="15" t="s">
        <v>651</v>
      </c>
      <c r="B75" s="14" t="s">
        <v>683</v>
      </c>
      <c r="C75" s="15" t="s">
        <v>652</v>
      </c>
      <c r="D75" s="15" t="s">
        <v>635</v>
      </c>
      <c r="E75" s="15" t="s">
        <v>636</v>
      </c>
      <c r="F75" s="15" t="s">
        <v>63</v>
      </c>
      <c r="G75" s="15" t="s">
        <v>1995</v>
      </c>
      <c r="H75" s="15" t="s">
        <v>169</v>
      </c>
      <c r="I75" s="15" t="s">
        <v>128</v>
      </c>
      <c r="J75" s="15" t="s">
        <v>65</v>
      </c>
      <c r="K75" s="15"/>
      <c r="L75" s="14" t="s">
        <v>648</v>
      </c>
      <c r="M75" s="15">
        <v>1</v>
      </c>
      <c r="N75" s="15"/>
      <c r="O75" s="15"/>
      <c r="P75" s="14" t="s">
        <v>654</v>
      </c>
    </row>
    <row r="76" spans="1:16" x14ac:dyDescent="0.2">
      <c r="A76" s="15" t="s">
        <v>656</v>
      </c>
      <c r="B76" s="14" t="s">
        <v>649</v>
      </c>
      <c r="C76" s="15" t="s">
        <v>657</v>
      </c>
      <c r="D76" s="15" t="s">
        <v>635</v>
      </c>
      <c r="E76" s="15" t="s">
        <v>636</v>
      </c>
      <c r="F76" s="15" t="s">
        <v>63</v>
      </c>
      <c r="G76" s="15" t="s">
        <v>85</v>
      </c>
      <c r="H76" s="15" t="s">
        <v>169</v>
      </c>
      <c r="I76" s="15" t="s">
        <v>515</v>
      </c>
      <c r="J76" s="15" t="s">
        <v>65</v>
      </c>
      <c r="K76" s="15"/>
      <c r="L76" s="14" t="s">
        <v>438</v>
      </c>
      <c r="M76" s="15">
        <v>1</v>
      </c>
      <c r="N76" s="15"/>
      <c r="O76" s="15"/>
      <c r="P76" s="14" t="s">
        <v>648</v>
      </c>
    </row>
    <row r="77" spans="1:16" x14ac:dyDescent="0.2">
      <c r="A77" s="15" t="s">
        <v>660</v>
      </c>
      <c r="B77" s="14" t="s">
        <v>654</v>
      </c>
      <c r="C77" s="15" t="s">
        <v>661</v>
      </c>
      <c r="D77" s="15" t="s">
        <v>635</v>
      </c>
      <c r="E77" s="15" t="s">
        <v>636</v>
      </c>
      <c r="F77" s="15" t="s">
        <v>63</v>
      </c>
      <c r="G77" s="14" t="s">
        <v>19</v>
      </c>
      <c r="H77" s="15" t="s">
        <v>99</v>
      </c>
      <c r="I77" s="15" t="s">
        <v>61</v>
      </c>
      <c r="J77" s="15" t="s">
        <v>65</v>
      </c>
      <c r="K77" s="15"/>
      <c r="L77" s="14" t="s">
        <v>663</v>
      </c>
      <c r="M77" s="15">
        <v>1</v>
      </c>
      <c r="N77" s="15"/>
      <c r="O77" s="15"/>
      <c r="P77" s="14" t="s">
        <v>664</v>
      </c>
    </row>
    <row r="78" spans="1:16" x14ac:dyDescent="0.2">
      <c r="A78" s="15" t="s">
        <v>668</v>
      </c>
      <c r="B78" s="14" t="s">
        <v>648</v>
      </c>
      <c r="C78" s="15" t="s">
        <v>669</v>
      </c>
      <c r="D78" s="15" t="s">
        <v>635</v>
      </c>
      <c r="E78" s="15" t="s">
        <v>636</v>
      </c>
      <c r="F78" s="15" t="s">
        <v>63</v>
      </c>
      <c r="G78" s="14" t="s">
        <v>19</v>
      </c>
      <c r="H78" s="15" t="s">
        <v>99</v>
      </c>
      <c r="I78" s="15" t="s">
        <v>61</v>
      </c>
      <c r="J78" s="15" t="s">
        <v>65</v>
      </c>
      <c r="K78" s="15"/>
      <c r="L78" s="14" t="s">
        <v>649</v>
      </c>
      <c r="M78" s="15">
        <v>1</v>
      </c>
      <c r="N78" s="15"/>
      <c r="O78" s="15"/>
      <c r="P78" s="14" t="s">
        <v>670</v>
      </c>
    </row>
    <row r="79" spans="1:16" x14ac:dyDescent="0.2">
      <c r="A79" s="15" t="s">
        <v>674</v>
      </c>
      <c r="B79" s="14" t="s">
        <v>438</v>
      </c>
      <c r="C79" s="15" t="s">
        <v>676</v>
      </c>
      <c r="D79" s="15" t="s">
        <v>635</v>
      </c>
      <c r="E79" s="15" t="s">
        <v>675</v>
      </c>
      <c r="F79" s="15" t="s">
        <v>63</v>
      </c>
      <c r="G79" s="15" t="s">
        <v>1961</v>
      </c>
      <c r="H79" s="15" t="s">
        <v>647</v>
      </c>
      <c r="I79" s="15" t="s">
        <v>1032</v>
      </c>
      <c r="J79" s="15" t="s">
        <v>65</v>
      </c>
      <c r="K79" s="15"/>
      <c r="L79" s="14" t="s">
        <v>663</v>
      </c>
      <c r="M79" s="15">
        <v>1</v>
      </c>
      <c r="N79" s="15"/>
      <c r="O79" s="15"/>
      <c r="P79" s="14" t="s">
        <v>663</v>
      </c>
    </row>
    <row r="80" spans="1:16" x14ac:dyDescent="0.2">
      <c r="A80" s="15" t="s">
        <v>680</v>
      </c>
      <c r="B80" s="14" t="s">
        <v>714</v>
      </c>
      <c r="C80" s="15" t="s">
        <v>681</v>
      </c>
      <c r="D80" s="15" t="s">
        <v>635</v>
      </c>
      <c r="E80" s="15" t="s">
        <v>675</v>
      </c>
      <c r="F80" s="15" t="s">
        <v>63</v>
      </c>
      <c r="G80" s="15" t="s">
        <v>106</v>
      </c>
      <c r="H80" s="15" t="s">
        <v>647</v>
      </c>
      <c r="I80" s="15" t="s">
        <v>61</v>
      </c>
      <c r="J80" s="15" t="s">
        <v>65</v>
      </c>
      <c r="K80" s="15"/>
      <c r="L80" s="14" t="s">
        <v>663</v>
      </c>
      <c r="M80" s="15">
        <v>1</v>
      </c>
      <c r="N80" s="15"/>
      <c r="O80" s="15"/>
      <c r="P80" s="14" t="s">
        <v>683</v>
      </c>
    </row>
    <row r="81" spans="1:16" x14ac:dyDescent="0.2">
      <c r="A81" s="15" t="s">
        <v>685</v>
      </c>
      <c r="B81" s="14" t="s">
        <v>719</v>
      </c>
      <c r="C81" s="15" t="s">
        <v>686</v>
      </c>
      <c r="D81" s="15" t="s">
        <v>635</v>
      </c>
      <c r="E81" s="15" t="s">
        <v>675</v>
      </c>
      <c r="F81" s="15" t="s">
        <v>63</v>
      </c>
      <c r="G81" s="15" t="s">
        <v>106</v>
      </c>
      <c r="H81" s="15" t="s">
        <v>99</v>
      </c>
      <c r="I81" s="15" t="s">
        <v>61</v>
      </c>
      <c r="J81" s="15" t="s">
        <v>345</v>
      </c>
      <c r="K81" s="15"/>
      <c r="L81" s="14" t="s">
        <v>663</v>
      </c>
      <c r="M81" s="15">
        <v>1</v>
      </c>
      <c r="N81" s="15"/>
      <c r="O81" s="15"/>
      <c r="P81" s="14" t="s">
        <v>688</v>
      </c>
    </row>
    <row r="82" spans="1:16" x14ac:dyDescent="0.2">
      <c r="A82" s="15" t="s">
        <v>690</v>
      </c>
      <c r="B82" s="14" t="s">
        <v>688</v>
      </c>
      <c r="C82" s="15" t="s">
        <v>691</v>
      </c>
      <c r="D82" s="15" t="s">
        <v>635</v>
      </c>
      <c r="E82" s="15" t="s">
        <v>675</v>
      </c>
      <c r="F82" s="15" t="s">
        <v>63</v>
      </c>
      <c r="G82" s="15" t="s">
        <v>2060</v>
      </c>
      <c r="H82" s="15" t="s">
        <v>647</v>
      </c>
      <c r="I82" s="15" t="s">
        <v>1032</v>
      </c>
      <c r="J82" s="15" t="s">
        <v>65</v>
      </c>
      <c r="K82" s="15"/>
      <c r="L82" s="14" t="s">
        <v>683</v>
      </c>
      <c r="M82" s="15">
        <v>1</v>
      </c>
      <c r="N82" s="15"/>
      <c r="O82" s="15"/>
      <c r="P82" s="14" t="s">
        <v>438</v>
      </c>
    </row>
    <row r="83" spans="1:16" x14ac:dyDescent="0.2">
      <c r="A83" s="15" t="s">
        <v>694</v>
      </c>
      <c r="B83" s="14" t="s">
        <v>724</v>
      </c>
      <c r="C83" s="15" t="s">
        <v>695</v>
      </c>
      <c r="D83" s="15" t="s">
        <v>635</v>
      </c>
      <c r="E83" s="15" t="s">
        <v>675</v>
      </c>
      <c r="F83" s="15" t="s">
        <v>63</v>
      </c>
      <c r="G83" s="15" t="s">
        <v>106</v>
      </c>
      <c r="H83" s="15" t="s">
        <v>169</v>
      </c>
      <c r="I83" s="15" t="s">
        <v>61</v>
      </c>
      <c r="J83" s="15" t="s">
        <v>65</v>
      </c>
      <c r="K83" s="15"/>
      <c r="L83" s="14" t="s">
        <v>184</v>
      </c>
      <c r="M83" s="15">
        <v>1</v>
      </c>
      <c r="N83" s="15"/>
      <c r="O83" s="15"/>
      <c r="P83" s="14" t="s">
        <v>698</v>
      </c>
    </row>
    <row r="84" spans="1:16" x14ac:dyDescent="0.2">
      <c r="A84" s="15" t="s">
        <v>700</v>
      </c>
      <c r="B84" s="14" t="s">
        <v>726</v>
      </c>
      <c r="C84" s="15" t="s">
        <v>701</v>
      </c>
      <c r="D84" s="15" t="s">
        <v>635</v>
      </c>
      <c r="E84" s="15" t="s">
        <v>675</v>
      </c>
      <c r="F84" s="15" t="s">
        <v>63</v>
      </c>
      <c r="G84" s="14" t="s">
        <v>19</v>
      </c>
      <c r="H84" s="15" t="s">
        <v>99</v>
      </c>
      <c r="I84" s="15" t="s">
        <v>61</v>
      </c>
      <c r="J84" s="15" t="s">
        <v>65</v>
      </c>
      <c r="K84" s="15"/>
      <c r="L84" s="14" t="s">
        <v>702</v>
      </c>
      <c r="M84" s="15">
        <v>1</v>
      </c>
      <c r="N84" s="15"/>
      <c r="O84" s="15"/>
      <c r="P84" s="14" t="s">
        <v>703</v>
      </c>
    </row>
    <row r="85" spans="1:16" x14ac:dyDescent="0.2">
      <c r="A85" s="15" t="s">
        <v>707</v>
      </c>
      <c r="B85" s="14" t="s">
        <v>698</v>
      </c>
      <c r="C85" s="15" t="s">
        <v>709</v>
      </c>
      <c r="D85" s="15" t="s">
        <v>635</v>
      </c>
      <c r="E85" s="15" t="s">
        <v>708</v>
      </c>
      <c r="F85" s="15" t="s">
        <v>63</v>
      </c>
      <c r="G85" s="15" t="s">
        <v>712</v>
      </c>
      <c r="H85" s="15" t="s">
        <v>642</v>
      </c>
      <c r="I85" s="15" t="s">
        <v>778</v>
      </c>
      <c r="J85" s="15" t="s">
        <v>65</v>
      </c>
      <c r="K85" s="15"/>
      <c r="L85" s="14" t="s">
        <v>649</v>
      </c>
      <c r="M85" s="15">
        <v>1</v>
      </c>
      <c r="N85" s="15"/>
      <c r="O85" s="15"/>
      <c r="P85" s="14" t="s">
        <v>714</v>
      </c>
    </row>
    <row r="86" spans="1:16" x14ac:dyDescent="0.2">
      <c r="A86" s="15" t="s">
        <v>716</v>
      </c>
      <c r="B86" s="14" t="s">
        <v>664</v>
      </c>
      <c r="C86" s="15" t="s">
        <v>717</v>
      </c>
      <c r="D86" s="15" t="s">
        <v>635</v>
      </c>
      <c r="E86" s="15" t="s">
        <v>708</v>
      </c>
      <c r="F86" s="15" t="s">
        <v>63</v>
      </c>
      <c r="G86" s="15" t="s">
        <v>640</v>
      </c>
      <c r="H86" s="15" t="s">
        <v>647</v>
      </c>
      <c r="I86" s="15" t="s">
        <v>61</v>
      </c>
      <c r="J86" s="15" t="s">
        <v>65</v>
      </c>
      <c r="K86" s="15"/>
      <c r="L86" s="14" t="s">
        <v>438</v>
      </c>
      <c r="M86" s="15">
        <v>1</v>
      </c>
      <c r="N86" s="15"/>
      <c r="O86" s="15"/>
      <c r="P86" s="14" t="s">
        <v>719</v>
      </c>
    </row>
    <row r="87" spans="1:16" x14ac:dyDescent="0.2">
      <c r="A87" s="15" t="s">
        <v>721</v>
      </c>
      <c r="B87" s="14" t="s">
        <v>670</v>
      </c>
      <c r="C87" s="15" t="s">
        <v>722</v>
      </c>
      <c r="D87" s="15" t="s">
        <v>635</v>
      </c>
      <c r="E87" s="15" t="s">
        <v>708</v>
      </c>
      <c r="F87" s="15" t="s">
        <v>63</v>
      </c>
      <c r="G87" s="15" t="s">
        <v>106</v>
      </c>
      <c r="H87" s="15" t="s">
        <v>647</v>
      </c>
      <c r="I87" s="15" t="s">
        <v>61</v>
      </c>
      <c r="J87" s="15" t="s">
        <v>65</v>
      </c>
      <c r="K87" s="15"/>
      <c r="L87" s="14" t="s">
        <v>654</v>
      </c>
      <c r="M87" s="15">
        <v>1</v>
      </c>
      <c r="N87" s="15"/>
      <c r="O87" s="15"/>
      <c r="P87" s="14" t="s">
        <v>724</v>
      </c>
    </row>
    <row r="88" spans="1:16" x14ac:dyDescent="0.2">
      <c r="A88" s="15"/>
      <c r="B88" s="15"/>
      <c r="C88" s="15"/>
      <c r="D88" s="15"/>
      <c r="E88" s="15"/>
      <c r="F88" s="15"/>
      <c r="G88" s="15"/>
      <c r="H88" s="15"/>
      <c r="I88" s="15"/>
      <c r="J88" s="15"/>
      <c r="K88" s="15"/>
      <c r="L88" s="15"/>
      <c r="M88" s="15"/>
      <c r="N88" s="15"/>
      <c r="O88" s="15"/>
      <c r="P88" s="15"/>
    </row>
    <row r="89" spans="1:16" x14ac:dyDescent="0.2">
      <c r="A89" s="29" t="s">
        <v>1506</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747</v>
      </c>
      <c r="D90" s="28" t="s">
        <v>1507</v>
      </c>
      <c r="E90" s="28" t="s">
        <v>40</v>
      </c>
      <c r="F90" s="28" t="s">
        <v>42</v>
      </c>
      <c r="G90" s="28" t="s">
        <v>1508</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1720</v>
      </c>
      <c r="L93" s="15" t="s">
        <v>1668</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1509</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1510</v>
      </c>
      <c r="M97" s="15"/>
      <c r="N97" s="15"/>
      <c r="O97" s="15"/>
      <c r="P97" s="15"/>
    </row>
    <row r="98" spans="1:16" x14ac:dyDescent="0.2">
      <c r="A98" s="15" t="s">
        <v>120</v>
      </c>
      <c r="B98" s="15" t="s">
        <v>121</v>
      </c>
      <c r="C98" s="15" t="s">
        <v>1083</v>
      </c>
      <c r="D98" s="15" t="s">
        <v>124</v>
      </c>
      <c r="E98" s="15" t="s">
        <v>66</v>
      </c>
      <c r="F98" s="15" t="s">
        <v>125</v>
      </c>
      <c r="G98" s="15"/>
      <c r="H98" s="15">
        <v>4</v>
      </c>
      <c r="I98" s="15"/>
      <c r="J98" s="15" t="s">
        <v>66</v>
      </c>
      <c r="K98" s="15"/>
      <c r="L98" s="15" t="s">
        <v>126</v>
      </c>
      <c r="M98" s="15"/>
      <c r="N98" s="15"/>
      <c r="O98" s="15"/>
      <c r="P98" s="15"/>
    </row>
    <row r="99" spans="1:16" x14ac:dyDescent="0.2">
      <c r="A99" s="15" t="s">
        <v>2022</v>
      </c>
      <c r="B99" s="15" t="s">
        <v>121</v>
      </c>
      <c r="C99" s="15" t="s">
        <v>2019</v>
      </c>
      <c r="D99" s="15" t="s">
        <v>124</v>
      </c>
      <c r="E99" s="15"/>
      <c r="F99" s="15" t="s">
        <v>125</v>
      </c>
      <c r="G99" s="15"/>
      <c r="H99" s="15">
        <v>4</v>
      </c>
      <c r="I99" s="15"/>
      <c r="J99" s="15" t="s">
        <v>66</v>
      </c>
      <c r="K99" s="15"/>
      <c r="L99" s="15" t="s">
        <v>2023</v>
      </c>
      <c r="M99" s="15"/>
      <c r="N99" s="15"/>
      <c r="O99" s="15"/>
      <c r="P99" s="15"/>
    </row>
    <row r="100" spans="1:16" x14ac:dyDescent="0.2">
      <c r="A100" s="15" t="s">
        <v>131</v>
      </c>
      <c r="B100" s="15" t="s">
        <v>121</v>
      </c>
      <c r="C100" s="15" t="s">
        <v>1088</v>
      </c>
      <c r="D100" s="15" t="s">
        <v>132</v>
      </c>
      <c r="E100" s="15"/>
      <c r="F100" s="15" t="s">
        <v>125</v>
      </c>
      <c r="G100" s="15"/>
      <c r="H100" s="15">
        <v>4</v>
      </c>
      <c r="I100" s="15"/>
      <c r="J100" s="15" t="s">
        <v>66</v>
      </c>
      <c r="K100" s="15"/>
      <c r="L100" s="15" t="s">
        <v>133</v>
      </c>
      <c r="M100" s="15"/>
      <c r="N100" s="15"/>
      <c r="O100" s="15"/>
      <c r="P100" s="15"/>
    </row>
    <row r="101" spans="1:16" x14ac:dyDescent="0.2">
      <c r="A101" s="15" t="s">
        <v>134</v>
      </c>
      <c r="B101" s="15" t="s">
        <v>121</v>
      </c>
      <c r="C101" s="15" t="s">
        <v>1092</v>
      </c>
      <c r="D101" s="15" t="s">
        <v>135</v>
      </c>
      <c r="E101" s="15"/>
      <c r="F101" s="15" t="s">
        <v>125</v>
      </c>
      <c r="G101" s="15"/>
      <c r="H101" s="15">
        <v>4</v>
      </c>
      <c r="I101" s="15"/>
      <c r="J101" s="15" t="s">
        <v>66</v>
      </c>
      <c r="K101" s="15" t="s">
        <v>137</v>
      </c>
      <c r="L101" s="15" t="s">
        <v>136</v>
      </c>
      <c r="M101" s="15"/>
      <c r="N101" s="15"/>
      <c r="O101" s="15"/>
      <c r="P101" s="15"/>
    </row>
    <row r="102" spans="1:16" x14ac:dyDescent="0.2">
      <c r="A102" s="15" t="s">
        <v>2026</v>
      </c>
      <c r="B102" s="15" t="s">
        <v>121</v>
      </c>
      <c r="C102" s="15" t="s">
        <v>2024</v>
      </c>
      <c r="D102" s="15" t="s">
        <v>135</v>
      </c>
      <c r="E102" s="15"/>
      <c r="F102" s="15" t="s">
        <v>125</v>
      </c>
      <c r="G102" s="15"/>
      <c r="H102" s="15">
        <v>4</v>
      </c>
      <c r="I102" s="15"/>
      <c r="J102" s="15" t="s">
        <v>66</v>
      </c>
      <c r="K102" s="15"/>
      <c r="L102" s="15" t="s">
        <v>2028</v>
      </c>
      <c r="M102" s="15"/>
      <c r="N102" s="15"/>
      <c r="O102" s="15"/>
      <c r="P102" s="15"/>
    </row>
    <row r="103" spans="1:16" x14ac:dyDescent="0.2">
      <c r="A103" s="15" t="s">
        <v>138</v>
      </c>
      <c r="B103" s="15" t="s">
        <v>139</v>
      </c>
      <c r="C103" s="14" t="s">
        <v>2054</v>
      </c>
      <c r="D103" s="15" t="s">
        <v>64</v>
      </c>
      <c r="E103" s="15" t="s">
        <v>66</v>
      </c>
      <c r="F103" s="15" t="s">
        <v>125</v>
      </c>
      <c r="G103" s="15"/>
      <c r="H103" s="15">
        <v>4</v>
      </c>
      <c r="I103" s="15"/>
      <c r="J103" s="15" t="s">
        <v>66</v>
      </c>
      <c r="K103" s="15"/>
      <c r="L103" s="15" t="s">
        <v>141</v>
      </c>
      <c r="M103" s="15"/>
      <c r="N103" s="15"/>
      <c r="O103" s="15"/>
      <c r="P103" s="15"/>
    </row>
    <row r="104" spans="1:16" x14ac:dyDescent="0.2">
      <c r="A104" s="15" t="s">
        <v>2032</v>
      </c>
      <c r="B104" s="15" t="s">
        <v>139</v>
      </c>
      <c r="C104" s="14" t="s">
        <v>2029</v>
      </c>
      <c r="D104" s="15" t="s">
        <v>64</v>
      </c>
      <c r="E104" s="15"/>
      <c r="F104" s="15" t="s">
        <v>125</v>
      </c>
      <c r="G104" s="15"/>
      <c r="H104" s="15">
        <v>4</v>
      </c>
      <c r="I104" s="15"/>
      <c r="J104" s="15" t="s">
        <v>66</v>
      </c>
      <c r="K104" s="15"/>
      <c r="L104" s="15" t="s">
        <v>2033</v>
      </c>
      <c r="M104" s="15"/>
      <c r="N104" s="15"/>
      <c r="O104" s="15"/>
      <c r="P104" s="15"/>
    </row>
    <row r="105" spans="1:16" x14ac:dyDescent="0.2">
      <c r="A105" s="15" t="s">
        <v>143</v>
      </c>
      <c r="B105" s="15" t="s">
        <v>144</v>
      </c>
      <c r="C105" s="14" t="s">
        <v>142</v>
      </c>
      <c r="D105" s="15" t="s">
        <v>64</v>
      </c>
      <c r="E105" s="15" t="s">
        <v>66</v>
      </c>
      <c r="F105" s="15" t="s">
        <v>125</v>
      </c>
      <c r="G105" s="15"/>
      <c r="H105" s="15">
        <v>4</v>
      </c>
      <c r="I105" s="15"/>
      <c r="J105" s="15" t="s">
        <v>66</v>
      </c>
      <c r="K105" s="15" t="s">
        <v>148</v>
      </c>
      <c r="L105" s="15" t="s">
        <v>147</v>
      </c>
      <c r="M105" s="15"/>
      <c r="N105" s="15"/>
      <c r="O105" s="15"/>
      <c r="P105" s="15"/>
    </row>
    <row r="106" spans="1:16" x14ac:dyDescent="0.2">
      <c r="A106" s="15" t="s">
        <v>150</v>
      </c>
      <c r="B106" s="15" t="s">
        <v>151</v>
      </c>
      <c r="C106" s="14" t="s">
        <v>2055</v>
      </c>
      <c r="D106" s="15" t="s">
        <v>64</v>
      </c>
      <c r="E106" s="15" t="s">
        <v>66</v>
      </c>
      <c r="F106" s="15" t="s">
        <v>67</v>
      </c>
      <c r="G106" s="15"/>
      <c r="H106" s="15">
        <v>4</v>
      </c>
      <c r="I106" s="15"/>
      <c r="J106" s="15" t="s">
        <v>66</v>
      </c>
      <c r="K106" s="15"/>
      <c r="L106" s="15" t="s">
        <v>155</v>
      </c>
      <c r="M106" s="15"/>
      <c r="N106" s="15"/>
      <c r="O106" s="15"/>
      <c r="P106" s="15"/>
    </row>
    <row r="107" spans="1:16" x14ac:dyDescent="0.2">
      <c r="A107" s="15" t="s">
        <v>2037</v>
      </c>
      <c r="B107" s="15" t="s">
        <v>151</v>
      </c>
      <c r="C107" s="14" t="s">
        <v>2034</v>
      </c>
      <c r="D107" s="15" t="s">
        <v>64</v>
      </c>
      <c r="E107" s="15"/>
      <c r="F107" s="15" t="s">
        <v>67</v>
      </c>
      <c r="G107" s="15"/>
      <c r="H107" s="15">
        <v>4</v>
      </c>
      <c r="I107" s="15"/>
      <c r="J107" s="15" t="s">
        <v>66</v>
      </c>
      <c r="K107" s="15"/>
      <c r="L107" s="15" t="s">
        <v>2038</v>
      </c>
      <c r="M107" s="15"/>
      <c r="N107" s="15"/>
      <c r="O107" s="15"/>
      <c r="P107" s="15"/>
    </row>
    <row r="108" spans="1:16" x14ac:dyDescent="0.2">
      <c r="A108" s="15" t="s">
        <v>157</v>
      </c>
      <c r="B108" s="15" t="s">
        <v>158</v>
      </c>
      <c r="C108" s="14" t="s">
        <v>164</v>
      </c>
      <c r="D108" s="15" t="s">
        <v>64</v>
      </c>
      <c r="E108" s="15" t="s">
        <v>66</v>
      </c>
      <c r="F108" s="15" t="s">
        <v>160</v>
      </c>
      <c r="G108" s="15"/>
      <c r="H108" s="15">
        <v>4</v>
      </c>
      <c r="I108" s="15"/>
      <c r="J108" s="15" t="s">
        <v>66</v>
      </c>
      <c r="K108" s="15"/>
      <c r="L108" s="15" t="s">
        <v>162</v>
      </c>
      <c r="M108" s="15"/>
      <c r="N108" s="15"/>
      <c r="O108" s="15"/>
      <c r="P108" s="15"/>
    </row>
    <row r="109" spans="1:16" x14ac:dyDescent="0.2">
      <c r="A109" s="15" t="s">
        <v>165</v>
      </c>
      <c r="B109" s="15" t="s">
        <v>166</v>
      </c>
      <c r="C109" s="14" t="s">
        <v>184</v>
      </c>
      <c r="D109" s="15" t="s">
        <v>64</v>
      </c>
      <c r="E109" s="15" t="s">
        <v>66</v>
      </c>
      <c r="F109" s="15" t="s">
        <v>67</v>
      </c>
      <c r="G109" s="15"/>
      <c r="H109" s="15">
        <v>2</v>
      </c>
      <c r="I109" s="15"/>
      <c r="J109" s="15" t="s">
        <v>66</v>
      </c>
      <c r="K109" s="15"/>
      <c r="L109" s="15" t="s">
        <v>168</v>
      </c>
      <c r="M109" s="15"/>
      <c r="N109" s="15"/>
      <c r="O109" s="15"/>
      <c r="P109" s="15"/>
    </row>
    <row r="110" spans="1:16" x14ac:dyDescent="0.2">
      <c r="A110" s="15" t="s">
        <v>171</v>
      </c>
      <c r="B110" s="15" t="s">
        <v>172</v>
      </c>
      <c r="C110" s="14" t="s">
        <v>170</v>
      </c>
      <c r="D110" s="15" t="s">
        <v>64</v>
      </c>
      <c r="E110" s="15" t="s">
        <v>66</v>
      </c>
      <c r="F110" s="15" t="s">
        <v>175</v>
      </c>
      <c r="G110" s="15"/>
      <c r="H110" s="15">
        <v>4</v>
      </c>
      <c r="I110" s="15"/>
      <c r="J110" s="15" t="s">
        <v>66</v>
      </c>
      <c r="K110" s="15"/>
      <c r="L110" s="15" t="s">
        <v>176</v>
      </c>
      <c r="M110" s="15"/>
      <c r="N110" s="15"/>
      <c r="O110" s="15"/>
      <c r="P110" s="15"/>
    </row>
    <row r="111" spans="1:16" x14ac:dyDescent="0.2">
      <c r="A111" s="15" t="s">
        <v>180</v>
      </c>
      <c r="B111" s="15" t="s">
        <v>181</v>
      </c>
      <c r="C111" s="14" t="s">
        <v>1645</v>
      </c>
      <c r="D111" s="15" t="s">
        <v>1666</v>
      </c>
      <c r="E111" s="15" t="s">
        <v>66</v>
      </c>
      <c r="F111" s="15" t="s">
        <v>125</v>
      </c>
      <c r="G111" s="15"/>
      <c r="H111" s="15">
        <v>1</v>
      </c>
      <c r="I111" s="15"/>
      <c r="J111" s="15" t="s">
        <v>66</v>
      </c>
      <c r="K111" s="15"/>
      <c r="L111" s="15" t="s">
        <v>2063</v>
      </c>
      <c r="M111" s="15"/>
      <c r="N111" s="15"/>
      <c r="O111" s="15"/>
      <c r="P111" s="15"/>
    </row>
    <row r="112" spans="1:16" x14ac:dyDescent="0.2">
      <c r="A112" s="15" t="s">
        <v>2042</v>
      </c>
      <c r="B112" s="15" t="s">
        <v>181</v>
      </c>
      <c r="C112" s="14" t="s">
        <v>2039</v>
      </c>
      <c r="D112" s="15" t="s">
        <v>1666</v>
      </c>
      <c r="E112" s="15"/>
      <c r="F112" s="15" t="s">
        <v>125</v>
      </c>
      <c r="G112" s="15"/>
      <c r="H112" s="15">
        <v>1</v>
      </c>
      <c r="I112" s="15"/>
      <c r="J112" s="15" t="s">
        <v>66</v>
      </c>
      <c r="K112" s="15"/>
      <c r="L112" s="15" t="s">
        <v>2043</v>
      </c>
      <c r="M112" s="15"/>
      <c r="N112" s="15"/>
      <c r="O112" s="15"/>
      <c r="P112" s="15"/>
    </row>
    <row r="113" spans="1:16" x14ac:dyDescent="0.2">
      <c r="A113" s="15" t="s">
        <v>1642</v>
      </c>
      <c r="B113" s="15" t="s">
        <v>181</v>
      </c>
      <c r="C113" s="14" t="s">
        <v>1638</v>
      </c>
      <c r="D113" s="15" t="s">
        <v>1664</v>
      </c>
      <c r="E113" s="15"/>
      <c r="F113" s="15" t="s">
        <v>125</v>
      </c>
      <c r="G113" s="15"/>
      <c r="H113" s="15">
        <v>1</v>
      </c>
      <c r="I113" s="15"/>
      <c r="J113" s="15" t="s">
        <v>66</v>
      </c>
      <c r="K113" s="15"/>
      <c r="L113" s="15" t="s">
        <v>1665</v>
      </c>
      <c r="M113" s="15"/>
      <c r="N113" s="15"/>
      <c r="O113" s="15"/>
      <c r="P113" s="15"/>
    </row>
    <row r="114" spans="1:16" x14ac:dyDescent="0.2">
      <c r="A114" s="15" t="s">
        <v>185</v>
      </c>
      <c r="B114" s="15" t="s">
        <v>186</v>
      </c>
      <c r="C114" s="14" t="s">
        <v>2056</v>
      </c>
      <c r="D114" s="15" t="s">
        <v>64</v>
      </c>
      <c r="E114" s="15" t="s">
        <v>66</v>
      </c>
      <c r="F114" s="15" t="s">
        <v>67</v>
      </c>
      <c r="G114" s="15"/>
      <c r="H114" s="15">
        <v>1</v>
      </c>
      <c r="I114" s="15"/>
      <c r="J114" s="15" t="s">
        <v>66</v>
      </c>
      <c r="K114" s="15"/>
      <c r="L114" s="15" t="s">
        <v>2064</v>
      </c>
      <c r="M114" s="15"/>
      <c r="N114" s="15"/>
      <c r="O114" s="15"/>
      <c r="P114" s="15"/>
    </row>
    <row r="115" spans="1:16" x14ac:dyDescent="0.2">
      <c r="A115" s="15" t="s">
        <v>2047</v>
      </c>
      <c r="B115" s="15" t="s">
        <v>186</v>
      </c>
      <c r="C115" s="14" t="s">
        <v>2044</v>
      </c>
      <c r="D115" s="15" t="s">
        <v>64</v>
      </c>
      <c r="E115" s="15"/>
      <c r="F115" s="15" t="s">
        <v>67</v>
      </c>
      <c r="G115" s="15"/>
      <c r="H115" s="15">
        <v>1</v>
      </c>
      <c r="I115" s="15"/>
      <c r="J115" s="15" t="s">
        <v>66</v>
      </c>
      <c r="K115" s="15"/>
      <c r="L115" s="15" t="s">
        <v>2048</v>
      </c>
      <c r="M115" s="15"/>
      <c r="N115" s="15"/>
      <c r="O115" s="15"/>
      <c r="P115" s="15"/>
    </row>
    <row r="116" spans="1:16" x14ac:dyDescent="0.2">
      <c r="A116" s="15" t="s">
        <v>189</v>
      </c>
      <c r="B116" s="15" t="s">
        <v>190</v>
      </c>
      <c r="C116" s="14" t="s">
        <v>2057</v>
      </c>
      <c r="D116" s="15" t="s">
        <v>64</v>
      </c>
      <c r="E116" s="15" t="s">
        <v>66</v>
      </c>
      <c r="F116" s="15" t="s">
        <v>67</v>
      </c>
      <c r="G116" s="15"/>
      <c r="H116" s="15">
        <v>1</v>
      </c>
      <c r="I116" s="15"/>
      <c r="J116" s="15" t="s">
        <v>66</v>
      </c>
      <c r="K116" s="15"/>
      <c r="L116" s="15" t="s">
        <v>192</v>
      </c>
      <c r="M116" s="15"/>
      <c r="N116" s="15"/>
      <c r="O116" s="15"/>
      <c r="P116" s="15"/>
    </row>
    <row r="117" spans="1:16" x14ac:dyDescent="0.2">
      <c r="A117" s="15" t="s">
        <v>2052</v>
      </c>
      <c r="B117" s="15" t="s">
        <v>190</v>
      </c>
      <c r="C117" s="14" t="s">
        <v>2049</v>
      </c>
      <c r="D117" s="15" t="s">
        <v>64</v>
      </c>
      <c r="E117" s="15"/>
      <c r="F117" s="15" t="s">
        <v>67</v>
      </c>
      <c r="G117" s="15"/>
      <c r="H117" s="15">
        <v>1</v>
      </c>
      <c r="I117" s="15"/>
      <c r="J117" s="15" t="s">
        <v>66</v>
      </c>
      <c r="K117" s="15"/>
      <c r="L117" s="15" t="s">
        <v>2053</v>
      </c>
      <c r="M117" s="15"/>
      <c r="N117" s="15"/>
      <c r="O117" s="15"/>
      <c r="P117" s="15"/>
    </row>
    <row r="118" spans="1:16" x14ac:dyDescent="0.2">
      <c r="A118" s="15" t="s">
        <v>194</v>
      </c>
      <c r="B118" s="15" t="s">
        <v>195</v>
      </c>
      <c r="C118" s="14" t="s">
        <v>204</v>
      </c>
      <c r="D118" s="15" t="s">
        <v>64</v>
      </c>
      <c r="E118" s="15" t="s">
        <v>66</v>
      </c>
      <c r="F118" s="15" t="s">
        <v>67</v>
      </c>
      <c r="G118" s="15"/>
      <c r="H118" s="15">
        <v>4</v>
      </c>
      <c r="I118" s="14" t="s">
        <v>21</v>
      </c>
      <c r="J118" s="15" t="s">
        <v>66</v>
      </c>
      <c r="K118" s="15"/>
      <c r="L118" s="15" t="s">
        <v>198</v>
      </c>
      <c r="M118" s="15"/>
      <c r="N118" s="15"/>
      <c r="O118" s="15"/>
      <c r="P118" s="15"/>
    </row>
    <row r="119" spans="1:16" x14ac:dyDescent="0.2">
      <c r="A119" s="15" t="s">
        <v>200</v>
      </c>
      <c r="B119" s="15" t="s">
        <v>201</v>
      </c>
      <c r="C119" s="14" t="s">
        <v>1130</v>
      </c>
      <c r="D119" s="15" t="s">
        <v>64</v>
      </c>
      <c r="E119" s="15" t="s">
        <v>66</v>
      </c>
      <c r="F119" s="15" t="s">
        <v>67</v>
      </c>
      <c r="G119" s="15"/>
      <c r="H119" s="15">
        <v>1</v>
      </c>
      <c r="I119" s="14" t="s">
        <v>21</v>
      </c>
      <c r="J119" s="15" t="s">
        <v>66</v>
      </c>
      <c r="K119" s="15"/>
      <c r="L119" s="15" t="s">
        <v>203</v>
      </c>
      <c r="M119" s="15"/>
      <c r="N119" s="15"/>
      <c r="O119" s="15"/>
      <c r="P119" s="15"/>
    </row>
    <row r="120" spans="1:16" x14ac:dyDescent="0.2">
      <c r="A120" s="15" t="s">
        <v>205</v>
      </c>
      <c r="B120" s="15" t="s">
        <v>206</v>
      </c>
      <c r="C120" s="14" t="s">
        <v>1134</v>
      </c>
      <c r="D120" s="15" t="s">
        <v>64</v>
      </c>
      <c r="E120" s="15" t="s">
        <v>66</v>
      </c>
      <c r="F120" s="15" t="s">
        <v>67</v>
      </c>
      <c r="G120" s="15"/>
      <c r="H120" s="15">
        <v>1</v>
      </c>
      <c r="I120" s="15" t="s">
        <v>208</v>
      </c>
      <c r="J120" s="15" t="s">
        <v>66</v>
      </c>
      <c r="K120" s="15"/>
      <c r="L120" s="15" t="s">
        <v>209</v>
      </c>
      <c r="M120" s="15"/>
      <c r="N120" s="15"/>
      <c r="O120" s="15"/>
      <c r="P120" s="15"/>
    </row>
    <row r="121" spans="1:16" x14ac:dyDescent="0.2">
      <c r="A121" s="15" t="s">
        <v>212</v>
      </c>
      <c r="B121" s="15" t="s">
        <v>213</v>
      </c>
      <c r="C121" s="14" t="s">
        <v>217</v>
      </c>
      <c r="D121" s="15" t="s">
        <v>64</v>
      </c>
      <c r="E121" s="15" t="s">
        <v>66</v>
      </c>
      <c r="F121" s="15" t="s">
        <v>67</v>
      </c>
      <c r="G121" s="15"/>
      <c r="H121" s="15">
        <v>1</v>
      </c>
      <c r="I121" s="15" t="s">
        <v>86</v>
      </c>
      <c r="J121" s="15" t="s">
        <v>66</v>
      </c>
      <c r="K121" s="15"/>
      <c r="L121" s="15" t="s">
        <v>216</v>
      </c>
      <c r="M121" s="15"/>
      <c r="N121" s="15"/>
      <c r="O121" s="15"/>
      <c r="P121" s="15"/>
    </row>
    <row r="122" spans="1:16" x14ac:dyDescent="0.2">
      <c r="A122" s="15" t="s">
        <v>219</v>
      </c>
      <c r="B122" s="15" t="s">
        <v>220</v>
      </c>
      <c r="C122" s="15" t="s">
        <v>1141</v>
      </c>
      <c r="D122" s="15" t="s">
        <v>222</v>
      </c>
      <c r="E122" s="15" t="s">
        <v>66</v>
      </c>
      <c r="F122" s="15" t="s">
        <v>67</v>
      </c>
      <c r="G122" s="15"/>
      <c r="H122" s="15">
        <v>1</v>
      </c>
      <c r="I122" s="15" t="s">
        <v>86</v>
      </c>
      <c r="J122" s="15" t="s">
        <v>66</v>
      </c>
      <c r="K122" s="15"/>
      <c r="L122" s="15" t="s">
        <v>223</v>
      </c>
      <c r="M122" s="15"/>
      <c r="N122" s="15"/>
      <c r="O122" s="15"/>
      <c r="P122" s="15"/>
    </row>
    <row r="123" spans="1:16" x14ac:dyDescent="0.2">
      <c r="A123" s="15" t="s">
        <v>226</v>
      </c>
      <c r="B123" s="15" t="s">
        <v>220</v>
      </c>
      <c r="C123" s="15" t="s">
        <v>1145</v>
      </c>
      <c r="D123" s="15" t="s">
        <v>227</v>
      </c>
      <c r="E123" s="15"/>
      <c r="F123" s="15" t="s">
        <v>67</v>
      </c>
      <c r="G123" s="15"/>
      <c r="H123" s="15">
        <v>1</v>
      </c>
      <c r="I123" s="15"/>
      <c r="J123" s="15" t="s">
        <v>66</v>
      </c>
      <c r="K123" s="15"/>
      <c r="L123" s="15" t="s">
        <v>228</v>
      </c>
      <c r="M123" s="15"/>
      <c r="N123" s="15"/>
      <c r="O123" s="15"/>
      <c r="P123" s="15"/>
    </row>
    <row r="124" spans="1:16" x14ac:dyDescent="0.2">
      <c r="A124" s="15" t="s">
        <v>1637</v>
      </c>
      <c r="B124" s="15" t="s">
        <v>220</v>
      </c>
      <c r="C124" s="15" t="s">
        <v>1635</v>
      </c>
      <c r="D124" s="15" t="s">
        <v>222</v>
      </c>
      <c r="E124" s="15"/>
      <c r="F124" s="15" t="s">
        <v>67</v>
      </c>
      <c r="G124" s="15"/>
      <c r="H124" s="15">
        <v>1</v>
      </c>
      <c r="I124" s="15" t="s">
        <v>86</v>
      </c>
      <c r="J124" s="15" t="s">
        <v>66</v>
      </c>
      <c r="K124" s="15"/>
      <c r="L124" s="15" t="s">
        <v>1663</v>
      </c>
      <c r="M124" s="15"/>
      <c r="N124" s="15"/>
      <c r="O124" s="15"/>
      <c r="P124" s="15"/>
    </row>
    <row r="125" spans="1:16" x14ac:dyDescent="0.2">
      <c r="A125" s="15" t="s">
        <v>229</v>
      </c>
      <c r="B125" s="15" t="s">
        <v>230</v>
      </c>
      <c r="C125" s="14" t="s">
        <v>1647</v>
      </c>
      <c r="D125" s="15" t="s">
        <v>64</v>
      </c>
      <c r="E125" s="15" t="s">
        <v>66</v>
      </c>
      <c r="F125" s="15" t="s">
        <v>67</v>
      </c>
      <c r="G125" s="15"/>
      <c r="H125" s="15">
        <v>1</v>
      </c>
      <c r="I125" s="15" t="s">
        <v>86</v>
      </c>
      <c r="J125" s="15" t="s">
        <v>66</v>
      </c>
      <c r="K125" s="15"/>
      <c r="L125" s="15" t="s">
        <v>232</v>
      </c>
      <c r="M125" s="15"/>
      <c r="N125" s="15"/>
      <c r="O125" s="15"/>
      <c r="P125" s="15"/>
    </row>
    <row r="126" spans="1:16" x14ac:dyDescent="0.2">
      <c r="A126" s="15" t="s">
        <v>1634</v>
      </c>
      <c r="B126" s="15" t="s">
        <v>230</v>
      </c>
      <c r="C126" s="14" t="s">
        <v>1631</v>
      </c>
      <c r="D126" s="15" t="s">
        <v>64</v>
      </c>
      <c r="E126" s="15"/>
      <c r="F126" s="15" t="s">
        <v>67</v>
      </c>
      <c r="G126" s="15"/>
      <c r="H126" s="15">
        <v>1</v>
      </c>
      <c r="I126" s="15" t="s">
        <v>86</v>
      </c>
      <c r="J126" s="15" t="s">
        <v>66</v>
      </c>
      <c r="K126" s="15"/>
      <c r="L126" s="15" t="s">
        <v>1662</v>
      </c>
      <c r="M126" s="15"/>
      <c r="N126" s="15"/>
      <c r="O126" s="15"/>
      <c r="P126" s="15"/>
    </row>
    <row r="127" spans="1:16" x14ac:dyDescent="0.2">
      <c r="A127" s="15" t="s">
        <v>234</v>
      </c>
      <c r="B127" s="15" t="s">
        <v>235</v>
      </c>
      <c r="C127" s="15" t="s">
        <v>1152</v>
      </c>
      <c r="D127" s="15" t="s">
        <v>64</v>
      </c>
      <c r="E127" s="15" t="s">
        <v>66</v>
      </c>
      <c r="F127" s="15" t="s">
        <v>105</v>
      </c>
      <c r="G127" s="15"/>
      <c r="H127" s="15">
        <v>2</v>
      </c>
      <c r="I127" s="15"/>
      <c r="J127" s="15" t="s">
        <v>66</v>
      </c>
      <c r="K127" s="15"/>
      <c r="L127" s="15" t="s">
        <v>1511</v>
      </c>
      <c r="M127" s="15"/>
      <c r="N127" s="15"/>
      <c r="O127" s="15"/>
      <c r="P127" s="15"/>
    </row>
    <row r="128" spans="1:16" x14ac:dyDescent="0.2">
      <c r="A128" s="15" t="s">
        <v>247</v>
      </c>
      <c r="B128" s="15" t="s">
        <v>235</v>
      </c>
      <c r="C128" s="15" t="s">
        <v>1157</v>
      </c>
      <c r="D128" s="15" t="s">
        <v>248</v>
      </c>
      <c r="E128" s="15" t="s">
        <v>66</v>
      </c>
      <c r="F128" s="15" t="s">
        <v>105</v>
      </c>
      <c r="G128" s="15" t="s">
        <v>249</v>
      </c>
      <c r="H128" s="15">
        <v>2</v>
      </c>
      <c r="I128" s="15"/>
      <c r="J128" s="15" t="s">
        <v>66</v>
      </c>
      <c r="K128" s="15"/>
      <c r="L128" s="15" t="s">
        <v>250</v>
      </c>
      <c r="M128" s="15"/>
      <c r="N128" s="15"/>
      <c r="O128" s="15"/>
      <c r="P128" s="15"/>
    </row>
    <row r="129" spans="1:16" x14ac:dyDescent="0.2">
      <c r="A129" s="15" t="s">
        <v>251</v>
      </c>
      <c r="B129" s="15" t="s">
        <v>235</v>
      </c>
      <c r="C129" s="15" t="s">
        <v>1158</v>
      </c>
      <c r="D129" s="15" t="s">
        <v>1160</v>
      </c>
      <c r="E129" s="15"/>
      <c r="F129" s="15" t="s">
        <v>105</v>
      </c>
      <c r="G129" s="15" t="s">
        <v>106</v>
      </c>
      <c r="H129" s="15">
        <v>2</v>
      </c>
      <c r="I129" s="15"/>
      <c r="J129" s="15" t="s">
        <v>107</v>
      </c>
      <c r="K129" s="15"/>
      <c r="L129" s="15" t="s">
        <v>252</v>
      </c>
      <c r="M129" s="15"/>
      <c r="N129" s="15"/>
      <c r="O129" s="15"/>
      <c r="P129" s="15"/>
    </row>
    <row r="130" spans="1:16" x14ac:dyDescent="0.2">
      <c r="A130" s="15" t="s">
        <v>253</v>
      </c>
      <c r="B130" s="15" t="s">
        <v>254</v>
      </c>
      <c r="C130" s="15" t="s">
        <v>1163</v>
      </c>
      <c r="D130" s="15" t="s">
        <v>64</v>
      </c>
      <c r="E130" s="15" t="s">
        <v>66</v>
      </c>
      <c r="F130" s="15" t="s">
        <v>105</v>
      </c>
      <c r="G130" s="15"/>
      <c r="H130" s="15">
        <v>2</v>
      </c>
      <c r="I130" s="15"/>
      <c r="J130" s="15" t="s">
        <v>66</v>
      </c>
      <c r="K130" s="15" t="s">
        <v>1721</v>
      </c>
      <c r="L130" s="15" t="s">
        <v>1669</v>
      </c>
      <c r="M130" s="15"/>
      <c r="N130" s="15"/>
      <c r="O130" s="15"/>
      <c r="P130" s="15"/>
    </row>
    <row r="131" spans="1:16" x14ac:dyDescent="0.2">
      <c r="A131" s="15" t="s">
        <v>259</v>
      </c>
      <c r="B131" s="15" t="s">
        <v>254</v>
      </c>
      <c r="C131" s="15" t="s">
        <v>1169</v>
      </c>
      <c r="D131" s="15" t="s">
        <v>64</v>
      </c>
      <c r="E131" s="15"/>
      <c r="F131" s="15" t="s">
        <v>105</v>
      </c>
      <c r="G131" s="15"/>
      <c r="H131" s="15">
        <v>2</v>
      </c>
      <c r="I131" s="15"/>
      <c r="J131" s="15" t="s">
        <v>66</v>
      </c>
      <c r="K131" s="15" t="s">
        <v>1721</v>
      </c>
      <c r="L131" s="15" t="s">
        <v>260</v>
      </c>
      <c r="M131" s="15"/>
      <c r="N131" s="15"/>
      <c r="O131" s="15"/>
      <c r="P131" s="15"/>
    </row>
    <row r="132" spans="1:16" x14ac:dyDescent="0.2">
      <c r="A132" s="15" t="s">
        <v>261</v>
      </c>
      <c r="B132" s="15" t="s">
        <v>262</v>
      </c>
      <c r="C132" s="14" t="s">
        <v>323</v>
      </c>
      <c r="D132" s="15" t="s">
        <v>64</v>
      </c>
      <c r="E132" s="15" t="s">
        <v>66</v>
      </c>
      <c r="F132" s="15" t="s">
        <v>105</v>
      </c>
      <c r="G132" s="15"/>
      <c r="H132" s="15">
        <v>2</v>
      </c>
      <c r="I132" s="15"/>
      <c r="J132" s="15" t="s">
        <v>66</v>
      </c>
      <c r="K132" s="15"/>
      <c r="L132" s="15" t="s">
        <v>264</v>
      </c>
      <c r="M132" s="15"/>
      <c r="N132" s="15"/>
      <c r="O132" s="15"/>
      <c r="P132" s="15"/>
    </row>
    <row r="133" spans="1:16" x14ac:dyDescent="0.2">
      <c r="A133" s="15" t="s">
        <v>266</v>
      </c>
      <c r="B133" s="15" t="s">
        <v>267</v>
      </c>
      <c r="C133" s="15" t="s">
        <v>1176</v>
      </c>
      <c r="D133" s="15" t="s">
        <v>269</v>
      </c>
      <c r="E133" s="15" t="s">
        <v>450</v>
      </c>
      <c r="F133" s="15" t="s">
        <v>105</v>
      </c>
      <c r="G133" s="15"/>
      <c r="H133" s="15">
        <v>2</v>
      </c>
      <c r="I133" s="15"/>
      <c r="J133" s="15" t="s">
        <v>66</v>
      </c>
      <c r="K133" s="15" t="s">
        <v>1721</v>
      </c>
      <c r="L133" s="15" t="s">
        <v>1670</v>
      </c>
      <c r="M133" s="15"/>
      <c r="N133" s="15"/>
      <c r="O133" s="15"/>
      <c r="P133" s="15"/>
    </row>
    <row r="134" spans="1:16" x14ac:dyDescent="0.2">
      <c r="A134" s="15" t="s">
        <v>273</v>
      </c>
      <c r="B134" s="15" t="s">
        <v>267</v>
      </c>
      <c r="C134" s="15" t="s">
        <v>1182</v>
      </c>
      <c r="D134" s="15" t="s">
        <v>1612</v>
      </c>
      <c r="E134" s="15" t="s">
        <v>66</v>
      </c>
      <c r="F134" s="15" t="s">
        <v>105</v>
      </c>
      <c r="G134" s="15"/>
      <c r="H134" s="15">
        <v>2</v>
      </c>
      <c r="I134" s="15"/>
      <c r="J134" s="15" t="s">
        <v>66</v>
      </c>
      <c r="K134" s="15" t="s">
        <v>1722</v>
      </c>
      <c r="L134" s="15" t="s">
        <v>274</v>
      </c>
      <c r="M134" s="15"/>
      <c r="N134" s="15"/>
      <c r="O134" s="15"/>
      <c r="P134" s="15"/>
    </row>
    <row r="135" spans="1:16" x14ac:dyDescent="0.2">
      <c r="A135" s="15" t="s">
        <v>275</v>
      </c>
      <c r="B135" s="15" t="s">
        <v>276</v>
      </c>
      <c r="C135" s="14" t="s">
        <v>286</v>
      </c>
      <c r="D135" s="15" t="s">
        <v>64</v>
      </c>
      <c r="E135" s="15" t="s">
        <v>66</v>
      </c>
      <c r="F135" s="15" t="s">
        <v>67</v>
      </c>
      <c r="G135" s="15"/>
      <c r="H135" s="15">
        <v>1</v>
      </c>
      <c r="I135" s="15"/>
      <c r="J135" s="15" t="s">
        <v>66</v>
      </c>
      <c r="K135" s="15"/>
      <c r="L135" s="15" t="s">
        <v>279</v>
      </c>
      <c r="M135" s="15"/>
      <c r="N135" s="15"/>
      <c r="O135" s="15"/>
      <c r="P135" s="15"/>
    </row>
    <row r="136" spans="1:16" x14ac:dyDescent="0.2">
      <c r="A136" s="15" t="s">
        <v>281</v>
      </c>
      <c r="B136" s="15" t="s">
        <v>282</v>
      </c>
      <c r="C136" s="14" t="s">
        <v>1187</v>
      </c>
      <c r="D136" s="15" t="s">
        <v>64</v>
      </c>
      <c r="E136" s="15" t="s">
        <v>66</v>
      </c>
      <c r="F136" s="15" t="s">
        <v>67</v>
      </c>
      <c r="G136" s="15"/>
      <c r="H136" s="15">
        <v>1</v>
      </c>
      <c r="I136" s="15"/>
      <c r="J136" s="15" t="s">
        <v>66</v>
      </c>
      <c r="K136" s="15"/>
      <c r="L136" s="15" t="s">
        <v>284</v>
      </c>
      <c r="M136" s="15"/>
      <c r="N136" s="15"/>
      <c r="O136" s="15"/>
      <c r="P136" s="15"/>
    </row>
    <row r="137" spans="1:16" x14ac:dyDescent="0.2">
      <c r="A137" s="15" t="s">
        <v>287</v>
      </c>
      <c r="B137" s="15" t="s">
        <v>288</v>
      </c>
      <c r="C137" s="14" t="s">
        <v>1191</v>
      </c>
      <c r="D137" s="15" t="s">
        <v>64</v>
      </c>
      <c r="E137" s="15" t="s">
        <v>66</v>
      </c>
      <c r="F137" s="15" t="s">
        <v>67</v>
      </c>
      <c r="G137" s="15"/>
      <c r="H137" s="15">
        <v>2</v>
      </c>
      <c r="I137" s="15"/>
      <c r="J137" s="15" t="s">
        <v>66</v>
      </c>
      <c r="K137" s="15"/>
      <c r="L137" s="15" t="s">
        <v>290</v>
      </c>
      <c r="M137" s="15"/>
      <c r="N137" s="15"/>
      <c r="O137" s="15"/>
      <c r="P137" s="15"/>
    </row>
    <row r="138" spans="1:16" x14ac:dyDescent="0.2">
      <c r="A138" s="15" t="s">
        <v>294</v>
      </c>
      <c r="B138" s="15" t="s">
        <v>295</v>
      </c>
      <c r="C138" s="15" t="s">
        <v>1194</v>
      </c>
      <c r="D138" s="15" t="s">
        <v>64</v>
      </c>
      <c r="E138" s="15" t="s">
        <v>66</v>
      </c>
      <c r="F138" s="15" t="s">
        <v>67</v>
      </c>
      <c r="G138" s="15"/>
      <c r="H138" s="15">
        <v>1</v>
      </c>
      <c r="I138" s="15"/>
      <c r="J138" s="15" t="s">
        <v>107</v>
      </c>
      <c r="K138" s="15"/>
      <c r="L138" s="15" t="s">
        <v>1512</v>
      </c>
      <c r="M138" s="15"/>
      <c r="N138" s="15"/>
      <c r="O138" s="15"/>
      <c r="P138" s="15"/>
    </row>
    <row r="139" spans="1:16" x14ac:dyDescent="0.2">
      <c r="A139" s="15" t="s">
        <v>298</v>
      </c>
      <c r="B139" s="15" t="s">
        <v>295</v>
      </c>
      <c r="C139" s="15" t="s">
        <v>1198</v>
      </c>
      <c r="D139" s="15" t="s">
        <v>64</v>
      </c>
      <c r="E139" s="15"/>
      <c r="F139" s="15" t="s">
        <v>67</v>
      </c>
      <c r="G139" s="15"/>
      <c r="H139" s="15">
        <v>1</v>
      </c>
      <c r="I139" s="15"/>
      <c r="J139" s="15" t="s">
        <v>107</v>
      </c>
      <c r="K139" s="15"/>
      <c r="L139" s="15" t="s">
        <v>300</v>
      </c>
      <c r="M139" s="15"/>
      <c r="N139" s="15"/>
      <c r="O139" s="15"/>
      <c r="P139" s="15"/>
    </row>
    <row r="140" spans="1:16" x14ac:dyDescent="0.2">
      <c r="A140" s="15" t="s">
        <v>301</v>
      </c>
      <c r="B140" s="15" t="s">
        <v>295</v>
      </c>
      <c r="C140" s="15" t="s">
        <v>1200</v>
      </c>
      <c r="D140" s="15" t="s">
        <v>64</v>
      </c>
      <c r="E140" s="15"/>
      <c r="F140" s="15" t="s">
        <v>67</v>
      </c>
      <c r="G140" s="15"/>
      <c r="H140" s="15">
        <v>1</v>
      </c>
      <c r="I140" s="15"/>
      <c r="J140" s="15" t="s">
        <v>107</v>
      </c>
      <c r="K140" s="15"/>
      <c r="L140" s="15" t="s">
        <v>303</v>
      </c>
      <c r="M140" s="15"/>
      <c r="N140" s="15"/>
      <c r="O140" s="15"/>
      <c r="P140" s="15"/>
    </row>
    <row r="141" spans="1:16" x14ac:dyDescent="0.2">
      <c r="A141" s="15" t="s">
        <v>304</v>
      </c>
      <c r="B141" s="15" t="s">
        <v>295</v>
      </c>
      <c r="C141" s="15" t="s">
        <v>1202</v>
      </c>
      <c r="D141" s="15" t="s">
        <v>64</v>
      </c>
      <c r="E141" s="15"/>
      <c r="F141" s="15" t="s">
        <v>67</v>
      </c>
      <c r="G141" s="15"/>
      <c r="H141" s="15">
        <v>1</v>
      </c>
      <c r="I141" s="15"/>
      <c r="J141" s="15" t="s">
        <v>107</v>
      </c>
      <c r="K141" s="15"/>
      <c r="L141" s="15" t="s">
        <v>305</v>
      </c>
      <c r="M141" s="15"/>
      <c r="N141" s="15"/>
      <c r="O141" s="15"/>
      <c r="P141" s="15"/>
    </row>
    <row r="142" spans="1:16" x14ac:dyDescent="0.2">
      <c r="A142" s="15" t="s">
        <v>306</v>
      </c>
      <c r="B142" s="15" t="s">
        <v>307</v>
      </c>
      <c r="C142" s="14" t="s">
        <v>1204</v>
      </c>
      <c r="D142" s="15" t="s">
        <v>64</v>
      </c>
      <c r="E142" s="15" t="s">
        <v>66</v>
      </c>
      <c r="F142" s="15" t="s">
        <v>175</v>
      </c>
      <c r="G142" s="15"/>
      <c r="H142" s="15">
        <v>3</v>
      </c>
      <c r="I142" s="15"/>
      <c r="J142" s="15" t="s">
        <v>107</v>
      </c>
      <c r="K142" s="15" t="s">
        <v>313</v>
      </c>
      <c r="L142" s="15" t="s">
        <v>311</v>
      </c>
      <c r="M142" s="15"/>
      <c r="N142" s="15"/>
      <c r="O142" s="15"/>
      <c r="P142" s="15"/>
    </row>
    <row r="143" spans="1:16" x14ac:dyDescent="0.2">
      <c r="A143" s="15" t="s">
        <v>316</v>
      </c>
      <c r="B143" s="15" t="s">
        <v>317</v>
      </c>
      <c r="C143" s="14" t="s">
        <v>1208</v>
      </c>
      <c r="D143" s="15" t="s">
        <v>64</v>
      </c>
      <c r="E143" s="15" t="s">
        <v>66</v>
      </c>
      <c r="F143" s="15" t="s">
        <v>175</v>
      </c>
      <c r="G143" s="15"/>
      <c r="H143" s="15">
        <v>1</v>
      </c>
      <c r="I143" s="15"/>
      <c r="J143" s="15" t="s">
        <v>66</v>
      </c>
      <c r="K143" s="15" t="s">
        <v>322</v>
      </c>
      <c r="L143" s="15" t="s">
        <v>1513</v>
      </c>
      <c r="M143" s="15"/>
      <c r="N143" s="15"/>
      <c r="O143" s="15"/>
      <c r="P143" s="15"/>
    </row>
    <row r="144" spans="1:16" x14ac:dyDescent="0.2">
      <c r="A144" s="15" t="s">
        <v>325</v>
      </c>
      <c r="B144" s="15" t="s">
        <v>326</v>
      </c>
      <c r="C144" s="14" t="s">
        <v>1211</v>
      </c>
      <c r="D144" s="15" t="s">
        <v>64</v>
      </c>
      <c r="E144" s="15" t="s">
        <v>66</v>
      </c>
      <c r="F144" s="15" t="s">
        <v>175</v>
      </c>
      <c r="G144" s="15"/>
      <c r="H144" s="15">
        <v>1</v>
      </c>
      <c r="I144" s="15"/>
      <c r="J144" s="15" t="s">
        <v>66</v>
      </c>
      <c r="K144" s="15" t="s">
        <v>330</v>
      </c>
      <c r="L144" s="15" t="s">
        <v>1514</v>
      </c>
      <c r="M144" s="15"/>
      <c r="N144" s="15"/>
      <c r="O144" s="15"/>
      <c r="P144" s="15"/>
    </row>
    <row r="145" spans="1:16" x14ac:dyDescent="0.2">
      <c r="A145" s="15" t="s">
        <v>332</v>
      </c>
      <c r="B145" s="15" t="s">
        <v>333</v>
      </c>
      <c r="C145" s="14" t="s">
        <v>1214</v>
      </c>
      <c r="D145" s="15" t="s">
        <v>64</v>
      </c>
      <c r="E145" s="15" t="s">
        <v>66</v>
      </c>
      <c r="F145" s="15" t="s">
        <v>175</v>
      </c>
      <c r="G145" s="15"/>
      <c r="H145" s="15">
        <v>1</v>
      </c>
      <c r="I145" s="15"/>
      <c r="J145" s="15" t="s">
        <v>66</v>
      </c>
      <c r="K145" s="15"/>
      <c r="L145" s="15" t="s">
        <v>337</v>
      </c>
      <c r="M145" s="15"/>
      <c r="N145" s="15"/>
      <c r="O145" s="15"/>
      <c r="P145" s="15"/>
    </row>
    <row r="146" spans="1:16" x14ac:dyDescent="0.2">
      <c r="A146" s="15" t="s">
        <v>340</v>
      </c>
      <c r="B146" s="15" t="s">
        <v>341</v>
      </c>
      <c r="C146" s="14" t="s">
        <v>1217</v>
      </c>
      <c r="D146" s="15" t="s">
        <v>64</v>
      </c>
      <c r="E146" s="15" t="s">
        <v>66</v>
      </c>
      <c r="F146" s="15" t="s">
        <v>175</v>
      </c>
      <c r="G146" s="15"/>
      <c r="H146" s="15">
        <v>1</v>
      </c>
      <c r="I146" s="15"/>
      <c r="J146" s="15" t="s">
        <v>66</v>
      </c>
      <c r="K146" s="15"/>
      <c r="L146" s="15" t="s">
        <v>344</v>
      </c>
      <c r="M146" s="15"/>
      <c r="N146" s="15"/>
      <c r="O146" s="15"/>
      <c r="P146" s="15"/>
    </row>
    <row r="147" spans="1:16" x14ac:dyDescent="0.2">
      <c r="A147" s="15" t="s">
        <v>347</v>
      </c>
      <c r="B147" s="15" t="s">
        <v>348</v>
      </c>
      <c r="C147" s="14" t="s">
        <v>1221</v>
      </c>
      <c r="D147" s="15" t="s">
        <v>64</v>
      </c>
      <c r="E147" s="15" t="s">
        <v>66</v>
      </c>
      <c r="F147" s="15" t="s">
        <v>175</v>
      </c>
      <c r="G147" s="15"/>
      <c r="H147" s="15">
        <v>1</v>
      </c>
      <c r="I147" s="15"/>
      <c r="J147" s="15" t="s">
        <v>66</v>
      </c>
      <c r="K147" s="15"/>
      <c r="L147" s="15" t="s">
        <v>351</v>
      </c>
      <c r="M147" s="15"/>
      <c r="N147" s="15"/>
      <c r="O147" s="15"/>
      <c r="P147" s="15"/>
    </row>
    <row r="148" spans="1:16" x14ac:dyDescent="0.2">
      <c r="A148" s="15" t="s">
        <v>354</v>
      </c>
      <c r="B148" s="15" t="s">
        <v>355</v>
      </c>
      <c r="C148" s="14" t="s">
        <v>1224</v>
      </c>
      <c r="D148" s="15" t="s">
        <v>64</v>
      </c>
      <c r="E148" s="15" t="s">
        <v>66</v>
      </c>
      <c r="F148" s="15" t="s">
        <v>175</v>
      </c>
      <c r="G148" s="15"/>
      <c r="H148" s="15">
        <v>4</v>
      </c>
      <c r="I148" s="15"/>
      <c r="J148" s="15" t="s">
        <v>66</v>
      </c>
      <c r="K148" s="15"/>
      <c r="L148" s="15" t="s">
        <v>358</v>
      </c>
      <c r="M148" s="15"/>
      <c r="N148" s="15"/>
      <c r="O148" s="15"/>
      <c r="P148" s="15"/>
    </row>
    <row r="149" spans="1:16" x14ac:dyDescent="0.2">
      <c r="A149" s="15" t="s">
        <v>361</v>
      </c>
      <c r="B149" s="15" t="s">
        <v>362</v>
      </c>
      <c r="C149" s="15" t="s">
        <v>1228</v>
      </c>
      <c r="D149" s="15" t="s">
        <v>366</v>
      </c>
      <c r="E149" s="15" t="s">
        <v>66</v>
      </c>
      <c r="F149" s="15" t="s">
        <v>67</v>
      </c>
      <c r="G149" s="15"/>
      <c r="H149" s="15">
        <v>3</v>
      </c>
      <c r="I149" s="15" t="s">
        <v>208</v>
      </c>
      <c r="J149" s="15" t="s">
        <v>66</v>
      </c>
      <c r="K149" s="15"/>
      <c r="L149" s="15" t="s">
        <v>1515</v>
      </c>
      <c r="M149" s="15"/>
      <c r="N149" s="15"/>
      <c r="O149" s="15"/>
      <c r="P149" s="15"/>
    </row>
    <row r="150" spans="1:16" x14ac:dyDescent="0.2">
      <c r="A150" s="15" t="s">
        <v>370</v>
      </c>
      <c r="B150" s="15" t="s">
        <v>362</v>
      </c>
      <c r="C150" s="15" t="s">
        <v>1015</v>
      </c>
      <c r="D150" s="15" t="s">
        <v>371</v>
      </c>
      <c r="E150" s="15" t="s">
        <v>1962</v>
      </c>
      <c r="F150" s="15" t="s">
        <v>67</v>
      </c>
      <c r="G150" s="15"/>
      <c r="H150" s="15">
        <v>3</v>
      </c>
      <c r="I150" s="15"/>
      <c r="J150" s="15" t="s">
        <v>66</v>
      </c>
      <c r="K150" s="15" t="s">
        <v>373</v>
      </c>
      <c r="L150" s="15" t="s">
        <v>372</v>
      </c>
      <c r="M150" s="15"/>
      <c r="N150" s="15"/>
      <c r="O150" s="15"/>
      <c r="P150" s="15"/>
    </row>
    <row r="151" spans="1:16" x14ac:dyDescent="0.2">
      <c r="A151" s="15" t="s">
        <v>374</v>
      </c>
      <c r="B151" s="15" t="s">
        <v>362</v>
      </c>
      <c r="C151" s="15" t="s">
        <v>1235</v>
      </c>
      <c r="D151" s="15" t="s">
        <v>375</v>
      </c>
      <c r="E151" s="15"/>
      <c r="F151" s="15" t="s">
        <v>67</v>
      </c>
      <c r="G151" s="15"/>
      <c r="H151" s="15">
        <v>3</v>
      </c>
      <c r="I151" s="15"/>
      <c r="J151" s="15" t="s">
        <v>66</v>
      </c>
      <c r="K151" s="15" t="s">
        <v>373</v>
      </c>
      <c r="L151" s="15" t="s">
        <v>376</v>
      </c>
      <c r="M151" s="15"/>
      <c r="N151" s="15"/>
      <c r="O151" s="15"/>
      <c r="P151" s="15"/>
    </row>
    <row r="152" spans="1:16" x14ac:dyDescent="0.2">
      <c r="A152" s="15" t="s">
        <v>377</v>
      </c>
      <c r="B152" s="15" t="s">
        <v>362</v>
      </c>
      <c r="C152" s="15" t="s">
        <v>1239</v>
      </c>
      <c r="D152" s="15" t="s">
        <v>378</v>
      </c>
      <c r="E152" s="15"/>
      <c r="F152" s="15" t="s">
        <v>67</v>
      </c>
      <c r="G152" s="15"/>
      <c r="H152" s="15">
        <v>3</v>
      </c>
      <c r="I152" s="15"/>
      <c r="J152" s="15" t="s">
        <v>66</v>
      </c>
      <c r="K152" s="15"/>
      <c r="L152" s="15" t="s">
        <v>379</v>
      </c>
      <c r="M152" s="15"/>
      <c r="N152" s="15"/>
      <c r="O152" s="15"/>
      <c r="P152" s="15"/>
    </row>
    <row r="153" spans="1:16" x14ac:dyDescent="0.2">
      <c r="A153" s="15" t="s">
        <v>380</v>
      </c>
      <c r="B153" s="15" t="s">
        <v>362</v>
      </c>
      <c r="C153" s="15" t="s">
        <v>1242</v>
      </c>
      <c r="D153" s="15" t="s">
        <v>381</v>
      </c>
      <c r="E153" s="15"/>
      <c r="F153" s="15" t="s">
        <v>67</v>
      </c>
      <c r="G153" s="15"/>
      <c r="H153" s="15">
        <v>3</v>
      </c>
      <c r="I153" s="15"/>
      <c r="J153" s="15" t="s">
        <v>66</v>
      </c>
      <c r="K153" s="15"/>
      <c r="L153" s="15" t="s">
        <v>382</v>
      </c>
      <c r="M153" s="15"/>
      <c r="N153" s="15"/>
      <c r="O153" s="15"/>
      <c r="P153" s="15"/>
    </row>
    <row r="154" spans="1:16" x14ac:dyDescent="0.2">
      <c r="A154" s="15" t="s">
        <v>383</v>
      </c>
      <c r="B154" s="15" t="s">
        <v>362</v>
      </c>
      <c r="C154" s="15" t="s">
        <v>1246</v>
      </c>
      <c r="D154" s="15" t="s">
        <v>384</v>
      </c>
      <c r="E154" s="15"/>
      <c r="F154" s="15" t="s">
        <v>67</v>
      </c>
      <c r="G154" s="15"/>
      <c r="H154" s="15">
        <v>2</v>
      </c>
      <c r="I154" s="15"/>
      <c r="J154" s="15" t="s">
        <v>66</v>
      </c>
      <c r="K154" s="15"/>
      <c r="L154" s="15" t="s">
        <v>385</v>
      </c>
      <c r="M154" s="15"/>
      <c r="N154" s="15"/>
      <c r="O154" s="15"/>
      <c r="P154" s="15"/>
    </row>
    <row r="155" spans="1:16" x14ac:dyDescent="0.2">
      <c r="A155" s="15" t="s">
        <v>386</v>
      </c>
      <c r="B155" s="15" t="s">
        <v>362</v>
      </c>
      <c r="C155" s="15" t="s">
        <v>1250</v>
      </c>
      <c r="D155" s="15" t="s">
        <v>387</v>
      </c>
      <c r="E155" s="15"/>
      <c r="F155" s="15" t="s">
        <v>67</v>
      </c>
      <c r="G155" s="15"/>
      <c r="H155" s="15">
        <v>2</v>
      </c>
      <c r="I155" s="14" t="s">
        <v>20</v>
      </c>
      <c r="J155" s="15" t="s">
        <v>66</v>
      </c>
      <c r="K155" s="15"/>
      <c r="L155" s="15" t="s">
        <v>388</v>
      </c>
      <c r="M155" s="15"/>
      <c r="N155" s="15"/>
      <c r="O155" s="15"/>
      <c r="P155" s="15"/>
    </row>
    <row r="156" spans="1:16" x14ac:dyDescent="0.2">
      <c r="A156" s="15" t="s">
        <v>389</v>
      </c>
      <c r="B156" s="15" t="s">
        <v>362</v>
      </c>
      <c r="C156" s="15" t="s">
        <v>1254</v>
      </c>
      <c r="D156" s="15" t="s">
        <v>390</v>
      </c>
      <c r="E156" s="15"/>
      <c r="F156" s="15" t="s">
        <v>67</v>
      </c>
      <c r="G156" s="15"/>
      <c r="H156" s="15">
        <v>2</v>
      </c>
      <c r="I156" s="15"/>
      <c r="J156" s="15" t="s">
        <v>66</v>
      </c>
      <c r="K156" s="15" t="s">
        <v>392</v>
      </c>
      <c r="L156" s="15" t="s">
        <v>391</v>
      </c>
      <c r="M156" s="15"/>
      <c r="N156" s="15"/>
      <c r="O156" s="15"/>
      <c r="P156" s="15"/>
    </row>
    <row r="157" spans="1:16" x14ac:dyDescent="0.2">
      <c r="A157" s="15" t="s">
        <v>393</v>
      </c>
      <c r="B157" s="15" t="s">
        <v>362</v>
      </c>
      <c r="C157" s="15" t="s">
        <v>1258</v>
      </c>
      <c r="D157" s="15" t="s">
        <v>394</v>
      </c>
      <c r="E157" s="15" t="s">
        <v>1962</v>
      </c>
      <c r="F157" s="15" t="s">
        <v>67</v>
      </c>
      <c r="G157" s="15"/>
      <c r="H157" s="15">
        <v>2</v>
      </c>
      <c r="I157" s="15"/>
      <c r="J157" s="15" t="s">
        <v>66</v>
      </c>
      <c r="K157" s="15" t="s">
        <v>373</v>
      </c>
      <c r="L157" s="15" t="s">
        <v>388</v>
      </c>
      <c r="M157" s="15"/>
      <c r="N157" s="15"/>
      <c r="O157" s="15"/>
      <c r="P157" s="15"/>
    </row>
    <row r="158" spans="1:16" x14ac:dyDescent="0.2">
      <c r="A158" s="15" t="s">
        <v>395</v>
      </c>
      <c r="B158" s="15" t="s">
        <v>362</v>
      </c>
      <c r="C158" s="15" t="s">
        <v>1262</v>
      </c>
      <c r="D158" s="15" t="s">
        <v>396</v>
      </c>
      <c r="E158" s="15"/>
      <c r="F158" s="15" t="s">
        <v>67</v>
      </c>
      <c r="G158" s="15"/>
      <c r="H158" s="15">
        <v>2</v>
      </c>
      <c r="I158" s="15"/>
      <c r="J158" s="15" t="s">
        <v>66</v>
      </c>
      <c r="K158" s="15" t="s">
        <v>392</v>
      </c>
      <c r="L158" s="15" t="s">
        <v>391</v>
      </c>
      <c r="M158" s="15"/>
      <c r="N158" s="15"/>
      <c r="O158" s="15"/>
      <c r="P158" s="15"/>
    </row>
    <row r="159" spans="1:16" x14ac:dyDescent="0.2">
      <c r="A159" s="15" t="s">
        <v>397</v>
      </c>
      <c r="B159" s="15" t="s">
        <v>362</v>
      </c>
      <c r="C159" s="15" t="s">
        <v>1266</v>
      </c>
      <c r="D159" s="15" t="s">
        <v>398</v>
      </c>
      <c r="E159" s="15"/>
      <c r="F159" s="15" t="s">
        <v>67</v>
      </c>
      <c r="G159" s="15"/>
      <c r="H159" s="15">
        <v>2</v>
      </c>
      <c r="I159" s="15"/>
      <c r="J159" s="15" t="s">
        <v>66</v>
      </c>
      <c r="K159" s="15" t="s">
        <v>373</v>
      </c>
      <c r="L159" s="15" t="s">
        <v>388</v>
      </c>
      <c r="M159" s="15"/>
      <c r="N159" s="15"/>
      <c r="O159" s="15"/>
      <c r="P159" s="15"/>
    </row>
    <row r="160" spans="1:16" x14ac:dyDescent="0.2">
      <c r="A160" s="15" t="s">
        <v>399</v>
      </c>
      <c r="B160" s="15" t="s">
        <v>362</v>
      </c>
      <c r="C160" s="15" t="s">
        <v>1270</v>
      </c>
      <c r="D160" s="15" t="s">
        <v>400</v>
      </c>
      <c r="E160" s="15"/>
      <c r="F160" s="15" t="s">
        <v>67</v>
      </c>
      <c r="G160" s="15"/>
      <c r="H160" s="15">
        <v>2</v>
      </c>
      <c r="I160" s="15"/>
      <c r="J160" s="15" t="s">
        <v>66</v>
      </c>
      <c r="K160" s="15"/>
      <c r="L160" s="15" t="s">
        <v>401</v>
      </c>
      <c r="M160" s="15"/>
      <c r="N160" s="15"/>
      <c r="O160" s="15"/>
      <c r="P160" s="15"/>
    </row>
    <row r="161" spans="1:16" x14ac:dyDescent="0.2">
      <c r="A161" s="15" t="s">
        <v>402</v>
      </c>
      <c r="B161" s="15" t="s">
        <v>362</v>
      </c>
      <c r="C161" s="15" t="s">
        <v>1274</v>
      </c>
      <c r="D161" s="15" t="s">
        <v>403</v>
      </c>
      <c r="E161" s="15"/>
      <c r="F161" s="15" t="s">
        <v>67</v>
      </c>
      <c r="G161" s="15"/>
      <c r="H161" s="15">
        <v>2</v>
      </c>
      <c r="I161" s="15"/>
      <c r="J161" s="15" t="s">
        <v>66</v>
      </c>
      <c r="K161" s="15"/>
      <c r="L161" s="15" t="s">
        <v>388</v>
      </c>
      <c r="M161" s="15"/>
      <c r="N161" s="15"/>
      <c r="O161" s="15"/>
      <c r="P161" s="15"/>
    </row>
    <row r="162" spans="1:16" x14ac:dyDescent="0.2">
      <c r="A162" s="15" t="s">
        <v>404</v>
      </c>
      <c r="B162" s="15" t="s">
        <v>362</v>
      </c>
      <c r="C162" s="15" t="s">
        <v>1277</v>
      </c>
      <c r="D162" s="15" t="s">
        <v>405</v>
      </c>
      <c r="E162" s="15"/>
      <c r="F162" s="15" t="s">
        <v>67</v>
      </c>
      <c r="G162" s="15"/>
      <c r="H162" s="15">
        <v>2</v>
      </c>
      <c r="I162" s="15"/>
      <c r="J162" s="15" t="s">
        <v>66</v>
      </c>
      <c r="K162" s="15"/>
      <c r="L162" s="15" t="s">
        <v>406</v>
      </c>
      <c r="M162" s="15"/>
      <c r="N162" s="15"/>
      <c r="O162" s="15"/>
      <c r="P162" s="15"/>
    </row>
    <row r="163" spans="1:16" x14ac:dyDescent="0.2">
      <c r="A163" s="15" t="s">
        <v>407</v>
      </c>
      <c r="B163" s="15" t="s">
        <v>362</v>
      </c>
      <c r="C163" s="15" t="s">
        <v>1281</v>
      </c>
      <c r="D163" s="15" t="s">
        <v>408</v>
      </c>
      <c r="E163" s="15"/>
      <c r="F163" s="15" t="s">
        <v>67</v>
      </c>
      <c r="G163" s="15"/>
      <c r="H163" s="15">
        <v>2</v>
      </c>
      <c r="I163" s="15"/>
      <c r="J163" s="15" t="s">
        <v>66</v>
      </c>
      <c r="K163" s="15"/>
      <c r="L163" s="15" t="s">
        <v>388</v>
      </c>
      <c r="M163" s="15"/>
      <c r="N163" s="15"/>
      <c r="O163" s="15"/>
      <c r="P163" s="15"/>
    </row>
    <row r="164" spans="1:16" x14ac:dyDescent="0.2">
      <c r="A164" s="15" t="s">
        <v>409</v>
      </c>
      <c r="B164" s="15" t="s">
        <v>410</v>
      </c>
      <c r="C164" s="15" t="s">
        <v>1285</v>
      </c>
      <c r="D164" s="15" t="s">
        <v>412</v>
      </c>
      <c r="E164" s="15" t="s">
        <v>66</v>
      </c>
      <c r="F164" s="15" t="s">
        <v>67</v>
      </c>
      <c r="G164" s="15"/>
      <c r="H164" s="15">
        <v>2</v>
      </c>
      <c r="I164" s="15" t="s">
        <v>208</v>
      </c>
      <c r="J164" s="15" t="s">
        <v>66</v>
      </c>
      <c r="K164" s="15"/>
      <c r="L164" s="15" t="s">
        <v>1516</v>
      </c>
      <c r="M164" s="15"/>
      <c r="N164" s="15"/>
      <c r="O164" s="15"/>
      <c r="P164" s="15"/>
    </row>
    <row r="165" spans="1:16" x14ac:dyDescent="0.2">
      <c r="A165" s="15" t="s">
        <v>415</v>
      </c>
      <c r="B165" s="15" t="s">
        <v>410</v>
      </c>
      <c r="C165" s="15" t="s">
        <v>1290</v>
      </c>
      <c r="D165" s="15" t="s">
        <v>416</v>
      </c>
      <c r="E165" s="15"/>
      <c r="F165" s="15" t="s">
        <v>67</v>
      </c>
      <c r="G165" s="15"/>
      <c r="H165" s="15">
        <v>2</v>
      </c>
      <c r="I165" s="14" t="s">
        <v>20</v>
      </c>
      <c r="J165" s="15" t="s">
        <v>66</v>
      </c>
      <c r="K165" s="15"/>
      <c r="L165" s="15" t="s">
        <v>417</v>
      </c>
      <c r="M165" s="15"/>
      <c r="N165" s="15"/>
      <c r="O165" s="15"/>
      <c r="P165" s="15"/>
    </row>
    <row r="166" spans="1:16" x14ac:dyDescent="0.2">
      <c r="A166" s="15" t="s">
        <v>418</v>
      </c>
      <c r="B166" s="15" t="s">
        <v>419</v>
      </c>
      <c r="C166" s="14" t="s">
        <v>1648</v>
      </c>
      <c r="D166" s="15" t="s">
        <v>1667</v>
      </c>
      <c r="E166" s="15" t="s">
        <v>66</v>
      </c>
      <c r="F166" s="15" t="s">
        <v>67</v>
      </c>
      <c r="G166" s="15"/>
      <c r="H166" s="15">
        <v>3</v>
      </c>
      <c r="I166" s="15" t="s">
        <v>208</v>
      </c>
      <c r="J166" s="15" t="s">
        <v>66</v>
      </c>
      <c r="K166" s="15"/>
      <c r="L166" s="15" t="s">
        <v>421</v>
      </c>
      <c r="M166" s="15"/>
      <c r="N166" s="15"/>
      <c r="O166" s="15"/>
      <c r="P166" s="15"/>
    </row>
    <row r="167" spans="1:16" x14ac:dyDescent="0.2">
      <c r="A167" s="15" t="s">
        <v>1630</v>
      </c>
      <c r="B167" s="15" t="s">
        <v>419</v>
      </c>
      <c r="C167" s="14" t="s">
        <v>1626</v>
      </c>
      <c r="D167" s="15" t="s">
        <v>1660</v>
      </c>
      <c r="E167" s="15"/>
      <c r="F167" s="15" t="s">
        <v>67</v>
      </c>
      <c r="G167" s="15"/>
      <c r="H167" s="15">
        <v>2</v>
      </c>
      <c r="I167" s="15"/>
      <c r="J167" s="15" t="s">
        <v>66</v>
      </c>
      <c r="K167" s="15"/>
      <c r="L167" s="15" t="s">
        <v>1661</v>
      </c>
      <c r="M167" s="15"/>
      <c r="N167" s="15"/>
      <c r="O167" s="15"/>
      <c r="P167" s="15"/>
    </row>
    <row r="168" spans="1:16" x14ac:dyDescent="0.2">
      <c r="A168" s="15" t="s">
        <v>423</v>
      </c>
      <c r="B168" s="15" t="s">
        <v>424</v>
      </c>
      <c r="C168" s="14" t="s">
        <v>414</v>
      </c>
      <c r="D168" s="15" t="s">
        <v>64</v>
      </c>
      <c r="E168" s="15" t="s">
        <v>66</v>
      </c>
      <c r="F168" s="15" t="s">
        <v>67</v>
      </c>
      <c r="G168" s="15"/>
      <c r="H168" s="15">
        <v>3</v>
      </c>
      <c r="I168" s="15"/>
      <c r="J168" s="15" t="s">
        <v>66</v>
      </c>
      <c r="K168" s="15"/>
      <c r="L168" s="15" t="s">
        <v>426</v>
      </c>
      <c r="M168" s="15"/>
      <c r="N168" s="15"/>
      <c r="O168" s="15"/>
      <c r="P168" s="15"/>
    </row>
    <row r="169" spans="1:16" x14ac:dyDescent="0.2">
      <c r="A169" s="15" t="s">
        <v>427</v>
      </c>
      <c r="B169" s="15" t="s">
        <v>428</v>
      </c>
      <c r="C169" s="14" t="s">
        <v>367</v>
      </c>
      <c r="D169" s="15" t="s">
        <v>64</v>
      </c>
      <c r="E169" s="15" t="s">
        <v>66</v>
      </c>
      <c r="F169" s="15" t="s">
        <v>67</v>
      </c>
      <c r="G169" s="15"/>
      <c r="H169" s="15">
        <v>3</v>
      </c>
      <c r="I169" s="15"/>
      <c r="J169" s="15" t="s">
        <v>66</v>
      </c>
      <c r="K169" s="15"/>
      <c r="L169" s="15" t="s">
        <v>430</v>
      </c>
      <c r="M169" s="15"/>
      <c r="N169" s="15"/>
      <c r="O169" s="15"/>
      <c r="P169" s="15"/>
    </row>
    <row r="170" spans="1:16" x14ac:dyDescent="0.2">
      <c r="A170" s="15" t="s">
        <v>432</v>
      </c>
      <c r="B170" s="15" t="s">
        <v>433</v>
      </c>
      <c r="C170" s="15" t="s">
        <v>1302</v>
      </c>
      <c r="D170" s="15" t="s">
        <v>114</v>
      </c>
      <c r="E170" s="15"/>
      <c r="F170" s="15" t="s">
        <v>116</v>
      </c>
      <c r="G170" s="15"/>
      <c r="H170" s="15">
        <v>3</v>
      </c>
      <c r="I170" s="15"/>
      <c r="J170" s="15" t="s">
        <v>107</v>
      </c>
      <c r="K170" s="15"/>
      <c r="L170" s="15" t="s">
        <v>436</v>
      </c>
      <c r="M170" s="15"/>
      <c r="N170" s="15"/>
      <c r="O170" s="15"/>
      <c r="P170" s="15"/>
    </row>
    <row r="171" spans="1:16" x14ac:dyDescent="0.2">
      <c r="A171" s="15" t="s">
        <v>439</v>
      </c>
      <c r="B171" s="15" t="s">
        <v>433</v>
      </c>
      <c r="C171" s="15" t="s">
        <v>1306</v>
      </c>
      <c r="D171" s="15" t="s">
        <v>118</v>
      </c>
      <c r="E171" s="15" t="s">
        <v>66</v>
      </c>
      <c r="F171" s="15" t="s">
        <v>116</v>
      </c>
      <c r="G171" s="15"/>
      <c r="H171" s="15">
        <v>3</v>
      </c>
      <c r="I171" s="15"/>
      <c r="J171" s="15" t="s">
        <v>107</v>
      </c>
      <c r="K171" s="15"/>
      <c r="L171" s="15" t="s">
        <v>440</v>
      </c>
      <c r="M171" s="15"/>
      <c r="N171" s="15"/>
      <c r="O171" s="15"/>
      <c r="P171" s="15"/>
    </row>
    <row r="172" spans="1:16" x14ac:dyDescent="0.2">
      <c r="A172" s="15" t="s">
        <v>441</v>
      </c>
      <c r="B172" s="15" t="s">
        <v>433</v>
      </c>
      <c r="C172" s="15" t="s">
        <v>1310</v>
      </c>
      <c r="D172" s="15" t="s">
        <v>119</v>
      </c>
      <c r="E172" s="15"/>
      <c r="F172" s="15" t="s">
        <v>116</v>
      </c>
      <c r="G172" s="15"/>
      <c r="H172" s="15">
        <v>3</v>
      </c>
      <c r="I172" s="15"/>
      <c r="J172" s="15" t="s">
        <v>107</v>
      </c>
      <c r="K172" s="15"/>
      <c r="L172" s="15" t="s">
        <v>442</v>
      </c>
      <c r="M172" s="15"/>
      <c r="N172" s="15"/>
      <c r="O172" s="15"/>
      <c r="P172" s="15"/>
    </row>
    <row r="173" spans="1:16" x14ac:dyDescent="0.2">
      <c r="A173" s="15" t="s">
        <v>443</v>
      </c>
      <c r="B173" s="15" t="s">
        <v>444</v>
      </c>
      <c r="C173" s="15" t="s">
        <v>1313</v>
      </c>
      <c r="D173" s="15" t="s">
        <v>412</v>
      </c>
      <c r="E173" s="15" t="s">
        <v>66</v>
      </c>
      <c r="F173" s="15" t="s">
        <v>67</v>
      </c>
      <c r="G173" s="15"/>
      <c r="H173" s="15">
        <v>3</v>
      </c>
      <c r="I173" s="15" t="s">
        <v>208</v>
      </c>
      <c r="J173" s="15" t="s">
        <v>66</v>
      </c>
      <c r="K173" s="15" t="s">
        <v>1723</v>
      </c>
      <c r="L173" s="15" t="s">
        <v>446</v>
      </c>
      <c r="M173" s="15"/>
      <c r="N173" s="15"/>
      <c r="O173" s="15"/>
      <c r="P173" s="15"/>
    </row>
    <row r="174" spans="1:16" x14ac:dyDescent="0.2">
      <c r="A174" s="15" t="s">
        <v>449</v>
      </c>
      <c r="B174" s="15" t="s">
        <v>444</v>
      </c>
      <c r="C174" s="15" t="s">
        <v>1317</v>
      </c>
      <c r="D174" s="15" t="s">
        <v>412</v>
      </c>
      <c r="E174" s="15"/>
      <c r="F174" s="15" t="s">
        <v>67</v>
      </c>
      <c r="G174" s="15"/>
      <c r="H174" s="15">
        <v>3</v>
      </c>
      <c r="I174" s="15" t="s">
        <v>208</v>
      </c>
      <c r="J174" s="15" t="s">
        <v>66</v>
      </c>
      <c r="K174" s="15" t="s">
        <v>1723</v>
      </c>
      <c r="L174" s="15" t="s">
        <v>1671</v>
      </c>
      <c r="M174" s="15"/>
      <c r="N174" s="15"/>
      <c r="O174" s="15"/>
      <c r="P174" s="15"/>
    </row>
    <row r="175" spans="1:16" x14ac:dyDescent="0.2">
      <c r="A175" s="15" t="s">
        <v>451</v>
      </c>
      <c r="B175" s="15" t="s">
        <v>444</v>
      </c>
      <c r="C175" s="15" t="s">
        <v>1320</v>
      </c>
      <c r="D175" s="15" t="s">
        <v>452</v>
      </c>
      <c r="E175" s="15"/>
      <c r="F175" s="15" t="s">
        <v>67</v>
      </c>
      <c r="G175" s="15"/>
      <c r="H175" s="15">
        <v>2</v>
      </c>
      <c r="I175" s="14" t="s">
        <v>20</v>
      </c>
      <c r="J175" s="15" t="s">
        <v>66</v>
      </c>
      <c r="K175" s="15"/>
      <c r="L175" s="15" t="s">
        <v>453</v>
      </c>
      <c r="M175" s="15"/>
      <c r="N175" s="15"/>
      <c r="O175" s="15"/>
      <c r="P175" s="15"/>
    </row>
    <row r="176" spans="1:16" x14ac:dyDescent="0.2">
      <c r="A176" s="15" t="s">
        <v>454</v>
      </c>
      <c r="B176" s="15" t="s">
        <v>455</v>
      </c>
      <c r="C176" s="15" t="s">
        <v>1323</v>
      </c>
      <c r="D176" s="15" t="s">
        <v>412</v>
      </c>
      <c r="E176" s="15" t="s">
        <v>66</v>
      </c>
      <c r="F176" s="15" t="s">
        <v>67</v>
      </c>
      <c r="G176" s="15"/>
      <c r="H176" s="15">
        <v>2</v>
      </c>
      <c r="I176" s="15" t="s">
        <v>208</v>
      </c>
      <c r="J176" s="15" t="s">
        <v>66</v>
      </c>
      <c r="K176" s="15"/>
      <c r="L176" s="15" t="s">
        <v>457</v>
      </c>
      <c r="M176" s="15"/>
      <c r="N176" s="15"/>
      <c r="O176" s="15"/>
      <c r="P176" s="15"/>
    </row>
    <row r="177" spans="1:16" x14ac:dyDescent="0.2">
      <c r="A177" s="15" t="s">
        <v>459</v>
      </c>
      <c r="B177" s="15" t="s">
        <v>455</v>
      </c>
      <c r="C177" s="15" t="s">
        <v>1327</v>
      </c>
      <c r="D177" s="15" t="s">
        <v>460</v>
      </c>
      <c r="E177" s="15"/>
      <c r="F177" s="15" t="s">
        <v>67</v>
      </c>
      <c r="G177" s="15"/>
      <c r="H177" s="15">
        <v>2</v>
      </c>
      <c r="I177" s="14" t="s">
        <v>20</v>
      </c>
      <c r="J177" s="15" t="s">
        <v>66</v>
      </c>
      <c r="K177" s="15"/>
      <c r="L177" s="15" t="s">
        <v>461</v>
      </c>
      <c r="M177" s="15"/>
      <c r="N177" s="15"/>
      <c r="O177" s="15"/>
      <c r="P177" s="15"/>
    </row>
    <row r="178" spans="1:16" x14ac:dyDescent="0.2">
      <c r="A178" s="15" t="s">
        <v>462</v>
      </c>
      <c r="B178" s="15" t="s">
        <v>463</v>
      </c>
      <c r="C178" s="14" t="s">
        <v>1331</v>
      </c>
      <c r="D178" s="15" t="s">
        <v>64</v>
      </c>
      <c r="E178" s="15" t="s">
        <v>66</v>
      </c>
      <c r="F178" s="15" t="s">
        <v>67</v>
      </c>
      <c r="G178" s="15"/>
      <c r="H178" s="15">
        <v>3</v>
      </c>
      <c r="I178" s="15" t="s">
        <v>208</v>
      </c>
      <c r="J178" s="15" t="s">
        <v>66</v>
      </c>
      <c r="K178" s="15"/>
      <c r="L178" s="15" t="s">
        <v>465</v>
      </c>
      <c r="M178" s="15"/>
      <c r="N178" s="15"/>
      <c r="O178" s="15"/>
      <c r="P178" s="15"/>
    </row>
    <row r="179" spans="1:16" x14ac:dyDescent="0.2">
      <c r="A179" s="15" t="s">
        <v>467</v>
      </c>
      <c r="B179" s="15" t="s">
        <v>468</v>
      </c>
      <c r="C179" s="15" t="s">
        <v>1334</v>
      </c>
      <c r="D179" s="15" t="s">
        <v>470</v>
      </c>
      <c r="E179" s="15"/>
      <c r="F179" s="15" t="s">
        <v>116</v>
      </c>
      <c r="G179" s="15"/>
      <c r="H179" s="15">
        <v>3</v>
      </c>
      <c r="I179" s="15"/>
      <c r="J179" s="15" t="s">
        <v>107</v>
      </c>
      <c r="K179" s="15"/>
      <c r="L179" s="15" t="s">
        <v>471</v>
      </c>
      <c r="M179" s="15"/>
      <c r="N179" s="15"/>
      <c r="O179" s="15"/>
      <c r="P179" s="15"/>
    </row>
    <row r="180" spans="1:16" x14ac:dyDescent="0.2">
      <c r="A180" s="15" t="s">
        <v>474</v>
      </c>
      <c r="B180" s="15" t="s">
        <v>468</v>
      </c>
      <c r="C180" s="15" t="s">
        <v>1338</v>
      </c>
      <c r="D180" s="15" t="s">
        <v>475</v>
      </c>
      <c r="E180" s="15"/>
      <c r="F180" s="15" t="s">
        <v>116</v>
      </c>
      <c r="G180" s="15"/>
      <c r="H180" s="15">
        <v>3</v>
      </c>
      <c r="I180" s="15"/>
      <c r="J180" s="15" t="s">
        <v>107</v>
      </c>
      <c r="K180" s="15"/>
      <c r="L180" s="15" t="s">
        <v>476</v>
      </c>
      <c r="M180" s="15"/>
      <c r="N180" s="15"/>
      <c r="O180" s="15"/>
      <c r="P180" s="15"/>
    </row>
    <row r="181" spans="1:16" x14ac:dyDescent="0.2">
      <c r="A181" s="15" t="s">
        <v>477</v>
      </c>
      <c r="B181" s="15" t="s">
        <v>468</v>
      </c>
      <c r="C181" s="15" t="s">
        <v>1341</v>
      </c>
      <c r="D181" s="15" t="s">
        <v>478</v>
      </c>
      <c r="E181" s="15" t="s">
        <v>66</v>
      </c>
      <c r="F181" s="15" t="s">
        <v>116</v>
      </c>
      <c r="G181" s="15"/>
      <c r="H181" s="15">
        <v>3</v>
      </c>
      <c r="I181" s="15"/>
      <c r="J181" s="15" t="s">
        <v>107</v>
      </c>
      <c r="K181" s="15"/>
      <c r="L181" s="15" t="s">
        <v>479</v>
      </c>
      <c r="M181" s="15"/>
      <c r="N181" s="15"/>
      <c r="O181" s="15"/>
      <c r="P181" s="15"/>
    </row>
    <row r="182" spans="1:16" x14ac:dyDescent="0.2">
      <c r="A182" s="15" t="s">
        <v>480</v>
      </c>
      <c r="B182" s="15" t="s">
        <v>468</v>
      </c>
      <c r="C182" s="15" t="s">
        <v>1344</v>
      </c>
      <c r="D182" s="15" t="s">
        <v>481</v>
      </c>
      <c r="E182" s="15"/>
      <c r="F182" s="15" t="s">
        <v>116</v>
      </c>
      <c r="G182" s="15"/>
      <c r="H182" s="15">
        <v>3</v>
      </c>
      <c r="I182" s="15"/>
      <c r="J182" s="15" t="s">
        <v>107</v>
      </c>
      <c r="K182" s="15"/>
      <c r="L182" s="15" t="s">
        <v>482</v>
      </c>
      <c r="M182" s="15"/>
      <c r="N182" s="15"/>
      <c r="O182" s="15"/>
      <c r="P182" s="15"/>
    </row>
    <row r="183" spans="1:16" x14ac:dyDescent="0.2">
      <c r="A183" s="15" t="s">
        <v>483</v>
      </c>
      <c r="B183" s="15" t="s">
        <v>468</v>
      </c>
      <c r="C183" s="15" t="s">
        <v>1347</v>
      </c>
      <c r="D183" s="15" t="s">
        <v>484</v>
      </c>
      <c r="E183" s="15"/>
      <c r="F183" s="15" t="s">
        <v>116</v>
      </c>
      <c r="G183" s="15"/>
      <c r="H183" s="15">
        <v>3</v>
      </c>
      <c r="I183" s="15"/>
      <c r="J183" s="15" t="s">
        <v>107</v>
      </c>
      <c r="K183" s="15"/>
      <c r="L183" s="15" t="s">
        <v>485</v>
      </c>
      <c r="M183" s="15"/>
      <c r="N183" s="15"/>
      <c r="O183" s="15"/>
      <c r="P183" s="15"/>
    </row>
    <row r="184" spans="1:16" x14ac:dyDescent="0.2">
      <c r="A184" s="15" t="s">
        <v>486</v>
      </c>
      <c r="B184" s="15" t="s">
        <v>468</v>
      </c>
      <c r="C184" s="15" t="s">
        <v>1351</v>
      </c>
      <c r="D184" s="15" t="s">
        <v>487</v>
      </c>
      <c r="E184" s="15"/>
      <c r="F184" s="15" t="s">
        <v>116</v>
      </c>
      <c r="G184" s="15"/>
      <c r="H184" s="15">
        <v>3</v>
      </c>
      <c r="I184" s="15"/>
      <c r="J184" s="15" t="s">
        <v>107</v>
      </c>
      <c r="K184" s="15"/>
      <c r="L184" s="15" t="s">
        <v>488</v>
      </c>
      <c r="M184" s="15"/>
      <c r="N184" s="15"/>
      <c r="O184" s="15"/>
      <c r="P184" s="15"/>
    </row>
    <row r="185" spans="1:16" x14ac:dyDescent="0.2">
      <c r="A185" s="15" t="s">
        <v>489</v>
      </c>
      <c r="B185" s="15" t="s">
        <v>490</v>
      </c>
      <c r="C185" s="14" t="s">
        <v>500</v>
      </c>
      <c r="D185" s="15" t="s">
        <v>64</v>
      </c>
      <c r="E185" s="15" t="s">
        <v>66</v>
      </c>
      <c r="F185" s="15" t="s">
        <v>67</v>
      </c>
      <c r="G185" s="15"/>
      <c r="H185" s="15">
        <v>3</v>
      </c>
      <c r="I185" s="15" t="s">
        <v>208</v>
      </c>
      <c r="J185" s="15" t="s">
        <v>66</v>
      </c>
      <c r="K185" s="15"/>
      <c r="L185" s="15" t="s">
        <v>493</v>
      </c>
      <c r="M185" s="15"/>
      <c r="N185" s="15"/>
      <c r="O185" s="15"/>
      <c r="P185" s="15"/>
    </row>
    <row r="186" spans="1:16" x14ac:dyDescent="0.2">
      <c r="A186" s="15" t="s">
        <v>495</v>
      </c>
      <c r="B186" s="15" t="s">
        <v>496</v>
      </c>
      <c r="C186" s="14" t="s">
        <v>292</v>
      </c>
      <c r="D186" s="15" t="s">
        <v>64</v>
      </c>
      <c r="E186" s="15" t="s">
        <v>66</v>
      </c>
      <c r="F186" s="15" t="s">
        <v>67</v>
      </c>
      <c r="G186" s="15"/>
      <c r="H186" s="15">
        <v>3</v>
      </c>
      <c r="I186" s="15"/>
      <c r="J186" s="15" t="s">
        <v>66</v>
      </c>
      <c r="K186" s="15"/>
      <c r="L186" s="15" t="s">
        <v>498</v>
      </c>
      <c r="M186" s="15"/>
      <c r="N186" s="15"/>
      <c r="O186" s="15"/>
      <c r="P186" s="15"/>
    </row>
    <row r="187" spans="1:16" x14ac:dyDescent="0.2">
      <c r="A187" s="15" t="s">
        <v>501</v>
      </c>
      <c r="B187" s="15" t="s">
        <v>502</v>
      </c>
      <c r="C187" s="14" t="s">
        <v>359</v>
      </c>
      <c r="D187" s="15" t="s">
        <v>64</v>
      </c>
      <c r="E187" s="15" t="s">
        <v>66</v>
      </c>
      <c r="F187" s="15" t="s">
        <v>105</v>
      </c>
      <c r="G187" s="15"/>
      <c r="H187" s="15">
        <v>3</v>
      </c>
      <c r="I187" s="15"/>
      <c r="J187" s="15" t="s">
        <v>66</v>
      </c>
      <c r="K187" s="15"/>
      <c r="L187" s="15" t="s">
        <v>506</v>
      </c>
      <c r="M187" s="15"/>
      <c r="N187" s="15"/>
      <c r="O187" s="15"/>
      <c r="P187" s="15"/>
    </row>
    <row r="188" spans="1:16" x14ac:dyDescent="0.2">
      <c r="A188" s="15" t="s">
        <v>510</v>
      </c>
      <c r="B188" s="15" t="s">
        <v>511</v>
      </c>
      <c r="C188" s="14" t="s">
        <v>1650</v>
      </c>
      <c r="D188" s="15" t="s">
        <v>64</v>
      </c>
      <c r="E188" s="15" t="s">
        <v>66</v>
      </c>
      <c r="F188" s="15" t="s">
        <v>67</v>
      </c>
      <c r="G188" s="15"/>
      <c r="H188" s="15">
        <v>2</v>
      </c>
      <c r="I188" s="15"/>
      <c r="J188" s="15" t="s">
        <v>66</v>
      </c>
      <c r="K188" s="15"/>
      <c r="L188" s="15" t="s">
        <v>514</v>
      </c>
      <c r="M188" s="15"/>
      <c r="N188" s="15"/>
      <c r="O188" s="15"/>
      <c r="P188" s="15"/>
    </row>
    <row r="189" spans="1:16" x14ac:dyDescent="0.2">
      <c r="A189" s="15" t="s">
        <v>1625</v>
      </c>
      <c r="B189" s="15" t="s">
        <v>511</v>
      </c>
      <c r="C189" s="14" t="s">
        <v>1623</v>
      </c>
      <c r="D189" s="15" t="s">
        <v>64</v>
      </c>
      <c r="E189" s="15"/>
      <c r="F189" s="15" t="s">
        <v>67</v>
      </c>
      <c r="G189" s="15"/>
      <c r="H189" s="15">
        <v>2</v>
      </c>
      <c r="I189" s="15"/>
      <c r="J189" s="15" t="s">
        <v>66</v>
      </c>
      <c r="K189" s="15"/>
      <c r="L189" s="15" t="s">
        <v>1659</v>
      </c>
      <c r="M189" s="15"/>
      <c r="N189" s="15"/>
      <c r="O189" s="15"/>
      <c r="P189" s="15"/>
    </row>
    <row r="190" spans="1:16" x14ac:dyDescent="0.2">
      <c r="A190" s="15" t="s">
        <v>517</v>
      </c>
      <c r="B190" s="15" t="s">
        <v>518</v>
      </c>
      <c r="C190" s="14" t="s">
        <v>556</v>
      </c>
      <c r="D190" s="15" t="s">
        <v>64</v>
      </c>
      <c r="E190" s="15" t="s">
        <v>66</v>
      </c>
      <c r="F190" s="15" t="s">
        <v>67</v>
      </c>
      <c r="G190" s="15"/>
      <c r="H190" s="15">
        <v>3</v>
      </c>
      <c r="I190" s="15"/>
      <c r="J190" s="15" t="s">
        <v>66</v>
      </c>
      <c r="K190" s="15"/>
      <c r="L190" s="15" t="s">
        <v>520</v>
      </c>
      <c r="M190" s="15"/>
      <c r="N190" s="15"/>
      <c r="O190" s="15"/>
      <c r="P190" s="15"/>
    </row>
    <row r="191" spans="1:16" x14ac:dyDescent="0.2">
      <c r="A191" s="15" t="s">
        <v>522</v>
      </c>
      <c r="B191" s="15" t="s">
        <v>523</v>
      </c>
      <c r="C191" s="15" t="s">
        <v>1366</v>
      </c>
      <c r="D191" s="15" t="s">
        <v>525</v>
      </c>
      <c r="E191" s="15" t="s">
        <v>66</v>
      </c>
      <c r="F191" s="15" t="s">
        <v>105</v>
      </c>
      <c r="G191" s="15"/>
      <c r="H191" s="15">
        <v>3</v>
      </c>
      <c r="I191" s="15"/>
      <c r="J191" s="15" t="s">
        <v>66</v>
      </c>
      <c r="K191" s="15"/>
      <c r="L191" s="15" t="s">
        <v>527</v>
      </c>
      <c r="M191" s="15"/>
      <c r="N191" s="15"/>
      <c r="O191" s="15"/>
      <c r="P191" s="15"/>
    </row>
    <row r="192" spans="1:16" x14ac:dyDescent="0.2">
      <c r="A192" s="15" t="s">
        <v>530</v>
      </c>
      <c r="B192" s="15" t="s">
        <v>523</v>
      </c>
      <c r="C192" s="15" t="s">
        <v>1372</v>
      </c>
      <c r="D192" s="15" t="s">
        <v>531</v>
      </c>
      <c r="E192" s="15"/>
      <c r="F192" s="15" t="s">
        <v>105</v>
      </c>
      <c r="G192" s="14" t="s">
        <v>19</v>
      </c>
      <c r="H192" s="15">
        <v>3</v>
      </c>
      <c r="I192" s="15"/>
      <c r="J192" s="15" t="s">
        <v>66</v>
      </c>
      <c r="K192" s="15"/>
      <c r="L192" s="15" t="s">
        <v>532</v>
      </c>
      <c r="M192" s="15"/>
      <c r="N192" s="15"/>
      <c r="O192" s="15"/>
      <c r="P192" s="15"/>
    </row>
    <row r="193" spans="1:16" x14ac:dyDescent="0.2">
      <c r="A193" s="15" t="s">
        <v>533</v>
      </c>
      <c r="B193" s="15" t="s">
        <v>523</v>
      </c>
      <c r="C193" s="15" t="s">
        <v>1376</v>
      </c>
      <c r="D193" s="15" t="s">
        <v>534</v>
      </c>
      <c r="E193" s="15"/>
      <c r="F193" s="15" t="s">
        <v>105</v>
      </c>
      <c r="G193" s="14" t="s">
        <v>19</v>
      </c>
      <c r="H193" s="15">
        <v>3</v>
      </c>
      <c r="I193" s="15"/>
      <c r="J193" s="15" t="s">
        <v>66</v>
      </c>
      <c r="K193" s="15"/>
      <c r="L193" s="15" t="s">
        <v>535</v>
      </c>
      <c r="M193" s="15"/>
      <c r="N193" s="15"/>
      <c r="O193" s="15"/>
      <c r="P193" s="15"/>
    </row>
    <row r="194" spans="1:16" x14ac:dyDescent="0.2">
      <c r="A194" s="15" t="s">
        <v>536</v>
      </c>
      <c r="B194" s="15" t="s">
        <v>537</v>
      </c>
      <c r="C194" s="14" t="s">
        <v>1380</v>
      </c>
      <c r="D194" s="15" t="s">
        <v>64</v>
      </c>
      <c r="E194" s="15" t="s">
        <v>66</v>
      </c>
      <c r="F194" s="15" t="s">
        <v>541</v>
      </c>
      <c r="G194" s="15"/>
      <c r="H194" s="15">
        <v>3</v>
      </c>
      <c r="I194" s="15"/>
      <c r="J194" s="15" t="s">
        <v>107</v>
      </c>
      <c r="K194" s="15" t="s">
        <v>543</v>
      </c>
      <c r="L194" s="15" t="s">
        <v>1030</v>
      </c>
      <c r="M194" s="15"/>
      <c r="N194" s="15"/>
      <c r="O194" s="15"/>
      <c r="P194" s="15"/>
    </row>
    <row r="195" spans="1:16" x14ac:dyDescent="0.2">
      <c r="A195" s="15" t="s">
        <v>544</v>
      </c>
      <c r="B195" s="15" t="s">
        <v>545</v>
      </c>
      <c r="C195" s="14" t="s">
        <v>521</v>
      </c>
      <c r="D195" s="15" t="s">
        <v>64</v>
      </c>
      <c r="E195" s="15" t="s">
        <v>66</v>
      </c>
      <c r="F195" s="15" t="s">
        <v>548</v>
      </c>
      <c r="G195" s="15"/>
      <c r="H195" s="15">
        <v>3</v>
      </c>
      <c r="I195" s="15"/>
      <c r="J195" s="15" t="s">
        <v>107</v>
      </c>
      <c r="K195" s="15"/>
      <c r="L195" s="15" t="s">
        <v>1031</v>
      </c>
      <c r="M195" s="15"/>
      <c r="N195" s="15"/>
      <c r="O195" s="15"/>
      <c r="P195" s="15"/>
    </row>
    <row r="196" spans="1:16" x14ac:dyDescent="0.2">
      <c r="A196" s="15" t="s">
        <v>549</v>
      </c>
      <c r="B196" s="15" t="s">
        <v>550</v>
      </c>
      <c r="C196" s="14" t="s">
        <v>529</v>
      </c>
      <c r="D196" s="15" t="s">
        <v>64</v>
      </c>
      <c r="E196" s="15" t="s">
        <v>66</v>
      </c>
      <c r="F196" s="15" t="s">
        <v>105</v>
      </c>
      <c r="G196" s="15"/>
      <c r="H196" s="15">
        <v>3</v>
      </c>
      <c r="I196" s="15"/>
      <c r="J196" s="15" t="s">
        <v>66</v>
      </c>
      <c r="K196" s="15" t="s">
        <v>555</v>
      </c>
      <c r="L196" s="15" t="s">
        <v>554</v>
      </c>
      <c r="M196" s="15"/>
      <c r="N196" s="15"/>
      <c r="O196" s="15"/>
      <c r="P196" s="15"/>
    </row>
    <row r="197" spans="1:16" x14ac:dyDescent="0.2">
      <c r="A197" s="15" t="s">
        <v>557</v>
      </c>
      <c r="B197" s="15" t="s">
        <v>558</v>
      </c>
      <c r="C197" s="15" t="s">
        <v>1388</v>
      </c>
      <c r="D197" s="15" t="s">
        <v>114</v>
      </c>
      <c r="E197" s="15"/>
      <c r="F197" s="15" t="s">
        <v>116</v>
      </c>
      <c r="G197" s="15"/>
      <c r="H197" s="15">
        <v>3</v>
      </c>
      <c r="I197" s="15"/>
      <c r="J197" s="15" t="s">
        <v>107</v>
      </c>
      <c r="K197" s="15"/>
      <c r="L197" s="15" t="s">
        <v>561</v>
      </c>
      <c r="M197" s="15"/>
      <c r="N197" s="15"/>
      <c r="O197" s="15"/>
      <c r="P197" s="15"/>
    </row>
    <row r="198" spans="1:16" x14ac:dyDescent="0.2">
      <c r="A198" s="15" t="s">
        <v>564</v>
      </c>
      <c r="B198" s="15" t="s">
        <v>558</v>
      </c>
      <c r="C198" s="15" t="s">
        <v>1390</v>
      </c>
      <c r="D198" s="15" t="s">
        <v>118</v>
      </c>
      <c r="E198" s="15" t="s">
        <v>66</v>
      </c>
      <c r="F198" s="15" t="s">
        <v>116</v>
      </c>
      <c r="G198" s="15"/>
      <c r="H198" s="15">
        <v>3</v>
      </c>
      <c r="I198" s="15"/>
      <c r="J198" s="15" t="s">
        <v>107</v>
      </c>
      <c r="K198" s="15"/>
      <c r="L198" s="15" t="s">
        <v>565</v>
      </c>
      <c r="M198" s="15"/>
      <c r="N198" s="15"/>
      <c r="O198" s="15"/>
      <c r="P198" s="15"/>
    </row>
    <row r="199" spans="1:16" x14ac:dyDescent="0.2">
      <c r="A199" s="15" t="s">
        <v>566</v>
      </c>
      <c r="B199" s="15" t="s">
        <v>558</v>
      </c>
      <c r="C199" s="15" t="s">
        <v>1392</v>
      </c>
      <c r="D199" s="15" t="s">
        <v>119</v>
      </c>
      <c r="E199" s="15"/>
      <c r="F199" s="15" t="s">
        <v>116</v>
      </c>
      <c r="G199" s="15"/>
      <c r="H199" s="15">
        <v>3</v>
      </c>
      <c r="I199" s="15"/>
      <c r="J199" s="15" t="s">
        <v>107</v>
      </c>
      <c r="K199" s="15"/>
      <c r="L199" s="15" t="s">
        <v>567</v>
      </c>
      <c r="M199" s="15"/>
      <c r="N199" s="15"/>
      <c r="O199" s="15"/>
      <c r="P199" s="15"/>
    </row>
    <row r="200" spans="1:16" x14ac:dyDescent="0.2">
      <c r="A200" s="15" t="s">
        <v>568</v>
      </c>
      <c r="B200" s="15" t="s">
        <v>569</v>
      </c>
      <c r="C200" s="15" t="s">
        <v>1394</v>
      </c>
      <c r="D200" s="15" t="s">
        <v>114</v>
      </c>
      <c r="E200" s="15"/>
      <c r="F200" s="15" t="s">
        <v>116</v>
      </c>
      <c r="G200" s="15"/>
      <c r="H200" s="15">
        <v>3</v>
      </c>
      <c r="I200" s="15"/>
      <c r="J200" s="15" t="s">
        <v>107</v>
      </c>
      <c r="K200" s="15"/>
      <c r="L200" s="15" t="s">
        <v>571</v>
      </c>
      <c r="M200" s="15"/>
      <c r="N200" s="15"/>
      <c r="O200" s="15"/>
      <c r="P200" s="15"/>
    </row>
    <row r="201" spans="1:16" x14ac:dyDescent="0.2">
      <c r="A201" s="15" t="s">
        <v>573</v>
      </c>
      <c r="B201" s="15" t="s">
        <v>569</v>
      </c>
      <c r="C201" s="15" t="s">
        <v>1397</v>
      </c>
      <c r="D201" s="15" t="s">
        <v>118</v>
      </c>
      <c r="E201" s="15" t="s">
        <v>66</v>
      </c>
      <c r="F201" s="15" t="s">
        <v>116</v>
      </c>
      <c r="G201" s="15"/>
      <c r="H201" s="15">
        <v>3</v>
      </c>
      <c r="I201" s="15"/>
      <c r="J201" s="15" t="s">
        <v>107</v>
      </c>
      <c r="K201" s="15"/>
      <c r="L201" s="15" t="s">
        <v>574</v>
      </c>
      <c r="M201" s="15"/>
      <c r="N201" s="15"/>
      <c r="O201" s="15"/>
      <c r="P201" s="15"/>
    </row>
    <row r="202" spans="1:16" x14ac:dyDescent="0.2">
      <c r="A202" s="15" t="s">
        <v>575</v>
      </c>
      <c r="B202" s="15" t="s">
        <v>569</v>
      </c>
      <c r="C202" s="15" t="s">
        <v>1399</v>
      </c>
      <c r="D202" s="15" t="s">
        <v>119</v>
      </c>
      <c r="E202" s="15"/>
      <c r="F202" s="15" t="s">
        <v>116</v>
      </c>
      <c r="G202" s="15"/>
      <c r="H202" s="15">
        <v>3</v>
      </c>
      <c r="I202" s="15"/>
      <c r="J202" s="15" t="s">
        <v>107</v>
      </c>
      <c r="K202" s="15"/>
      <c r="L202" s="15" t="s">
        <v>576</v>
      </c>
      <c r="M202" s="15"/>
      <c r="N202" s="15"/>
      <c r="O202" s="15"/>
      <c r="P202" s="15"/>
    </row>
    <row r="203" spans="1:16" x14ac:dyDescent="0.2">
      <c r="A203" s="15" t="s">
        <v>577</v>
      </c>
      <c r="B203" s="15" t="s">
        <v>578</v>
      </c>
      <c r="C203" s="14" t="s">
        <v>1401</v>
      </c>
      <c r="D203" s="15" t="s">
        <v>64</v>
      </c>
      <c r="E203" s="15" t="s">
        <v>66</v>
      </c>
      <c r="F203" s="15" t="s">
        <v>175</v>
      </c>
      <c r="G203" s="15"/>
      <c r="H203" s="15">
        <v>3</v>
      </c>
      <c r="I203" s="15"/>
      <c r="J203" s="15" t="s">
        <v>66</v>
      </c>
      <c r="K203" s="15"/>
      <c r="L203" s="15" t="s">
        <v>581</v>
      </c>
      <c r="M203" s="15"/>
      <c r="N203" s="15"/>
      <c r="O203" s="15"/>
      <c r="P203" s="15"/>
    </row>
    <row r="204" spans="1:16" x14ac:dyDescent="0.2">
      <c r="A204" s="15" t="s">
        <v>583</v>
      </c>
      <c r="B204" s="15" t="s">
        <v>584</v>
      </c>
      <c r="C204" s="14" t="s">
        <v>582</v>
      </c>
      <c r="D204" s="15" t="s">
        <v>64</v>
      </c>
      <c r="E204" s="15" t="s">
        <v>66</v>
      </c>
      <c r="F204" s="15" t="s">
        <v>105</v>
      </c>
      <c r="G204" s="15"/>
      <c r="H204" s="15">
        <v>3</v>
      </c>
      <c r="I204" s="15"/>
      <c r="J204" s="15" t="s">
        <v>66</v>
      </c>
      <c r="K204" s="15"/>
      <c r="L204" s="15" t="s">
        <v>588</v>
      </c>
      <c r="M204" s="15"/>
      <c r="N204" s="15"/>
      <c r="O204" s="15"/>
      <c r="P204" s="15"/>
    </row>
    <row r="205" spans="1:16" x14ac:dyDescent="0.2">
      <c r="A205" s="15" t="s">
        <v>590</v>
      </c>
      <c r="B205" s="15" t="s">
        <v>591</v>
      </c>
      <c r="C205" s="14" t="s">
        <v>572</v>
      </c>
      <c r="D205" s="15" t="s">
        <v>64</v>
      </c>
      <c r="E205" s="15" t="s">
        <v>66</v>
      </c>
      <c r="F205" s="15" t="s">
        <v>105</v>
      </c>
      <c r="G205" s="15"/>
      <c r="H205" s="15">
        <v>3</v>
      </c>
      <c r="I205" s="15"/>
      <c r="J205" s="15" t="s">
        <v>66</v>
      </c>
      <c r="K205" s="15"/>
      <c r="L205" s="15" t="s">
        <v>594</v>
      </c>
      <c r="M205" s="15"/>
      <c r="N205" s="15"/>
      <c r="O205" s="15"/>
      <c r="P205" s="15"/>
    </row>
    <row r="206" spans="1:16" x14ac:dyDescent="0.2">
      <c r="A206" s="15" t="s">
        <v>597</v>
      </c>
      <c r="B206" s="15" t="s">
        <v>598</v>
      </c>
      <c r="C206" s="15" t="s">
        <v>1409</v>
      </c>
      <c r="D206" s="15" t="s">
        <v>114</v>
      </c>
      <c r="E206" s="15"/>
      <c r="F206" s="15" t="s">
        <v>116</v>
      </c>
      <c r="G206" s="15"/>
      <c r="H206" s="15">
        <v>3</v>
      </c>
      <c r="I206" s="15"/>
      <c r="J206" s="15" t="s">
        <v>107</v>
      </c>
      <c r="K206" s="15"/>
      <c r="L206" s="15" t="s">
        <v>600</v>
      </c>
      <c r="M206" s="15"/>
      <c r="N206" s="15"/>
      <c r="O206" s="15"/>
      <c r="P206" s="15"/>
    </row>
    <row r="207" spans="1:16" x14ac:dyDescent="0.2">
      <c r="A207" s="15" t="s">
        <v>602</v>
      </c>
      <c r="B207" s="15" t="s">
        <v>598</v>
      </c>
      <c r="C207" s="15" t="s">
        <v>1412</v>
      </c>
      <c r="D207" s="15" t="s">
        <v>118</v>
      </c>
      <c r="E207" s="15" t="s">
        <v>66</v>
      </c>
      <c r="F207" s="15" t="s">
        <v>116</v>
      </c>
      <c r="G207" s="15"/>
      <c r="H207" s="15">
        <v>3</v>
      </c>
      <c r="I207" s="15"/>
      <c r="J207" s="15" t="s">
        <v>107</v>
      </c>
      <c r="K207" s="15"/>
      <c r="L207" s="15" t="s">
        <v>603</v>
      </c>
      <c r="M207" s="15"/>
      <c r="N207" s="15"/>
      <c r="O207" s="15"/>
      <c r="P207" s="15"/>
    </row>
    <row r="208" spans="1:16" x14ac:dyDescent="0.2">
      <c r="A208" s="15" t="s">
        <v>604</v>
      </c>
      <c r="B208" s="15" t="s">
        <v>598</v>
      </c>
      <c r="C208" s="15" t="s">
        <v>1414</v>
      </c>
      <c r="D208" s="15" t="s">
        <v>119</v>
      </c>
      <c r="E208" s="15"/>
      <c r="F208" s="15" t="s">
        <v>116</v>
      </c>
      <c r="G208" s="15"/>
      <c r="H208" s="15">
        <v>3</v>
      </c>
      <c r="I208" s="15"/>
      <c r="J208" s="15" t="s">
        <v>107</v>
      </c>
      <c r="K208" s="15"/>
      <c r="L208" s="15" t="s">
        <v>605</v>
      </c>
      <c r="M208" s="15"/>
      <c r="N208" s="15"/>
      <c r="O208" s="15"/>
      <c r="P208" s="15"/>
    </row>
    <row r="209" spans="1:16" x14ac:dyDescent="0.2">
      <c r="A209" s="15" t="s">
        <v>727</v>
      </c>
      <c r="B209" s="15" t="s">
        <v>728</v>
      </c>
      <c r="C209" s="14" t="s">
        <v>1651</v>
      </c>
      <c r="D209" s="15" t="s">
        <v>64</v>
      </c>
      <c r="E209" s="15" t="s">
        <v>66</v>
      </c>
      <c r="F209" s="15" t="s">
        <v>67</v>
      </c>
      <c r="G209" s="15"/>
      <c r="H209" s="15">
        <v>3</v>
      </c>
      <c r="I209" s="15"/>
      <c r="J209" s="15" t="s">
        <v>66</v>
      </c>
      <c r="K209" s="15"/>
      <c r="L209" s="15" t="s">
        <v>731</v>
      </c>
      <c r="M209" s="15"/>
      <c r="N209" s="15"/>
      <c r="O209" s="15"/>
      <c r="P209" s="15"/>
    </row>
    <row r="210" spans="1:16" x14ac:dyDescent="0.2">
      <c r="A210" s="15" t="s">
        <v>1622</v>
      </c>
      <c r="B210" s="15" t="s">
        <v>728</v>
      </c>
      <c r="C210" s="14" t="s">
        <v>1619</v>
      </c>
      <c r="D210" s="15" t="s">
        <v>64</v>
      </c>
      <c r="E210" s="15"/>
      <c r="F210" s="15" t="s">
        <v>67</v>
      </c>
      <c r="G210" s="15"/>
      <c r="H210" s="15">
        <v>3</v>
      </c>
      <c r="I210" s="15"/>
      <c r="J210" s="15" t="s">
        <v>66</v>
      </c>
      <c r="K210" s="15"/>
      <c r="L210" s="15" t="s">
        <v>1658</v>
      </c>
      <c r="M210" s="15"/>
      <c r="N210" s="15"/>
      <c r="O210" s="15"/>
      <c r="P210" s="15"/>
    </row>
    <row r="211" spans="1:16" x14ac:dyDescent="0.2">
      <c r="A211" s="15" t="s">
        <v>606</v>
      </c>
      <c r="B211" s="15" t="s">
        <v>607</v>
      </c>
      <c r="C211" s="15" t="s">
        <v>1420</v>
      </c>
      <c r="D211" s="15" t="s">
        <v>610</v>
      </c>
      <c r="E211" s="15" t="s">
        <v>66</v>
      </c>
      <c r="F211" s="15" t="s">
        <v>67</v>
      </c>
      <c r="G211" s="15"/>
      <c r="H211" s="15">
        <v>1</v>
      </c>
      <c r="I211" s="15"/>
      <c r="J211" s="15" t="s">
        <v>66</v>
      </c>
      <c r="K211" s="15"/>
      <c r="L211" s="15" t="s">
        <v>611</v>
      </c>
      <c r="M211" s="15"/>
      <c r="N211" s="15"/>
      <c r="O211" s="15"/>
      <c r="P211" s="15"/>
    </row>
    <row r="212" spans="1:16" x14ac:dyDescent="0.2">
      <c r="A212" s="15" t="s">
        <v>615</v>
      </c>
      <c r="B212" s="15" t="s">
        <v>607</v>
      </c>
      <c r="C212" s="15" t="s">
        <v>1424</v>
      </c>
      <c r="D212" s="15" t="s">
        <v>616</v>
      </c>
      <c r="E212" s="15"/>
      <c r="F212" s="15" t="s">
        <v>67</v>
      </c>
      <c r="G212" s="15"/>
      <c r="H212" s="15">
        <v>1</v>
      </c>
      <c r="I212" s="15"/>
      <c r="J212" s="15" t="s">
        <v>66</v>
      </c>
      <c r="K212" s="15"/>
      <c r="L212" s="15" t="s">
        <v>617</v>
      </c>
      <c r="M212" s="15"/>
      <c r="N212" s="15"/>
      <c r="O212" s="15"/>
      <c r="P212" s="15"/>
    </row>
    <row r="213" spans="1:16" x14ac:dyDescent="0.2">
      <c r="A213" s="15" t="s">
        <v>618</v>
      </c>
      <c r="B213" s="15" t="s">
        <v>607</v>
      </c>
      <c r="C213" s="15" t="s">
        <v>1428</v>
      </c>
      <c r="D213" s="15" t="s">
        <v>619</v>
      </c>
      <c r="E213" s="15"/>
      <c r="F213" s="15" t="s">
        <v>67</v>
      </c>
      <c r="G213" s="15"/>
      <c r="H213" s="15">
        <v>1</v>
      </c>
      <c r="I213" s="15"/>
      <c r="J213" s="15" t="s">
        <v>66</v>
      </c>
      <c r="K213" s="15"/>
      <c r="L213" s="15" t="s">
        <v>620</v>
      </c>
      <c r="M213" s="15"/>
      <c r="N213" s="15"/>
      <c r="O213" s="15"/>
      <c r="P213" s="15"/>
    </row>
    <row r="214" spans="1:16" x14ac:dyDescent="0.2">
      <c r="A214" s="15" t="s">
        <v>621</v>
      </c>
      <c r="B214" s="15" t="s">
        <v>622</v>
      </c>
      <c r="C214" s="14" t="s">
        <v>1432</v>
      </c>
      <c r="D214" s="15" t="s">
        <v>64</v>
      </c>
      <c r="E214" s="15" t="s">
        <v>66</v>
      </c>
      <c r="F214" s="15" t="s">
        <v>67</v>
      </c>
      <c r="G214" s="15"/>
      <c r="H214" s="15">
        <v>4</v>
      </c>
      <c r="I214" s="14" t="s">
        <v>21</v>
      </c>
      <c r="J214" s="15" t="s">
        <v>66</v>
      </c>
      <c r="K214" s="15"/>
      <c r="L214" s="15" t="s">
        <v>624</v>
      </c>
      <c r="M214" s="15"/>
      <c r="N214" s="15"/>
      <c r="O214" s="15"/>
      <c r="P214" s="15"/>
    </row>
    <row r="215" spans="1:16" x14ac:dyDescent="0.2">
      <c r="A215" s="15" t="s">
        <v>627</v>
      </c>
      <c r="B215" s="15" t="s">
        <v>628</v>
      </c>
      <c r="C215" s="14" t="s">
        <v>632</v>
      </c>
      <c r="D215" s="15" t="s">
        <v>64</v>
      </c>
      <c r="E215" s="15" t="s">
        <v>66</v>
      </c>
      <c r="F215" s="15" t="s">
        <v>125</v>
      </c>
      <c r="G215" s="15"/>
      <c r="H215" s="15">
        <v>1</v>
      </c>
      <c r="I215" s="15"/>
      <c r="J215" s="15" t="s">
        <v>66</v>
      </c>
      <c r="K215" s="15"/>
      <c r="L215" s="15" t="s">
        <v>631</v>
      </c>
      <c r="M215" s="15"/>
      <c r="N215" s="15"/>
      <c r="O215" s="15"/>
      <c r="P215" s="15"/>
    </row>
    <row r="216" spans="1:16" x14ac:dyDescent="0.2">
      <c r="A216" s="15" t="s">
        <v>633</v>
      </c>
      <c r="B216" s="15" t="s">
        <v>634</v>
      </c>
      <c r="C216" s="14" t="s">
        <v>109</v>
      </c>
      <c r="D216" s="15" t="s">
        <v>64</v>
      </c>
      <c r="E216" s="15" t="s">
        <v>66</v>
      </c>
      <c r="F216" s="15" t="s">
        <v>639</v>
      </c>
      <c r="G216" s="15"/>
      <c r="H216" s="15">
        <v>1</v>
      </c>
      <c r="I216" s="15"/>
      <c r="J216" s="15" t="s">
        <v>66</v>
      </c>
      <c r="K216" s="15"/>
      <c r="L216" s="15" t="s">
        <v>641</v>
      </c>
      <c r="M216" s="15"/>
      <c r="N216" s="15"/>
      <c r="O216" s="15"/>
      <c r="P216" s="15"/>
    </row>
    <row r="217" spans="1:16" x14ac:dyDescent="0.2">
      <c r="A217" s="15" t="s">
        <v>643</v>
      </c>
      <c r="B217" s="15" t="s">
        <v>644</v>
      </c>
      <c r="C217" s="14" t="s">
        <v>663</v>
      </c>
      <c r="D217" s="15" t="s">
        <v>64</v>
      </c>
      <c r="E217" s="15" t="s">
        <v>66</v>
      </c>
      <c r="F217" s="15" t="s">
        <v>639</v>
      </c>
      <c r="G217" s="15"/>
      <c r="H217" s="15">
        <v>1</v>
      </c>
      <c r="I217" s="15"/>
      <c r="J217" s="15" t="s">
        <v>66</v>
      </c>
      <c r="K217" s="15"/>
      <c r="L217" s="15" t="s">
        <v>646</v>
      </c>
      <c r="M217" s="15"/>
      <c r="N217" s="15"/>
      <c r="O217" s="15"/>
      <c r="P217" s="15"/>
    </row>
    <row r="218" spans="1:16" x14ac:dyDescent="0.2">
      <c r="A218" s="15" t="s">
        <v>650</v>
      </c>
      <c r="B218" s="15" t="s">
        <v>651</v>
      </c>
      <c r="C218" s="14" t="s">
        <v>683</v>
      </c>
      <c r="D218" s="15" t="s">
        <v>64</v>
      </c>
      <c r="E218" s="15" t="s">
        <v>66</v>
      </c>
      <c r="F218" s="15" t="s">
        <v>67</v>
      </c>
      <c r="G218" s="15"/>
      <c r="H218" s="15">
        <v>1</v>
      </c>
      <c r="I218" s="15"/>
      <c r="J218" s="15" t="s">
        <v>66</v>
      </c>
      <c r="K218" s="15"/>
      <c r="L218" s="15" t="s">
        <v>653</v>
      </c>
      <c r="M218" s="15"/>
      <c r="N218" s="15"/>
      <c r="O218" s="15"/>
      <c r="P218" s="15"/>
    </row>
    <row r="219" spans="1:16" x14ac:dyDescent="0.2">
      <c r="A219" s="15" t="s">
        <v>655</v>
      </c>
      <c r="B219" s="15" t="s">
        <v>656</v>
      </c>
      <c r="C219" s="14" t="s">
        <v>649</v>
      </c>
      <c r="D219" s="15" t="s">
        <v>64</v>
      </c>
      <c r="E219" s="15" t="s">
        <v>66</v>
      </c>
      <c r="F219" s="15" t="s">
        <v>67</v>
      </c>
      <c r="G219" s="15"/>
      <c r="H219" s="15">
        <v>1</v>
      </c>
      <c r="I219" s="15"/>
      <c r="J219" s="15" t="s">
        <v>66</v>
      </c>
      <c r="K219" s="15"/>
      <c r="L219" s="15" t="s">
        <v>658</v>
      </c>
      <c r="M219" s="15"/>
      <c r="N219" s="15"/>
      <c r="O219" s="15"/>
      <c r="P219" s="15"/>
    </row>
    <row r="220" spans="1:16" x14ac:dyDescent="0.2">
      <c r="A220" s="15" t="s">
        <v>659</v>
      </c>
      <c r="B220" s="15" t="s">
        <v>660</v>
      </c>
      <c r="C220" s="15" t="s">
        <v>1451</v>
      </c>
      <c r="D220" s="15" t="s">
        <v>114</v>
      </c>
      <c r="E220" s="15"/>
      <c r="F220" s="15" t="s">
        <v>116</v>
      </c>
      <c r="G220" s="15"/>
      <c r="H220" s="15">
        <v>1</v>
      </c>
      <c r="I220" s="15"/>
      <c r="J220" s="15" t="s">
        <v>107</v>
      </c>
      <c r="K220" s="15"/>
      <c r="L220" s="15" t="s">
        <v>662</v>
      </c>
      <c r="M220" s="15"/>
      <c r="N220" s="15"/>
      <c r="O220" s="15"/>
      <c r="P220" s="15"/>
    </row>
    <row r="221" spans="1:16" x14ac:dyDescent="0.2">
      <c r="A221" s="15" t="s">
        <v>665</v>
      </c>
      <c r="B221" s="15" t="s">
        <v>660</v>
      </c>
      <c r="C221" s="15" t="s">
        <v>1454</v>
      </c>
      <c r="D221" s="15" t="s">
        <v>118</v>
      </c>
      <c r="E221" s="15" t="s">
        <v>66</v>
      </c>
      <c r="F221" s="15" t="s">
        <v>116</v>
      </c>
      <c r="G221" s="15"/>
      <c r="H221" s="15">
        <v>1</v>
      </c>
      <c r="I221" s="15"/>
      <c r="J221" s="15" t="s">
        <v>107</v>
      </c>
      <c r="K221" s="15"/>
      <c r="L221" s="15" t="s">
        <v>662</v>
      </c>
      <c r="M221" s="15"/>
      <c r="N221" s="15"/>
      <c r="O221" s="15"/>
      <c r="P221" s="15"/>
    </row>
    <row r="222" spans="1:16" x14ac:dyDescent="0.2">
      <c r="A222" s="15" t="s">
        <v>666</v>
      </c>
      <c r="B222" s="15" t="s">
        <v>660</v>
      </c>
      <c r="C222" s="15" t="s">
        <v>1456</v>
      </c>
      <c r="D222" s="15" t="s">
        <v>119</v>
      </c>
      <c r="E222" s="15"/>
      <c r="F222" s="15" t="s">
        <v>116</v>
      </c>
      <c r="G222" s="15"/>
      <c r="H222" s="15">
        <v>1</v>
      </c>
      <c r="I222" s="15"/>
      <c r="J222" s="15" t="s">
        <v>107</v>
      </c>
      <c r="K222" s="15"/>
      <c r="L222" s="15" t="s">
        <v>662</v>
      </c>
      <c r="M222" s="15"/>
      <c r="N222" s="15"/>
      <c r="O222" s="15"/>
      <c r="P222" s="15"/>
    </row>
    <row r="223" spans="1:16" x14ac:dyDescent="0.2">
      <c r="A223" s="15" t="s">
        <v>667</v>
      </c>
      <c r="B223" s="15" t="s">
        <v>668</v>
      </c>
      <c r="C223" s="15" t="s">
        <v>1458</v>
      </c>
      <c r="D223" s="15" t="s">
        <v>114</v>
      </c>
      <c r="E223" s="15"/>
      <c r="F223" s="15" t="s">
        <v>116</v>
      </c>
      <c r="G223" s="15"/>
      <c r="H223" s="15">
        <v>1</v>
      </c>
      <c r="I223" s="15"/>
      <c r="J223" s="15" t="s">
        <v>107</v>
      </c>
      <c r="K223" s="15"/>
      <c r="L223" s="15" t="s">
        <v>662</v>
      </c>
      <c r="M223" s="15"/>
      <c r="N223" s="15"/>
      <c r="O223" s="15"/>
      <c r="P223" s="15"/>
    </row>
    <row r="224" spans="1:16" x14ac:dyDescent="0.2">
      <c r="A224" s="15" t="s">
        <v>671</v>
      </c>
      <c r="B224" s="15" t="s">
        <v>668</v>
      </c>
      <c r="C224" s="15" t="s">
        <v>1461</v>
      </c>
      <c r="D224" s="15" t="s">
        <v>118</v>
      </c>
      <c r="E224" s="15" t="s">
        <v>66</v>
      </c>
      <c r="F224" s="15" t="s">
        <v>116</v>
      </c>
      <c r="G224" s="15"/>
      <c r="H224" s="15">
        <v>1</v>
      </c>
      <c r="I224" s="15"/>
      <c r="J224" s="15" t="s">
        <v>107</v>
      </c>
      <c r="K224" s="15"/>
      <c r="L224" s="15" t="s">
        <v>662</v>
      </c>
      <c r="M224" s="15"/>
      <c r="N224" s="15"/>
      <c r="O224" s="15"/>
      <c r="P224" s="15"/>
    </row>
    <row r="225" spans="1:16" x14ac:dyDescent="0.2">
      <c r="A225" s="15" t="s">
        <v>672</v>
      </c>
      <c r="B225" s="15" t="s">
        <v>668</v>
      </c>
      <c r="C225" s="15" t="s">
        <v>1463</v>
      </c>
      <c r="D225" s="15" t="s">
        <v>119</v>
      </c>
      <c r="E225" s="15"/>
      <c r="F225" s="15" t="s">
        <v>116</v>
      </c>
      <c r="G225" s="15"/>
      <c r="H225" s="15">
        <v>1</v>
      </c>
      <c r="I225" s="15"/>
      <c r="J225" s="15" t="s">
        <v>107</v>
      </c>
      <c r="K225" s="15"/>
      <c r="L225" s="15" t="s">
        <v>662</v>
      </c>
      <c r="M225" s="15"/>
      <c r="N225" s="15"/>
      <c r="O225" s="15"/>
      <c r="P225" s="15"/>
    </row>
    <row r="226" spans="1:16" x14ac:dyDescent="0.2">
      <c r="A226" s="15" t="s">
        <v>673</v>
      </c>
      <c r="B226" s="15" t="s">
        <v>674</v>
      </c>
      <c r="C226" s="14" t="s">
        <v>438</v>
      </c>
      <c r="D226" s="15" t="s">
        <v>64</v>
      </c>
      <c r="E226" s="15" t="s">
        <v>66</v>
      </c>
      <c r="F226" s="15" t="s">
        <v>639</v>
      </c>
      <c r="G226" s="15"/>
      <c r="H226" s="15">
        <v>1</v>
      </c>
      <c r="I226" s="15"/>
      <c r="J226" s="15" t="s">
        <v>66</v>
      </c>
      <c r="K226" s="15"/>
      <c r="L226" s="15" t="s">
        <v>678</v>
      </c>
      <c r="M226" s="15"/>
      <c r="N226" s="15"/>
      <c r="O226" s="15"/>
      <c r="P226" s="15"/>
    </row>
    <row r="227" spans="1:16" x14ac:dyDescent="0.2">
      <c r="A227" s="15" t="s">
        <v>679</v>
      </c>
      <c r="B227" s="15" t="s">
        <v>680</v>
      </c>
      <c r="C227" s="14" t="s">
        <v>714</v>
      </c>
      <c r="D227" s="15" t="s">
        <v>64</v>
      </c>
      <c r="E227" s="15" t="s">
        <v>66</v>
      </c>
      <c r="F227" s="15" t="s">
        <v>105</v>
      </c>
      <c r="G227" s="15"/>
      <c r="H227" s="15">
        <v>1</v>
      </c>
      <c r="I227" s="15"/>
      <c r="J227" s="15" t="s">
        <v>66</v>
      </c>
      <c r="K227" s="15"/>
      <c r="L227" s="15" t="s">
        <v>682</v>
      </c>
      <c r="M227" s="15"/>
      <c r="N227" s="15"/>
      <c r="O227" s="15"/>
      <c r="P227" s="15"/>
    </row>
    <row r="228" spans="1:16" x14ac:dyDescent="0.2">
      <c r="A228" s="15" t="s">
        <v>684</v>
      </c>
      <c r="B228" s="15" t="s">
        <v>685</v>
      </c>
      <c r="C228" s="14" t="s">
        <v>719</v>
      </c>
      <c r="D228" s="15" t="s">
        <v>64</v>
      </c>
      <c r="E228" s="15" t="s">
        <v>66</v>
      </c>
      <c r="F228" s="15" t="s">
        <v>175</v>
      </c>
      <c r="G228" s="15"/>
      <c r="H228" s="15">
        <v>1</v>
      </c>
      <c r="I228" s="15"/>
      <c r="J228" s="15" t="s">
        <v>66</v>
      </c>
      <c r="K228" s="15"/>
      <c r="L228" s="15" t="s">
        <v>687</v>
      </c>
      <c r="M228" s="15"/>
      <c r="N228" s="15"/>
      <c r="O228" s="15"/>
      <c r="P228" s="15"/>
    </row>
    <row r="229" spans="1:16" x14ac:dyDescent="0.2">
      <c r="A229" s="15" t="s">
        <v>689</v>
      </c>
      <c r="B229" s="15" t="s">
        <v>690</v>
      </c>
      <c r="C229" s="14" t="s">
        <v>688</v>
      </c>
      <c r="D229" s="15" t="s">
        <v>64</v>
      </c>
      <c r="E229" s="15" t="s">
        <v>66</v>
      </c>
      <c r="F229" s="15" t="s">
        <v>639</v>
      </c>
      <c r="G229" s="15"/>
      <c r="H229" s="15">
        <v>1</v>
      </c>
      <c r="I229" s="15"/>
      <c r="J229" s="15" t="s">
        <v>66</v>
      </c>
      <c r="K229" s="15"/>
      <c r="L229" s="15" t="s">
        <v>692</v>
      </c>
      <c r="M229" s="15"/>
      <c r="N229" s="15"/>
      <c r="O229" s="15"/>
      <c r="P229" s="15"/>
    </row>
    <row r="230" spans="1:16" x14ac:dyDescent="0.2">
      <c r="A230" s="15" t="s">
        <v>693</v>
      </c>
      <c r="B230" s="15" t="s">
        <v>694</v>
      </c>
      <c r="C230" s="14" t="s">
        <v>724</v>
      </c>
      <c r="D230" s="15" t="s">
        <v>64</v>
      </c>
      <c r="E230" s="15" t="s">
        <v>66</v>
      </c>
      <c r="F230" s="15" t="s">
        <v>175</v>
      </c>
      <c r="G230" s="15"/>
      <c r="H230" s="15">
        <v>1</v>
      </c>
      <c r="I230" s="15"/>
      <c r="J230" s="15" t="s">
        <v>66</v>
      </c>
      <c r="K230" s="15"/>
      <c r="L230" s="15" t="s">
        <v>697</v>
      </c>
      <c r="M230" s="15"/>
      <c r="N230" s="15"/>
      <c r="O230" s="15"/>
      <c r="P230" s="15"/>
    </row>
    <row r="231" spans="1:16" x14ac:dyDescent="0.2">
      <c r="A231" s="15" t="s">
        <v>699</v>
      </c>
      <c r="B231" s="15" t="s">
        <v>700</v>
      </c>
      <c r="C231" s="15" t="s">
        <v>1483</v>
      </c>
      <c r="D231" s="15" t="s">
        <v>114</v>
      </c>
      <c r="E231" s="15"/>
      <c r="F231" s="15" t="s">
        <v>116</v>
      </c>
      <c r="G231" s="15"/>
      <c r="H231" s="15">
        <v>1</v>
      </c>
      <c r="I231" s="15"/>
      <c r="J231" s="15" t="s">
        <v>107</v>
      </c>
      <c r="K231" s="15"/>
      <c r="L231" s="15" t="s">
        <v>1517</v>
      </c>
      <c r="M231" s="15"/>
      <c r="N231" s="15"/>
      <c r="O231" s="15"/>
      <c r="P231" s="15"/>
    </row>
    <row r="232" spans="1:16" x14ac:dyDescent="0.2">
      <c r="A232" s="15" t="s">
        <v>704</v>
      </c>
      <c r="B232" s="15" t="s">
        <v>700</v>
      </c>
      <c r="C232" s="15" t="s">
        <v>1486</v>
      </c>
      <c r="D232" s="15" t="s">
        <v>118</v>
      </c>
      <c r="E232" s="15" t="s">
        <v>66</v>
      </c>
      <c r="F232" s="15" t="s">
        <v>116</v>
      </c>
      <c r="G232" s="15"/>
      <c r="H232" s="15">
        <v>1</v>
      </c>
      <c r="I232" s="15"/>
      <c r="J232" s="15" t="s">
        <v>107</v>
      </c>
      <c r="K232" s="15"/>
      <c r="L232" s="15" t="s">
        <v>662</v>
      </c>
      <c r="M232" s="15"/>
      <c r="N232" s="15"/>
      <c r="O232" s="15"/>
      <c r="P232" s="15"/>
    </row>
    <row r="233" spans="1:16" x14ac:dyDescent="0.2">
      <c r="A233" s="15" t="s">
        <v>705</v>
      </c>
      <c r="B233" s="15" t="s">
        <v>700</v>
      </c>
      <c r="C233" s="15" t="s">
        <v>1488</v>
      </c>
      <c r="D233" s="15" t="s">
        <v>119</v>
      </c>
      <c r="E233" s="15"/>
      <c r="F233" s="15" t="s">
        <v>116</v>
      </c>
      <c r="G233" s="15"/>
      <c r="H233" s="15">
        <v>1</v>
      </c>
      <c r="I233" s="15"/>
      <c r="J233" s="15" t="s">
        <v>107</v>
      </c>
      <c r="K233" s="15"/>
      <c r="L233" s="15" t="s">
        <v>662</v>
      </c>
      <c r="M233" s="15"/>
      <c r="N233" s="15"/>
      <c r="O233" s="15"/>
      <c r="P233" s="15"/>
    </row>
    <row r="234" spans="1:16" x14ac:dyDescent="0.2">
      <c r="A234" s="15" t="s">
        <v>706</v>
      </c>
      <c r="B234" s="15" t="s">
        <v>707</v>
      </c>
      <c r="C234" s="14" t="s">
        <v>698</v>
      </c>
      <c r="D234" s="15" t="s">
        <v>64</v>
      </c>
      <c r="E234" s="15" t="s">
        <v>66</v>
      </c>
      <c r="F234" s="15" t="s">
        <v>711</v>
      </c>
      <c r="G234" s="15"/>
      <c r="H234" s="15">
        <v>1</v>
      </c>
      <c r="I234" s="15"/>
      <c r="J234" s="15" t="s">
        <v>66</v>
      </c>
      <c r="K234" s="15"/>
      <c r="L234" s="15" t="s">
        <v>713</v>
      </c>
      <c r="M234" s="15"/>
      <c r="N234" s="15"/>
      <c r="O234" s="15"/>
      <c r="P234" s="15"/>
    </row>
    <row r="235" spans="1:16" x14ac:dyDescent="0.2">
      <c r="A235" s="15" t="s">
        <v>715</v>
      </c>
      <c r="B235" s="15" t="s">
        <v>716</v>
      </c>
      <c r="C235" s="14" t="s">
        <v>664</v>
      </c>
      <c r="D235" s="15" t="s">
        <v>64</v>
      </c>
      <c r="E235" s="15" t="s">
        <v>66</v>
      </c>
      <c r="F235" s="15" t="s">
        <v>639</v>
      </c>
      <c r="G235" s="15"/>
      <c r="H235" s="15">
        <v>1</v>
      </c>
      <c r="I235" s="15"/>
      <c r="J235" s="15" t="s">
        <v>66</v>
      </c>
      <c r="K235" s="15"/>
      <c r="L235" s="15" t="s">
        <v>718</v>
      </c>
      <c r="M235" s="15"/>
      <c r="N235" s="15"/>
      <c r="O235" s="15"/>
      <c r="P235" s="15"/>
    </row>
    <row r="236" spans="1:16" x14ac:dyDescent="0.2">
      <c r="A236" s="15" t="s">
        <v>720</v>
      </c>
      <c r="B236" s="15" t="s">
        <v>721</v>
      </c>
      <c r="C236" s="14" t="s">
        <v>670</v>
      </c>
      <c r="D236" s="15" t="s">
        <v>64</v>
      </c>
      <c r="E236" s="15" t="s">
        <v>66</v>
      </c>
      <c r="F236" s="15" t="s">
        <v>105</v>
      </c>
      <c r="G236" s="15"/>
      <c r="H236" s="15">
        <v>1</v>
      </c>
      <c r="I236" s="15"/>
      <c r="J236" s="15" t="s">
        <v>66</v>
      </c>
      <c r="K236" s="15"/>
      <c r="L236" s="15" t="s">
        <v>723</v>
      </c>
      <c r="M236" s="15"/>
      <c r="N236" s="15"/>
      <c r="O236" s="15"/>
      <c r="P236" s="15"/>
    </row>
    <row r="237" spans="1:16" x14ac:dyDescent="0.2">
      <c r="A237" s="15"/>
      <c r="B237" s="15"/>
      <c r="C237" s="15"/>
      <c r="D237" s="15"/>
      <c r="E237" s="15"/>
      <c r="F237" s="15"/>
      <c r="G237" s="15"/>
      <c r="H237" s="15"/>
      <c r="I237" s="15"/>
      <c r="J237" s="15"/>
      <c r="K237" s="15"/>
      <c r="L237" s="15"/>
      <c r="M237" s="15"/>
      <c r="N237" s="15"/>
      <c r="O237" s="15"/>
      <c r="P237"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2026-10-12T21:06:28Z</dcterms:modified>
  <dc:language>en-US</dc:language>
</cp:coreProperties>
</file>