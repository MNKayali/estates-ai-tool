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bil\AppData\Local\Temp\claude\C--Users-nabil-estates-ai-tool\dabfa264-632a-467f-bca3-d20315440194\scratchpad\build\"/>
    </mc:Choice>
  </mc:AlternateContent>
  <xr:revisionPtr revIDLastSave="0" documentId="13_ncr:1_{3195DDB5-609B-44BC-95F7-77A89C0572BE}" xr6:coauthVersionLast="47" xr6:coauthVersionMax="47" xr10:uidLastSave="{00000000-0000-0000-0000-000000000000}"/>
  <bookViews>
    <workbookView xWindow="41340" yWindow="2940" windowWidth="21600" windowHeight="11295" tabRatio="500" xr2:uid="{00000000-000D-0000-FFFF-FFFF00000000}"/>
  </bookViews>
  <sheets>
    <sheet name="1. Instructions" sheetId="6" r:id="rId1"/>
    <sheet name="2. Rates" sheetId="4" r:id="rId2"/>
    <sheet name="3. Settings" sheetId="3" r:id="rId3"/>
    <sheet name="4. Scope rules" sheetId="5" r:id="rId4"/>
  </sheets>
  <definedNames>
    <definedName name="_xlnm._FilterDatabase" localSheetId="1" hidden="1">'2. Rates'!$A$5:$O$146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3" i="6" l="1"/>
  <c r="C72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H122" i="4"/>
  <c r="I122" i="4"/>
  <c r="J122" i="4"/>
  <c r="K122" i="4"/>
  <c r="L122" i="4"/>
  <c r="H121" i="4"/>
  <c r="I121" i="4"/>
  <c r="J121" i="4"/>
  <c r="K121" i="4"/>
  <c r="L121" i="4"/>
  <c r="H87" i="4"/>
  <c r="I87" i="4"/>
  <c r="J87" i="4"/>
  <c r="K87" i="4"/>
  <c r="L87" i="4"/>
  <c r="H76" i="4"/>
  <c r="I76" i="4"/>
  <c r="J76" i="4"/>
  <c r="K76" i="4"/>
  <c r="L76" i="4"/>
  <c r="H66" i="4"/>
  <c r="I66" i="4"/>
  <c r="J66" i="4"/>
  <c r="K66" i="4"/>
  <c r="L66" i="4"/>
  <c r="H65" i="4"/>
  <c r="I65" i="4"/>
  <c r="J65" i="4"/>
  <c r="K65" i="4"/>
  <c r="L65" i="4"/>
  <c r="H64" i="4"/>
  <c r="H74" i="4" s="1"/>
  <c r="I64" i="4"/>
  <c r="I74" i="4" s="1"/>
  <c r="J64" i="4"/>
  <c r="J74" i="4" s="1"/>
  <c r="K64" i="4"/>
  <c r="K74" i="4" s="1"/>
  <c r="L64" i="4"/>
  <c r="L74" i="4" s="1"/>
  <c r="H63" i="4"/>
  <c r="H71" i="4" s="1"/>
  <c r="I63" i="4"/>
  <c r="I71" i="4" s="1"/>
  <c r="J63" i="4"/>
  <c r="J71" i="4" s="1"/>
  <c r="K63" i="4"/>
  <c r="K72" i="4" s="1"/>
  <c r="L63" i="4"/>
  <c r="L72" i="4" s="1"/>
  <c r="H62" i="4"/>
  <c r="H69" i="4" s="1"/>
  <c r="I62" i="4"/>
  <c r="I70" i="4" s="1"/>
  <c r="J62" i="4"/>
  <c r="J70" i="4" s="1"/>
  <c r="K62" i="4"/>
  <c r="K70" i="4" s="1"/>
  <c r="L62" i="4"/>
  <c r="L69" i="4" s="1"/>
  <c r="H61" i="4"/>
  <c r="H68" i="4" s="1"/>
  <c r="I61" i="4"/>
  <c r="I68" i="4" s="1"/>
  <c r="J61" i="4"/>
  <c r="J68" i="4" s="1"/>
  <c r="K61" i="4"/>
  <c r="K68" i="4" s="1"/>
  <c r="L61" i="4"/>
  <c r="L68" i="4" s="1"/>
  <c r="I17" i="4"/>
  <c r="K17" i="4"/>
  <c r="L17" i="4"/>
  <c r="J67" i="4" l="1"/>
  <c r="I67" i="4"/>
  <c r="H67" i="4"/>
  <c r="K69" i="4"/>
  <c r="I69" i="4"/>
  <c r="J69" i="4"/>
  <c r="J72" i="4"/>
  <c r="I73" i="4"/>
  <c r="I72" i="4"/>
  <c r="H72" i="4"/>
  <c r="H73" i="4"/>
  <c r="L70" i="4"/>
  <c r="L73" i="4"/>
  <c r="L67" i="4"/>
  <c r="K73" i="4"/>
  <c r="K67" i="4"/>
  <c r="J73" i="4"/>
  <c r="H70" i="4"/>
  <c r="L71" i="4"/>
  <c r="K71" i="4"/>
</calcChain>
</file>

<file path=xl/sharedStrings.xml><?xml version="1.0" encoding="utf-8"?>
<sst xmlns="http://schemas.openxmlformats.org/spreadsheetml/2006/main" count="4081" uniqueCount="1634">
  <si>
    <t>3. Settings</t>
  </si>
  <si>
    <t>1. Instructions</t>
  </si>
  <si>
    <t>Needs a code change</t>
  </si>
  <si>
    <t>RES Residential · STU Student · OFF Commercial offices · EDU Education · HEA Healthcare · RET Retail · IND Industrial / warehouse · HOS Hospitality / leisure · MIX Mixed use · OTH Other · ALL any building use.</t>
  </si>
  <si>
    <t>Other conditions</t>
  </si>
  <si>
    <t>Options: pick</t>
  </si>
  <si>
    <t>When selected</t>
  </si>
  <si>
    <t>HOW TO CHANGE THINGS</t>
  </si>
  <si>
    <t>Add an option</t>
  </si>
  <si>
    <t>After any change</t>
  </si>
  <si>
    <t>AI estimate – verify</t>
  </si>
  <si>
    <t>SELF-CHECKS (each should be 0)</t>
  </si>
  <si>
    <t>Unknown project type codes</t>
  </si>
  <si>
    <t>Unknown building use codes</t>
  </si>
  <si>
    <t>Items with no default option</t>
  </si>
  <si>
    <t>Ratio keys with no ALL row</t>
  </si>
  <si>
    <t>Ratios with no value</t>
  </si>
  <si>
    <t>COUNTS</t>
  </si>
  <si>
    <t>Scope items</t>
  </si>
  <si>
    <t>1</t>
  </si>
  <si>
    <t>2</t>
  </si>
  <si>
    <t>4</t>
  </si>
  <si>
    <t>UPDATE LOG</t>
  </si>
  <si>
    <t>v5.2 — 23 Sept 2026</t>
  </si>
  <si>
    <t>Brief decisions confirmed: loose furniture moved into the construction total (BCIS 4.1); number of storeys read from the existing question.</t>
  </si>
  <si>
    <t>v5.2 — Sept 2026</t>
  </si>
  <si>
    <t>Ready for Claude Code. Quantity rules written in a coded form the app can run, with named ratios and inputs on '3. Settings'. 'Options: pick' (One / Several) added. Band items default to Medium. Other conditions use the same names. Rate columns per project type and spec level, and benchmark codes, made machine-readable. 'Group 0?' column, redundant notes and old-code references removed.</t>
  </si>
  <si>
    <t>v5.1 — Sept 2026</t>
  </si>
  <si>
    <t>Reduced to three sheets. Scope items, rates, rules, intervention defaults, BCIS mapping, dependencies and old codes merged into '2. Scope and Rates'. All settings tables stacked on '3. Settings'. Drop-down validation and self-checks added.</t>
  </si>
  <si>
    <t>v5.0 — Sept 2026</t>
  </si>
  <si>
    <t>Scope library merged with the v4.5 Master Cost Table. Permanent Scope IDs. Every rate tagged with its source.</t>
  </si>
  <si>
    <t>v4.5 — June 2026</t>
  </si>
  <si>
    <t>Q2.2 trigger column removed from the Master Cost Table (see v4.5 file for earlier logs).</t>
  </si>
  <si>
    <t>Rate key</t>
  </si>
  <si>
    <t>Scope ID</t>
  </si>
  <si>
    <t>Group</t>
  </si>
  <si>
    <t>Section</t>
  </si>
  <si>
    <t>Item</t>
  </si>
  <si>
    <t>What's included</t>
  </si>
  <si>
    <t>Option</t>
  </si>
  <si>
    <t>Default option</t>
  </si>
  <si>
    <t>Unit</t>
  </si>
  <si>
    <t>Pricing type</t>
  </si>
  <si>
    <t>Quantity rule</t>
  </si>
  <si>
    <t>Available from intervention level</t>
  </si>
  <si>
    <t>Pre-ticked at intervention levels</t>
  </si>
  <si>
    <t>Apply band + location factor</t>
  </si>
  <si>
    <t>Source detail</t>
  </si>
  <si>
    <t>Shown on (project type codes)</t>
  </si>
  <si>
    <t>Pre-ticked on (project type codes)</t>
  </si>
  <si>
    <t>Relevant building uses (codes)</t>
  </si>
  <si>
    <t>When selected (dependencies)</t>
  </si>
  <si>
    <t>BCIS element 1</t>
  </si>
  <si>
    <t>Share 1</t>
  </si>
  <si>
    <t>BCIS element 2</t>
  </si>
  <si>
    <t>Share 2</t>
  </si>
  <si>
    <t>Replaces old codes</t>
  </si>
  <si>
    <t>Notes</t>
  </si>
  <si>
    <t>S-0001-01</t>
  </si>
  <si>
    <t>S-0001</t>
  </si>
  <si>
    <t>0 Facilitating works</t>
  </si>
  <si>
    <t>—</t>
  </si>
  <si>
    <t>Asbestos removal</t>
  </si>
  <si>
    <t>One</t>
  </si>
  <si>
    <t>Standard</t>
  </si>
  <si>
    <t>ALL</t>
  </si>
  <si>
    <t>Yes</t>
  </si>
  <si>
    <t>gifa_rate</t>
  </si>
  <si>
    <t>IF(PT=NB, DEMOLISHED, GIFA)</t>
  </si>
  <si>
    <t>v4.5 0.1 for Refurbishment and Extension. New Build and External works columns were 0 in v4.5; set to the Refurbishment Std/High values (AI adjustment) so asbestos in a building being demolished is priced</t>
  </si>
  <si>
    <t>NB EX RF FO EW DM OM</t>
  </si>
  <si>
    <t>AGE&lt;2000 &amp; PT=RF FO DM → tick</t>
  </si>
  <si>
    <t>0.1</t>
  </si>
  <si>
    <t>S-0002-01</t>
  </si>
  <si>
    <t>S-0002</t>
  </si>
  <si>
    <t>Demolition of existing building</t>
  </si>
  <si>
    <t>m² demolished</t>
  </si>
  <si>
    <t>DEMOLISHED</t>
  </si>
  <si>
    <t>v4.5 0.2 Refurbishment rates applied to every column: demolition cost doesn't depend on what replaces the building. v4.5 0.2 also covered structural alterations, now in Alterations</t>
  </si>
  <si>
    <t>NB EX EW DM OM</t>
  </si>
  <si>
    <t>DM</t>
  </si>
  <si>
    <t>SUGGEST: S-0001 Asbestos removal · ASSUME (NB): demolished area = new GIFA unless entered</t>
  </si>
  <si>
    <t>0.2</t>
  </si>
  <si>
    <t>S-0003-01</t>
  </si>
  <si>
    <t>S-0003</t>
  </si>
  <si>
    <t>Strip-out</t>
  </si>
  <si>
    <t>GIFA</t>
  </si>
  <si>
    <t>1, 2, 3, 4</t>
  </si>
  <si>
    <t>v4.5 0.5. No source recorded in v4.5</t>
  </si>
  <si>
    <t>RF FO OM</t>
  </si>
  <si>
    <t>0.5</t>
  </si>
  <si>
    <t>S-0004-01</t>
  </si>
  <si>
    <t>S-0004</t>
  </si>
  <si>
    <t>Contaminated land</t>
  </si>
  <si>
    <t>IF(PT=EW, EXT_AREA, GIFA)</t>
  </si>
  <si>
    <t>v4.5 0.3. No source recorded in v4.5</t>
  </si>
  <si>
    <t>0.3</t>
  </si>
  <si>
    <t>S-0005-01</t>
  </si>
  <si>
    <t>S-0005</t>
  </si>
  <si>
    <t>Ground improvement</t>
  </si>
  <si>
    <t>FOOTPRINT</t>
  </si>
  <si>
    <t>NB EX EW OM</t>
  </si>
  <si>
    <t>0.4</t>
  </si>
  <si>
    <t>S-0006-01</t>
  </si>
  <si>
    <t>S-0006</t>
  </si>
  <si>
    <t>Tree removal</t>
  </si>
  <si>
    <t>nr trees</t>
  </si>
  <si>
    <t>per_nr</t>
  </si>
  <si>
    <t>ENTER</t>
  </si>
  <si>
    <t>No</t>
  </si>
  <si>
    <t>AI estimate: felling and stump removal per tree. Spec level stands in for tree size. Not in v4.5</t>
  </si>
  <si>
    <t>8.1</t>
  </si>
  <si>
    <t>0.6</t>
  </si>
  <si>
    <t>S-0007-01</t>
  </si>
  <si>
    <t>S-0007</t>
  </si>
  <si>
    <t>Service diversions</t>
  </si>
  <si>
    <t>Size: Small</t>
  </si>
  <si>
    <t>band</t>
  </si>
  <si>
    <t>per_item</t>
  </si>
  <si>
    <t>0.7</t>
  </si>
  <si>
    <t>Size: Medium</t>
  </si>
  <si>
    <t>Size: Large</t>
  </si>
  <si>
    <t>S-0008-01</t>
  </si>
  <si>
    <t>S-0008</t>
  </si>
  <si>
    <t>1 Substructure</t>
  </si>
  <si>
    <t>Foundations</t>
  </si>
  <si>
    <t>Type: Standard</t>
  </si>
  <si>
    <t>footprint_rate</t>
  </si>
  <si>
    <t>v4.5 1.1. No source recorded in v4.5</t>
  </si>
  <si>
    <t>NB EX OM</t>
  </si>
  <si>
    <t>NB EX</t>
  </si>
  <si>
    <t>1.1</t>
  </si>
  <si>
    <t>1.1, 1.2</t>
  </si>
  <si>
    <t>S-0008-02</t>
  </si>
  <si>
    <t>Type: Piled</t>
  </si>
  <si>
    <t>v4.5 1.2. No source recorded in v4.5</t>
  </si>
  <si>
    <t>S-0008-03</t>
  </si>
  <si>
    <t>Type: Not sure</t>
  </si>
  <si>
    <t>Prices as Standard foundations and raises a piling risk (Dependencies)</t>
  </si>
  <si>
    <t>RISK: piling may be required</t>
  </si>
  <si>
    <t>S-0009-01</t>
  </si>
  <si>
    <t>S-0009</t>
  </si>
  <si>
    <t>Ground floor slab</t>
  </si>
  <si>
    <t>v4.5 1.3. No source recorded in v4.5</t>
  </si>
  <si>
    <t>1.3</t>
  </si>
  <si>
    <t>S-0010-01</t>
  </si>
  <si>
    <t>S-0010</t>
  </si>
  <si>
    <t>Basement</t>
  </si>
  <si>
    <t>m² basement</t>
  </si>
  <si>
    <t>v4.5 1.4 (900 / 1,600) plus an AI allowance of £100 / £150 per m² for tanking, which moved here from retired 2.9</t>
  </si>
  <si>
    <t>ASSUME: excavation, retaining walls and tanking included · RISK: groundwater and dewatering</t>
  </si>
  <si>
    <t>1.4, 2.9, 2.10</t>
  </si>
  <si>
    <t>S-0011-01</t>
  </si>
  <si>
    <t>S-0011</t>
  </si>
  <si>
    <t>2 Superstructure and envelope</t>
  </si>
  <si>
    <t>Structure</t>
  </si>
  <si>
    <t>Frame</t>
  </si>
  <si>
    <t>v4.5 2.1. No source recorded in v4.5</t>
  </si>
  <si>
    <t>2.1</t>
  </si>
  <si>
    <t>S-0012-01</t>
  </si>
  <si>
    <t>S-0012</t>
  </si>
  <si>
    <t>Upper floors</t>
  </si>
  <si>
    <t>upperfloors_rate</t>
  </si>
  <si>
    <t>UPPER</t>
  </si>
  <si>
    <t>v4.5 2.2. No source recorded in v4.5</t>
  </si>
  <si>
    <t>STOREYS&lt;2 → untick</t>
  </si>
  <si>
    <t>2.2</t>
  </si>
  <si>
    <t>S-0013-01</t>
  </si>
  <si>
    <t>S-0013</t>
  </si>
  <si>
    <t>Stairs and ramps</t>
  </si>
  <si>
    <t>v4.5 2.4. No source recorded in v4.5</t>
  </si>
  <si>
    <t>NB EX RF OM</t>
  </si>
  <si>
    <t>2.4</t>
  </si>
  <si>
    <t>S-0014-01</t>
  </si>
  <si>
    <t>S-0014</t>
  </si>
  <si>
    <t>Mezzanine floor</t>
  </si>
  <si>
    <t>m² mezzanine</t>
  </si>
  <si>
    <t>area_rate</t>
  </si>
  <si>
    <t>AI estimate per m² of mezzanine floor. v4.5 6.2 was priced per m² of whole-building GIFA, so it isn't comparable</t>
  </si>
  <si>
    <t>NB EX RF FO OM</t>
  </si>
  <si>
    <t>OFF EDU RET IND</t>
  </si>
  <si>
    <t>2.12, 6.2</t>
  </si>
  <si>
    <t>S-0015-01</t>
  </si>
  <si>
    <t>S-0015</t>
  </si>
  <si>
    <t>Roof and walls</t>
  </si>
  <si>
    <t>Roof</t>
  </si>
  <si>
    <t>v4.5 2.3. No source recorded in v4.5</t>
  </si>
  <si>
    <t>2.3</t>
  </si>
  <si>
    <t>S-0016-01</t>
  </si>
  <si>
    <t>S-0016</t>
  </si>
  <si>
    <t>External walls</t>
  </si>
  <si>
    <t>v4.5 2.5. No source recorded in v4.5</t>
  </si>
  <si>
    <t>2.5</t>
  </si>
  <si>
    <t>S-0017-01</t>
  </si>
  <si>
    <t>S-0017</t>
  </si>
  <si>
    <t>Windows and external doors</t>
  </si>
  <si>
    <t>v4.5 2.6. No source recorded in v4.5</t>
  </si>
  <si>
    <t>2.6</t>
  </si>
  <si>
    <t>S-0018-01</t>
  </si>
  <si>
    <t>S-0018</t>
  </si>
  <si>
    <t>Internal walls and doors</t>
  </si>
  <si>
    <t>Internal walls</t>
  </si>
  <si>
    <t>v4.5 2.7. No source recorded in v4.5</t>
  </si>
  <si>
    <t>2.7</t>
  </si>
  <si>
    <t>S-0019-01</t>
  </si>
  <si>
    <t>S-0019</t>
  </si>
  <si>
    <t>Internal doors</t>
  </si>
  <si>
    <t>v4.5 2.8. No source recorded in v4.5</t>
  </si>
  <si>
    <t>2.8</t>
  </si>
  <si>
    <t>S-0020-01</t>
  </si>
  <si>
    <t>S-0020</t>
  </si>
  <si>
    <t>Fire stopping</t>
  </si>
  <si>
    <t>3, 4</t>
  </si>
  <si>
    <t>AI estimate: fire stopping and compartmentation upgrade in an existing building. Not in v4.5</t>
  </si>
  <si>
    <t>EX RF FO OM</t>
  </si>
  <si>
    <t>2.11</t>
  </si>
  <si>
    <t>S-0021-01</t>
  </si>
  <si>
    <t>S-0021</t>
  </si>
  <si>
    <t>3 Internal finishes</t>
  </si>
  <si>
    <t>Wall finishes</t>
  </si>
  <si>
    <t>v4.5 3.1. No source recorded in v4.5</t>
  </si>
  <si>
    <t>3.1</t>
  </si>
  <si>
    <t>2.9, 3.1</t>
  </si>
  <si>
    <t>S-0022-01</t>
  </si>
  <si>
    <t>S-0022</t>
  </si>
  <si>
    <t>Floor finishes</t>
  </si>
  <si>
    <t>Raised access floor: No</t>
  </si>
  <si>
    <t>v4.5 3.2. No source recorded in v4.5</t>
  </si>
  <si>
    <t>3.2</t>
  </si>
  <si>
    <t>2.9, 3.2</t>
  </si>
  <si>
    <t>S-0022-02</t>
  </si>
  <si>
    <t>Raised access floor: Yes</t>
  </si>
  <si>
    <t>v4.5 3.2 plus an AI allowance of £45/m² for raised access floor</t>
  </si>
  <si>
    <t>S-0023-01</t>
  </si>
  <si>
    <t>S-0023</t>
  </si>
  <si>
    <t>Ceiling finishes</t>
  </si>
  <si>
    <t>v4.5 3.3. No source recorded in v4.5</t>
  </si>
  <si>
    <t>3.3</t>
  </si>
  <si>
    <t>S-0024-01</t>
  </si>
  <si>
    <t>S-0024</t>
  </si>
  <si>
    <t>4 Toilets, kitchens and fittings</t>
  </si>
  <si>
    <t>Toilets, bathrooms and kitchens</t>
  </si>
  <si>
    <t>Toilets</t>
  </si>
  <si>
    <t>Several</t>
  </si>
  <si>
    <t>nr</t>
  </si>
  <si>
    <t>ROUND(GIFA / r.m2_per_person / r.persons_per_wc, 0)</t>
  </si>
  <si>
    <t>OFF EDU HEA RET IND HOS</t>
  </si>
  <si>
    <t>5.1</t>
  </si>
  <si>
    <t>4.2-COM, 4.2-HC, 4.2-HP, 4.31-NR, 4.32-HOH, 5.30-NR</t>
  </si>
  <si>
    <t>HOS</t>
  </si>
  <si>
    <t>HEA</t>
  </si>
  <si>
    <t>S-0024-04</t>
  </si>
  <si>
    <t>Accessible</t>
  </si>
  <si>
    <t>STOREYS * r.accessible_wc_per_floor</t>
  </si>
  <si>
    <t>AI estimate: Doc M pack, grab rails, alarm and larger cubicle. Not in v4.5</t>
  </si>
  <si>
    <t>S-0024-05</t>
  </si>
  <si>
    <t>AI estimate per Changing Places facility (hoist, adult changing bench, peninsular WC). Not in v4.5</t>
  </si>
  <si>
    <t>S-0025-01</t>
  </si>
  <si>
    <t>S-0025</t>
  </si>
  <si>
    <t>Bathrooms and en-suites</t>
  </si>
  <si>
    <t>ROUND(IF(USE=STU, GIFA / r.m2_per_bed, IF(USE=HOS, GIFA / r.m2_per_key, GIFA / r.m2_per_dwelling * r.bathrooms_per_dwelling)), 0)</t>
  </si>
  <si>
    <t>v4.5 4.2-RES. No source recorded in v4.5</t>
  </si>
  <si>
    <t>RES STU HOS</t>
  </si>
  <si>
    <t>4.2-HG, 4.2-RES, 6.3</t>
  </si>
  <si>
    <t>S-0025-02</t>
  </si>
  <si>
    <t>v4.5 4.2-HG. No source recorded in v4.5</t>
  </si>
  <si>
    <t>S-0026-01</t>
  </si>
  <si>
    <t>S-0026</t>
  </si>
  <si>
    <t>Showers</t>
  </si>
  <si>
    <t>AI estimate per shower: tray, screen, valve and fittings. Not in v4.5</t>
  </si>
  <si>
    <t>4.41</t>
  </si>
  <si>
    <t>S-0027-01</t>
  </si>
  <si>
    <t>S-0027</t>
  </si>
  <si>
    <t>Kitchens</t>
  </si>
  <si>
    <t>Type: Domestic kitchen</t>
  </si>
  <si>
    <t>ROUND(IF(USE=RES, GIFA / r.m2_per_dwelling, IF(USE=STU, GIFA / r.m2_per_bed / r.beds_per_kitchen, STOREYS * r.tea_points_per_floor)), 0)</t>
  </si>
  <si>
    <t>v4.5 4.3. No source recorded in v4.5</t>
  </si>
  <si>
    <t>4.2</t>
  </si>
  <si>
    <t>4.3, 4.3-NR, 4.3-RES, 4.42</t>
  </si>
  <si>
    <t>S-0027-02</t>
  </si>
  <si>
    <t>AI estimate for a staff kitchenette. v4.5 4.3 combined domestic kitchen and break-out</t>
  </si>
  <si>
    <t>S-0028-01</t>
  </si>
  <si>
    <t>S-0028</t>
  </si>
  <si>
    <t>Fittings and furniture</t>
  </si>
  <si>
    <t>Fixed joinery</t>
  </si>
  <si>
    <t>v4.5 4.1. No source recorded in v4.5</t>
  </si>
  <si>
    <t>4.1</t>
  </si>
  <si>
    <t>S-0029-01</t>
  </si>
  <si>
    <t>S-0029</t>
  </si>
  <si>
    <t>Signage</t>
  </si>
  <si>
    <t>v4.5 4.5. No source recorded in v4.5</t>
  </si>
  <si>
    <t>4.4</t>
  </si>
  <si>
    <t>4.5</t>
  </si>
  <si>
    <t>S-0030-01</t>
  </si>
  <si>
    <t>S-0030</t>
  </si>
  <si>
    <t>AV equipment</t>
  </si>
  <si>
    <t>v4.5 4.22 £/room (v4.5 cites Kinly 2025, not verified) ÷ 200 m² GIFA per AV room (assumption)</t>
  </si>
  <si>
    <t>OFF EDU HEA HOS</t>
  </si>
  <si>
    <t>5.12</t>
  </si>
  <si>
    <t>4.22</t>
  </si>
  <si>
    <t>S-0031-01</t>
  </si>
  <si>
    <t>S-0031</t>
  </si>
  <si>
    <t>Loose furniture</t>
  </si>
  <si>
    <t>4.6, 4.7, 4.8, 4.9, 4.33</t>
  </si>
  <si>
    <t>S-0031-02</t>
  </si>
  <si>
    <t>RES</t>
  </si>
  <si>
    <t>v4.5 4.6 furniture + 4.9 white goods per flat (cite BCIS Q1 2026, not verified) ÷ 70 m² per flat (assumption)</t>
  </si>
  <si>
    <t>S-0031-03</t>
  </si>
  <si>
    <t>STU</t>
  </si>
  <si>
    <t>v4.5 4.6 per room (cites BCIS Q1 2026, not verified) ÷ 25 m² GIFA per student bed (assumption)</t>
  </si>
  <si>
    <t>S-0031-04</t>
  </si>
  <si>
    <t>v4.5 4.8 per hotel room (cites C&amp;W 2025, not verified) ÷ 40 m² GIFA per key (assumption)</t>
  </si>
  <si>
    <t>S-0032-01</t>
  </si>
  <si>
    <t>S-0032</t>
  </si>
  <si>
    <t>Specialist equipment</t>
  </si>
  <si>
    <t>Catering kitchen</t>
  </si>
  <si>
    <t>GIFA * r.pct_catering</t>
  </si>
  <si>
    <t>v4.5 4.10 equipment + 4.11 canopy (per kitchen) ÷ 60 m² typical kitchen (assumption), plus 5.23 grease/drainage per m². Sources cited in v4.5: CEDA 2024, BESA Q2 2026, ACO 2025 (not verified)</t>
  </si>
  <si>
    <t>STU OFF EDU HEA RET IND HOS</t>
  </si>
  <si>
    <t>ASSUME: extract canopy and grease trap included</t>
  </si>
  <si>
    <t>5.2</t>
  </si>
  <si>
    <t>4.10, 4.11, 4.12, 4.16, 4.34</t>
  </si>
  <si>
    <t>S-0033-01</t>
  </si>
  <si>
    <t>S-0033</t>
  </si>
  <si>
    <t>Laboratory</t>
  </si>
  <si>
    <t>m² lab</t>
  </si>
  <si>
    <t>GIFA * r.pct_lab</t>
  </si>
  <si>
    <t>EDU HEA IND</t>
  </si>
  <si>
    <t>SUGGEST: S-0059 Fume extraction</t>
  </si>
  <si>
    <t>4.3</t>
  </si>
  <si>
    <t>4.20, 4.21, 4.36</t>
  </si>
  <si>
    <t>S-0034-01</t>
  </si>
  <si>
    <t>S-0034</t>
  </si>
  <si>
    <t>Clinical</t>
  </si>
  <si>
    <t>m² clinical</t>
  </si>
  <si>
    <t>GIFA * r.pct_clinical</t>
  </si>
  <si>
    <t>SUGGEST: S-0061 Medical gases</t>
  </si>
  <si>
    <t>4.19, 4.37</t>
  </si>
  <si>
    <t>S-0035-01</t>
  </si>
  <si>
    <t>S-0035</t>
  </si>
  <si>
    <t>Retail</t>
  </si>
  <si>
    <t>m² sales area</t>
  </si>
  <si>
    <t>IF(USE=RET, GIFA, ENTER)</t>
  </si>
  <si>
    <t>v4.5 4.24 display per m² + 4.25 tills (1 per 100 m²) + 4.27 EAS (1 per 300 m²), assumptions. Fitting rooms: use Other / specialist</t>
  </si>
  <si>
    <t>RET</t>
  </si>
  <si>
    <t>4.24, 4.25, 4.27, 4.35</t>
  </si>
  <si>
    <t>S-0036-01</t>
  </si>
  <si>
    <t>S-0036</t>
  </si>
  <si>
    <t>Warehouse</t>
  </si>
  <si>
    <t>IF(USE=IND, GIFA, ENTER)</t>
  </si>
  <si>
    <t>v4.5 4.13 racking ÷ 2,000 m² + 4.14 dock leveller and 4.15 door per 1,000 m² (assumptions). v4.5 cites SEMA, Thorworld, Hormann (not verified)</t>
  </si>
  <si>
    <t>IND</t>
  </si>
  <si>
    <t>4.13, 4.14, 4.15, 4.38</t>
  </si>
  <si>
    <t>S-0037-01</t>
  </si>
  <si>
    <t>S-0037</t>
  </si>
  <si>
    <t>Sports</t>
  </si>
  <si>
    <t>m² sports area</t>
  </si>
  <si>
    <t>v4.5 4.28 gym equipment per m² + 20% of area as changing at 4.30 rate (assumption)</t>
  </si>
  <si>
    <t>EDU HOS</t>
  </si>
  <si>
    <t>4.28, 4.30, 4.39</t>
  </si>
  <si>
    <t>S-0038-01</t>
  </si>
  <si>
    <t>S-0038</t>
  </si>
  <si>
    <t>Cleanroom</t>
  </si>
  <si>
    <t>m² cleanroom</t>
  </si>
  <si>
    <t>v4.5 6.4. v4.5 cites: ISO 14644, M+W 2025 (not verified)</t>
  </si>
  <si>
    <t>5.13</t>
  </si>
  <si>
    <t>4.44, 6.4</t>
  </si>
  <si>
    <t>S-0039-01</t>
  </si>
  <si>
    <t>S-0039</t>
  </si>
  <si>
    <t>5 Services</t>
  </si>
  <si>
    <t>Mechanical</t>
  </si>
  <si>
    <t>Heating and hot water</t>
  </si>
  <si>
    <t>System: Gas boiler · Scope: Full system</t>
  </si>
  <si>
    <t>5.5</t>
  </si>
  <si>
    <t>5.6</t>
  </si>
  <si>
    <t>5.2, 5.2L, 5.5</t>
  </si>
  <si>
    <t>S-0039-02</t>
  </si>
  <si>
    <t>System: Air source heat pump · Scope: Full system</t>
  </si>
  <si>
    <t>Gas boiler full system × 1.3 (AI factor for air source heat pump)</t>
  </si>
  <si>
    <t>RISK: electrical capacity and DNO check · RATE: Electricity supply upgrade one band up · ASSUME: external plant space included</t>
  </si>
  <si>
    <t>S-0039-03</t>
  </si>
  <si>
    <t>System: Ground source heat pump · Scope: Full system</t>
  </si>
  <si>
    <t>Gas boiler full system × 1.8 (AI factor for ground source heat pump)</t>
  </si>
  <si>
    <t>S-0039-04</t>
  </si>
  <si>
    <t>System: District heating · Scope: Full system</t>
  </si>
  <si>
    <t>Gas boiler full system × 0.9 (AI factor for district heating)</t>
  </si>
  <si>
    <t>S-0039-05</t>
  </si>
  <si>
    <t>System: Electric · Scope: Full system</t>
  </si>
  <si>
    <t>Gas boiler full system × 0.6 (AI factor for electric)</t>
  </si>
  <si>
    <t>S-0039-06</t>
  </si>
  <si>
    <t>System: Gas boiler · Scope: Plant only</t>
  </si>
  <si>
    <t>Full system × 0.35 (AI share for plant). Replaces v4.5 5.2L (£ per item, domestic scale)</t>
  </si>
  <si>
    <t>S-0039-07</t>
  </si>
  <si>
    <t>System: Gas boiler · Scope: Radiators and controls only</t>
  </si>
  <si>
    <t>Full system × 0.30 (AI share for emitters, TRVs and controls)</t>
  </si>
  <si>
    <t>S-0039-08</t>
  </si>
  <si>
    <t>System: Air source heat pump · Scope: Plant only</t>
  </si>
  <si>
    <t>Full system × 0.45 (AI share for plant). Replaces v4.5 5.2L (£ per item, domestic scale)</t>
  </si>
  <si>
    <t>RISK: electrical capacity and DNO check · RATE: Electricity supply upgrade one band up · ASSUME: external plant space included · RISK: existing radiators may need upsizing</t>
  </si>
  <si>
    <t>S-0039-09</t>
  </si>
  <si>
    <t>System: Air source heat pump · Scope: Radiators and controls only</t>
  </si>
  <si>
    <t>S-0039-10</t>
  </si>
  <si>
    <t>System: Ground source heat pump · Scope: Plant only</t>
  </si>
  <si>
    <t>S-0039-11</t>
  </si>
  <si>
    <t>System: Ground source heat pump · Scope: Radiators and controls only</t>
  </si>
  <si>
    <t>S-0039-12</t>
  </si>
  <si>
    <t>System: District heating · Scope: Plant only</t>
  </si>
  <si>
    <t>Full system × 0.3 (AI share for plant). Replaces v4.5 5.2L (£ per item, domestic scale)</t>
  </si>
  <si>
    <t>S-0039-13</t>
  </si>
  <si>
    <t>System: District heating · Scope: Radiators and controls only</t>
  </si>
  <si>
    <t>S-0039-14</t>
  </si>
  <si>
    <t>System: Electric · Scope: Plant only</t>
  </si>
  <si>
    <t>Full system × 0.5 (AI share for plant). Replaces v4.5 5.2L (£ per item, domestic scale)</t>
  </si>
  <si>
    <t>S-0039-15</t>
  </si>
  <si>
    <t>System: Electric · Scope: Radiators and controls only</t>
  </si>
  <si>
    <t>S-0040-01</t>
  </si>
  <si>
    <t>S-0040</t>
  </si>
  <si>
    <t>Water and drainage</t>
  </si>
  <si>
    <t>Scope: Full installation</t>
  </si>
  <si>
    <t>5.3</t>
  </si>
  <si>
    <t>5.4</t>
  </si>
  <si>
    <t>S-0040-02</t>
  </si>
  <si>
    <t>Scope: Visible fittings only</t>
  </si>
  <si>
    <t>Full installation × 0.30 (AI share for taps and visible fittings)</t>
  </si>
  <si>
    <t>S-0041-01</t>
  </si>
  <si>
    <t>S-0041</t>
  </si>
  <si>
    <t>Ventilation</t>
  </si>
  <si>
    <t>v4.5 5.3. No source recorded in v4.5</t>
  </si>
  <si>
    <t>5.7</t>
  </si>
  <si>
    <t>S-0042-01</t>
  </si>
  <si>
    <t>S-0042</t>
  </si>
  <si>
    <t>Cooling</t>
  </si>
  <si>
    <t>v4.5 5.4. No source recorded in v4.5</t>
  </si>
  <si>
    <t>S-0043-01</t>
  </si>
  <si>
    <t>S-0043</t>
  </si>
  <si>
    <t>Controls and BMS</t>
  </si>
  <si>
    <t>v4.5 5.14. No source recorded in v4.5</t>
  </si>
  <si>
    <t>5.14</t>
  </si>
  <si>
    <t>S-0044-01</t>
  </si>
  <si>
    <t>S-0044</t>
  </si>
  <si>
    <t>Electrical</t>
  </si>
  <si>
    <t>Electricity supply upgrade</t>
  </si>
  <si>
    <t>v4.5 5.13 Basic lump sum reused as the Small band. v4.5 cites Ofgem/National Grid 2023-26 (not verified)</t>
  </si>
  <si>
    <t>NB EX RF FO EW OM</t>
  </si>
  <si>
    <t>8.7</t>
  </si>
  <si>
    <t>S-0044-02</t>
  </si>
  <si>
    <t>v4.5 5.13 Std lump sum reused as the Medium band. v4.5 cites Ofgem/National Grid 2023-26 (not verified)</t>
  </si>
  <si>
    <t>S-0044-03</t>
  </si>
  <si>
    <t>v4.5 5.13 High lump sum reused as the Large band. v4.5 cites Ofgem/National Grid 2023-26 (not verified)</t>
  </si>
  <si>
    <t>S-0045-01</t>
  </si>
  <si>
    <t>S-0045</t>
  </si>
  <si>
    <t>Power</t>
  </si>
  <si>
    <t>v4.5 5.7 switchgear + 5.7a sub-distribution + 5.8 wiring. 5.7a cites C&amp;W 2025 / BCIS Q1 2026 (not verified)</t>
  </si>
  <si>
    <t>5.8</t>
  </si>
  <si>
    <t>5.7, 5.7a, 5.8, 5.8a, 5.8b</t>
  </si>
  <si>
    <t>S-0045-02</t>
  </si>
  <si>
    <t>RES STU</t>
  </si>
  <si>
    <t>v4.5 5.7 switchgear + 5.8 wiring (no sub-distribution row for residential in v4.5)</t>
  </si>
  <si>
    <t>S-0045-03</t>
  </si>
  <si>
    <t>Scope: Second fix only</t>
  </si>
  <si>
    <t>v4.5 5.8b. v4.5 cites: C&amp;W 2025, RateQS Nov 2025 (not verified)</t>
  </si>
  <si>
    <t>S-0046-01</t>
  </si>
  <si>
    <t>S-0046</t>
  </si>
  <si>
    <t>Lighting</t>
  </si>
  <si>
    <t>v4.5 5.8c luminaires and controls (cites C&amp;W Fit-Out Guide 2025, not verified) + 5.10 external lighting on the building</t>
  </si>
  <si>
    <t>5.8c, 5.10</t>
  </si>
  <si>
    <t>S-0046-02</t>
  </si>
  <si>
    <t>Scope: Replace fittings only</t>
  </si>
  <si>
    <t>Full installation × 0.75 (AI: like-for-like luminaires, no new controls or layout)</t>
  </si>
  <si>
    <t>S-0047-01</t>
  </si>
  <si>
    <t>S-0047</t>
  </si>
  <si>
    <t>Emergency lighting</t>
  </si>
  <si>
    <t>v4.5 5.9b. v4.5 cites: BCIS Q1 2026 (not verified)</t>
  </si>
  <si>
    <t>5.9b</t>
  </si>
  <si>
    <t>S-0048-01</t>
  </si>
  <si>
    <t>S-0048</t>
  </si>
  <si>
    <t>Standby power</t>
  </si>
  <si>
    <t>Type: Generator · Size: Small</t>
  </si>
  <si>
    <t>AI estimate (up to 50 kVA)</t>
  </si>
  <si>
    <t>PT=NB &amp; USE=HEA → tick</t>
  </si>
  <si>
    <t>5.25, 5.26</t>
  </si>
  <si>
    <t>S-0048-02</t>
  </si>
  <si>
    <t>Type: UPS · Size: Small</t>
  </si>
  <si>
    <t>v4.5 5.26 Std (10–20 kVA), cites Eaton 2025 (not verified)</t>
  </si>
  <si>
    <t>S-0048-03</t>
  </si>
  <si>
    <t>Type: Generator · Size: Medium</t>
  </si>
  <si>
    <t>v4.5 5.25 Std (50–100 kVA), cites FG Wilson 2025 (not verified)</t>
  </si>
  <si>
    <t>S-0048-04</t>
  </si>
  <si>
    <t>Type: UPS · Size: Medium</t>
  </si>
  <si>
    <t>AI estimate between v4.5 Std and High</t>
  </si>
  <si>
    <t>S-0048-05</t>
  </si>
  <si>
    <t>Type: Generator · Size: Large</t>
  </si>
  <si>
    <t>v4.5 5.25 High (200–400 kVA), cites FG Wilson 2025 (not verified)</t>
  </si>
  <si>
    <t>S-0048-06</t>
  </si>
  <si>
    <t>Type: UPS · Size: Large</t>
  </si>
  <si>
    <t>v4.5 5.26 High (50–100 kVA), cites Eaton 2025 (not verified)</t>
  </si>
  <si>
    <t>S-0049-01</t>
  </si>
  <si>
    <t>S-0049</t>
  </si>
  <si>
    <t>Fire safety</t>
  </si>
  <si>
    <t>Fire alarm</t>
  </si>
  <si>
    <t>v4.5 5.9a. v4.5 cites: BCIS Q1 2026, C&amp;W 2025 (not verified)</t>
  </si>
  <si>
    <t>5.9a</t>
  </si>
  <si>
    <t>S-0050-01</t>
  </si>
  <si>
    <t>S-0050</t>
  </si>
  <si>
    <t>Sprinklers</t>
  </si>
  <si>
    <t>v4.5 5.6. Refurbishment Basic was 0 in v4.5; set to the Std value so sprinklers are never free</t>
  </si>
  <si>
    <t>PT=NB &amp; USE=RES STU &amp; STOREYS&gt;=4 → tick</t>
  </si>
  <si>
    <t>5.11</t>
  </si>
  <si>
    <t>S-0051-01</t>
  </si>
  <si>
    <t>S-0051</t>
  </si>
  <si>
    <t>Smoke ventilation</t>
  </si>
  <si>
    <t>nr floors</t>
  </si>
  <si>
    <t>STOREYS</t>
  </si>
  <si>
    <t>AI estimate per floor served: AOV, controls and interface. Not in v4.5</t>
  </si>
  <si>
    <t>RES STU HEA HOS</t>
  </si>
  <si>
    <t>PT=NB &amp; STOREYS&gt;=2 → tick</t>
  </si>
  <si>
    <t>5.31</t>
  </si>
  <si>
    <t>S-0052-01</t>
  </si>
  <si>
    <t>S-0052</t>
  </si>
  <si>
    <t>Data and security</t>
  </si>
  <si>
    <t>Data and IT</t>
  </si>
  <si>
    <t>v4.5 5.16. No source recorded in v4.5</t>
  </si>
  <si>
    <t>NB</t>
  </si>
  <si>
    <t>5.16</t>
  </si>
  <si>
    <t>S-0053-01</t>
  </si>
  <si>
    <t>S-0053</t>
  </si>
  <si>
    <t>Security</t>
  </si>
  <si>
    <t>v4.5 5.18. No source recorded in v4.5</t>
  </si>
  <si>
    <t>5.18</t>
  </si>
  <si>
    <t>S-0054-01</t>
  </si>
  <si>
    <t>S-0054</t>
  </si>
  <si>
    <t>Lifts</t>
  </si>
  <si>
    <t>Type: Passenger</t>
  </si>
  <si>
    <t>IF(STOREYS&gt;=2, 1, 0)</t>
  </si>
  <si>
    <t>v4.5 5.19. No source recorded in v4.5</t>
  </si>
  <si>
    <t>5.10</t>
  </si>
  <si>
    <t>5.19</t>
  </si>
  <si>
    <t>S-0054-02</t>
  </si>
  <si>
    <t>Type: Platform</t>
  </si>
  <si>
    <t>AI estimate per platform lift. v4.5 5.19 combined lifts and platform lifts</t>
  </si>
  <si>
    <t>S-0054-03</t>
  </si>
  <si>
    <t>Type: Goods or bed</t>
  </si>
  <si>
    <t>AI estimate per goods or bed lift</t>
  </si>
  <si>
    <t>S-0055-01</t>
  </si>
  <si>
    <t>S-0055</t>
  </si>
  <si>
    <t>Renewables and EV</t>
  </si>
  <si>
    <t>Solar PV</t>
  </si>
  <si>
    <t>kWp</t>
  </si>
  <si>
    <t>per_kwp</t>
  </si>
  <si>
    <t>FOOTPRINT * r.kwp_per_m2_roof</t>
  </si>
  <si>
    <t>RISK: roof condition and structure to confirm; DNO G99 application</t>
  </si>
  <si>
    <t>S-0056-01</t>
  </si>
  <si>
    <t>S-0056</t>
  </si>
  <si>
    <t>Battery storage</t>
  </si>
  <si>
    <t>kWh</t>
  </si>
  <si>
    <t>per_kwh</t>
  </si>
  <si>
    <t>S-0057-01</t>
  </si>
  <si>
    <t>S-0057</t>
  </si>
  <si>
    <t>EV charging</t>
  </si>
  <si>
    <t>nr chargers</t>
  </si>
  <si>
    <t>IF(USE=RES, ROUND(GIFA / r.m2_per_dwelling, 0), MAX(1, ROUND(Q(S-0074) / 5, 0)))</t>
  </si>
  <si>
    <t>v4.5 5.15. Refurbishment Basic was 0 in v4.5; set to the Std value</t>
  </si>
  <si>
    <t>RISK: DNO capacity check · RATE: Electricity supply upgrade one band up</t>
  </si>
  <si>
    <t>5.15</t>
  </si>
  <si>
    <t>S-0058-01</t>
  </si>
  <si>
    <t>S-0058</t>
  </si>
  <si>
    <t>Specialist services</t>
  </si>
  <si>
    <t>Compressed air</t>
  </si>
  <si>
    <t>AI estimate below v4.5 5.21 Std</t>
  </si>
  <si>
    <t>EDU IND</t>
  </si>
  <si>
    <t>5.21</t>
  </si>
  <si>
    <t>S-0058-02</t>
  </si>
  <si>
    <t>v4.5 5.21 Std. v4.5 cites Atlas Copco Q2 2026 (not verified)</t>
  </si>
  <si>
    <t>S-0058-03</t>
  </si>
  <si>
    <t>v4.5 5.21 High. v4.5 cites Atlas Copco Q2 2026 (not verified)</t>
  </si>
  <si>
    <t>S-0059-01</t>
  </si>
  <si>
    <t>S-0059</t>
  </si>
  <si>
    <t>Fume extraction</t>
  </si>
  <si>
    <t>AI estimate below v4.5 5.24 Std</t>
  </si>
  <si>
    <t>5.24</t>
  </si>
  <si>
    <t>S-0059-02</t>
  </si>
  <si>
    <t>v4.5 5.24 Std. v4.5 cites Airmaster Q2 2026 (not verified)</t>
  </si>
  <si>
    <t>S-0059-03</t>
  </si>
  <si>
    <t>v4.5 5.24 High. v4.5 cites Airmaster Q2 2026 (not verified)</t>
  </si>
  <si>
    <t>S-0060-01</t>
  </si>
  <si>
    <t>S-0060</t>
  </si>
  <si>
    <t>Process drainage</t>
  </si>
  <si>
    <t>m² process area</t>
  </si>
  <si>
    <t>v4.5 5.23. v4.5 cites: ACO 2025 (not verified)</t>
  </si>
  <si>
    <t>5.23</t>
  </si>
  <si>
    <t>S-0061-01</t>
  </si>
  <si>
    <t>S-0061</t>
  </si>
  <si>
    <t>Medical gases</t>
  </si>
  <si>
    <t>nr outlets</t>
  </si>
  <si>
    <t>ROUND(GIFA / r.m2_per_bed * r.gas_outlets_per_bed, 0)</t>
  </si>
  <si>
    <t>v4.5 4.18. v4.5 cites: BOC Healthcare 2025 (not verified)</t>
  </si>
  <si>
    <t>4.18, 5.33</t>
  </si>
  <si>
    <t>S-0062-01</t>
  </si>
  <si>
    <t>S-0062</t>
  </si>
  <si>
    <t>Nurse call</t>
  </si>
  <si>
    <t>ROUND(GIFA / r.m2_per_bed, 0)</t>
  </si>
  <si>
    <t>v4.5 5.27. v4.5 cites: Aidcall Q2 2026, HTM 08-03 (not verified)</t>
  </si>
  <si>
    <t>RES HEA</t>
  </si>
  <si>
    <t>5.27</t>
  </si>
  <si>
    <t>S-0063-01</t>
  </si>
  <si>
    <t>S-0063</t>
  </si>
  <si>
    <t>Server room cooling</t>
  </si>
  <si>
    <t>AI estimate below v4.5 5.29 Std</t>
  </si>
  <si>
    <t>5.29</t>
  </si>
  <si>
    <t>S-0063-02</t>
  </si>
  <si>
    <t>v4.5 5.29 Std. v4.5 cites Airedale Q2 2026 (not verified)</t>
  </si>
  <si>
    <t>S-0063-03</t>
  </si>
  <si>
    <t>v4.5 5.29 High. v4.5 cites Airedale Q2 2026 (not verified)</t>
  </si>
  <si>
    <t>S-0064-01</t>
  </si>
  <si>
    <t>S-0064</t>
  </si>
  <si>
    <t>7 Work to existing buildings</t>
  </si>
  <si>
    <t>Repairs</t>
  </si>
  <si>
    <t>Condition: Fair</t>
  </si>
  <si>
    <t>v4.5 7.1 structural + 7.2 fabric repairs (no source recorded)</t>
  </si>
  <si>
    <t>EX RF OM</t>
  </si>
  <si>
    <t>7.6</t>
  </si>
  <si>
    <t>7.1, 7.2</t>
  </si>
  <si>
    <t>S-0064-02</t>
  </si>
  <si>
    <t>Condition: Good</t>
  </si>
  <si>
    <t>Fair × 0.5 (AI)</t>
  </si>
  <si>
    <t>S-0064-03</t>
  </si>
  <si>
    <t>Condition: Poor</t>
  </si>
  <si>
    <t>Fair × 2.0 (AI)</t>
  </si>
  <si>
    <t>S-0065-01</t>
  </si>
  <si>
    <t>S-0065</t>
  </si>
  <si>
    <t>Alterations</t>
  </si>
  <si>
    <t>AI estimate informed by v4.5 0.2 (which combined demolition and structural alterations)</t>
  </si>
  <si>
    <t>7.1</t>
  </si>
  <si>
    <t>0.2, 7.6</t>
  </si>
  <si>
    <t>S-0066-01</t>
  </si>
  <si>
    <t>S-0066</t>
  </si>
  <si>
    <t>Damp treatment</t>
  </si>
  <si>
    <t>m² footprint</t>
  </si>
  <si>
    <t>v4.5 7.3 was per m² GIFA; × 2.5 to convert to per m² footprint (assumes 2.5 storeys)</t>
  </si>
  <si>
    <t>7.3</t>
  </si>
  <si>
    <t>S-0067-01</t>
  </si>
  <si>
    <t>S-0067</t>
  </si>
  <si>
    <t>8 External works</t>
  </si>
  <si>
    <t>Site, access and drainage</t>
  </si>
  <si>
    <t>Site clearance and preparation</t>
  </si>
  <si>
    <t>m² external</t>
  </si>
  <si>
    <t>external_area_rate</t>
  </si>
  <si>
    <t>EXT_AREA</t>
  </si>
  <si>
    <t>v4.5 8.1 External works column (£10/m²) used as Std; Basic ×0.7 and High ×1.6 (AI spread). v4.5 priced this per m² GIFA on other project types</t>
  </si>
  <si>
    <t>NB EX RF EW DM OM</t>
  </si>
  <si>
    <t>S-0068-01</t>
  </si>
  <si>
    <t>S-0068</t>
  </si>
  <si>
    <t>Surface water drainage</t>
  </si>
  <si>
    <t>v4.5 8.4 External works column (£25/m²) used as Std; Basic ×0.7 and High ×1.6 (AI spread). v4.5 priced this per m² GIFA on other project types</t>
  </si>
  <si>
    <t>NB EX RF EW OM</t>
  </si>
  <si>
    <t>8.6</t>
  </si>
  <si>
    <t>8.4</t>
  </si>
  <si>
    <t>S-0069-01</t>
  </si>
  <si>
    <t>S-0069</t>
  </si>
  <si>
    <t>Foul drainage</t>
  </si>
  <si>
    <t>v4.5 8.5. No source recorded in v4.5</t>
  </si>
  <si>
    <t>8.5</t>
  </si>
  <si>
    <t>S-0070-01</t>
  </si>
  <si>
    <t>S-0070</t>
  </si>
  <si>
    <t>External utilities</t>
  </si>
  <si>
    <t>v4.5 8.6. No source recorded in v4.5</t>
  </si>
  <si>
    <t>S-0071-01</t>
  </si>
  <si>
    <t>S-0071</t>
  </si>
  <si>
    <t>Highways and site access</t>
  </si>
  <si>
    <t>AI estimate. Not in v4.5</t>
  </si>
  <si>
    <t>8.2</t>
  </si>
  <si>
    <t>8.14</t>
  </si>
  <si>
    <t>S-0071-02</t>
  </si>
  <si>
    <t>S-0071-03</t>
  </si>
  <si>
    <t>S-0072-01</t>
  </si>
  <si>
    <t>S-0072</t>
  </si>
  <si>
    <t>Retaining walls and earthworks</t>
  </si>
  <si>
    <t>8.15</t>
  </si>
  <si>
    <t>S-0072-02</t>
  </si>
  <si>
    <t>S-0072-03</t>
  </si>
  <si>
    <t>S-0073-01</t>
  </si>
  <si>
    <t>S-0073</t>
  </si>
  <si>
    <t>Paving and landscaping</t>
  </si>
  <si>
    <t>Roads, paths and paving</t>
  </si>
  <si>
    <t>m² hard surface</t>
  </si>
  <si>
    <t>EXT_AREA * r.pct_hard</t>
  </si>
  <si>
    <t>v4.5 8.2 External works column (£50/m²) used as Std; Basic ×0.7 and High ×1.6 (AI spread). v4.5 priced this per m² GIFA on other project types</t>
  </si>
  <si>
    <t>S-0074-01</t>
  </si>
  <si>
    <t>S-0074</t>
  </si>
  <si>
    <t>Car parking</t>
  </si>
  <si>
    <t>v4.5 8.3. No source recorded in v4.5</t>
  </si>
  <si>
    <t>8.3</t>
  </si>
  <si>
    <t>S-0075-01</t>
  </si>
  <si>
    <t>S-0075</t>
  </si>
  <si>
    <t>HGV yard</t>
  </si>
  <si>
    <t>v4.5 8.10. v4.5 cites: BCIS highways Q2 2026 (not verified)</t>
  </si>
  <si>
    <t>8.10</t>
  </si>
  <si>
    <t>S-0076-01</t>
  </si>
  <si>
    <t>S-0076</t>
  </si>
  <si>
    <t>Soft landscaping</t>
  </si>
  <si>
    <t>EXT_AREA * r.pct_soft</t>
  </si>
  <si>
    <t>v4.5 8.7 External works column (£30/m²) used as Std; Basic ×0.7 and High ×1.6 (AI spread). v4.5 priced this per m² GIFA on other project types</t>
  </si>
  <si>
    <t>S-0077-01</t>
  </si>
  <si>
    <t>S-0077</t>
  </si>
  <si>
    <t>Roof terrace and green roof</t>
  </si>
  <si>
    <t>m² roof</t>
  </si>
  <si>
    <t>v4.5 8.13. v4.5 cites: Bauder Q2 2026 (not verified)</t>
  </si>
  <si>
    <t>8.13</t>
  </si>
  <si>
    <t>S-0078-01</t>
  </si>
  <si>
    <t>S-0078</t>
  </si>
  <si>
    <t>Biodiversity net gain</t>
  </si>
  <si>
    <t>12</t>
  </si>
  <si>
    <t>8.16</t>
  </si>
  <si>
    <t>S-0078-02</t>
  </si>
  <si>
    <t>S-0078-03</t>
  </si>
  <si>
    <t>S-0079-01</t>
  </si>
  <si>
    <t>S-0079</t>
  </si>
  <si>
    <t>Boundaries and fixtures</t>
  </si>
  <si>
    <t>Fences, gates and walls</t>
  </si>
  <si>
    <t>m</t>
  </si>
  <si>
    <t>per_m</t>
  </si>
  <si>
    <t>r.fence_multiplier * SQRT(EXT_AREA)</t>
  </si>
  <si>
    <t>AI estimate per linear metre. v4.5 8.8 was per m² GIFA, so it isn't comparable</t>
  </si>
  <si>
    <t>8.8</t>
  </si>
  <si>
    <t>S-0080-01</t>
  </si>
  <si>
    <t>S-0080</t>
  </si>
  <si>
    <t>External lighting</t>
  </si>
  <si>
    <t>v4.5 8.9 External works column (£10/m²) used as Std; Basic ×0.7 and High ×1.6 (AI spread). v4.5 priced this per m² GIFA on other project types</t>
  </si>
  <si>
    <t>8.9</t>
  </si>
  <si>
    <t>S-0081-01</t>
  </si>
  <si>
    <t>S-0081</t>
  </si>
  <si>
    <t>Cycle storage</t>
  </si>
  <si>
    <t>v4.5 8.11. v4.5 cites: Cyclehoop Q2 2026 (not verified)</t>
  </si>
  <si>
    <t>8.11</t>
  </si>
  <si>
    <t>Bin store</t>
  </si>
  <si>
    <t>8.12</t>
  </si>
  <si>
    <t>S-0083-01</t>
  </si>
  <si>
    <t>S-0083</t>
  </si>
  <si>
    <t>Automatic (not shown)</t>
  </si>
  <si>
    <t>Builder's work in connection</t>
  </si>
  <si>
    <t>v4.5 5.20. No source recorded in v4.5</t>
  </si>
  <si>
    <t>AUTO: add when any Group 5 item is selected; never shown</t>
  </si>
  <si>
    <t>5.20</t>
  </si>
  <si>
    <t>SETTINGS — every other number the app reads</t>
  </si>
  <si>
    <t>Each table starts at its ▶ marker and ends at the first blank row. To add a row, insert it inside the table (above the blank row). Don't rename markers or headers: the app finds tables by them.</t>
  </si>
  <si>
    <t>▶ workbook_info</t>
  </si>
  <si>
    <t>Version stamped on every report the app produces. Update on every change</t>
  </si>
  <si>
    <t>Field</t>
  </si>
  <si>
    <t>Value</t>
  </si>
  <si>
    <t>Version</t>
  </si>
  <si>
    <t>Bump on every published change (5.3, 5.4 …) and add a line to the update log</t>
  </si>
  <si>
    <t>Date</t>
  </si>
  <si>
    <t>2026-09-23</t>
  </si>
  <si>
    <t>Owner</t>
  </si>
  <si>
    <t>Nabil Kayali</t>
  </si>
  <si>
    <t>▶ building_uses</t>
  </si>
  <si>
    <t>Code</t>
  </si>
  <si>
    <t>Building use (label on screen)</t>
  </si>
  <si>
    <t>Treated as residential</t>
  </si>
  <si>
    <t>Residential</t>
  </si>
  <si>
    <t>Student accommodation (PBSA / halls)</t>
  </si>
  <si>
    <t>OFF</t>
  </si>
  <si>
    <t>Commercial offices</t>
  </si>
  <si>
    <t>EDU</t>
  </si>
  <si>
    <t>Education</t>
  </si>
  <si>
    <t>Healthcare</t>
  </si>
  <si>
    <t>Industrial / warehouse</t>
  </si>
  <si>
    <t>Hospitality / leisure</t>
  </si>
  <si>
    <t>MIX</t>
  </si>
  <si>
    <t>Mixed use</t>
  </si>
  <si>
    <t>Every item listed; nothing hidden under More items</t>
  </si>
  <si>
    <t>OTH</t>
  </si>
  <si>
    <t>Other</t>
  </si>
  <si>
    <t>(any building use)</t>
  </si>
  <si>
    <t>▶ project_types</t>
  </si>
  <si>
    <t>Project type (label on screen)</t>
  </si>
  <si>
    <t>Basic column</t>
  </si>
  <si>
    <t>Standard column</t>
  </si>
  <si>
    <t>High column</t>
  </si>
  <si>
    <t>Uses level of intervention</t>
  </si>
  <si>
    <t>New Build</t>
  </si>
  <si>
    <t>EX</t>
  </si>
  <si>
    <t>Extension</t>
  </si>
  <si>
    <t>RF</t>
  </si>
  <si>
    <t>Refurbishment</t>
  </si>
  <si>
    <t>FO</t>
  </si>
  <si>
    <t>Fit-out</t>
  </si>
  <si>
    <t>EW</t>
  </si>
  <si>
    <t>External works only</t>
  </si>
  <si>
    <t>Demolition only</t>
  </si>
  <si>
    <t>OM</t>
  </si>
  <si>
    <t>Other or mixed</t>
  </si>
  <si>
    <t>Per component</t>
  </si>
  <si>
    <t>From v4.5: split GIFA by use/type, price each block on its own project type's columns, and sum</t>
  </si>
  <si>
    <t>▶ spec_levels</t>
  </si>
  <si>
    <t>Q2.4 options. The level picks the Basic / Standard / High column on project_types</t>
  </si>
  <si>
    <t>Level</t>
  </si>
  <si>
    <t>Description</t>
  </si>
  <si>
    <t>Basic</t>
  </si>
  <si>
    <t>Minimum compliance; budget materials; functional finish. Student accommodation, back-of-house, warehouses.</t>
  </si>
  <si>
    <t>Good commercial standard; durable mid-range materials. Typical offices, education, general academic space.</t>
  </si>
  <si>
    <t>High</t>
  </si>
  <si>
    <t>Flagship/premium; high-end finishes, bespoke joinery, enhanced M&amp;E. Boardrooms, reception, executive, prestige.</t>
  </si>
  <si>
    <t>▶ intervention_levels</t>
  </si>
  <si>
    <t>Level of intervention (Refurbishment and Fit-out only) → band multiplier and design duration (from v4.5)</t>
  </si>
  <si>
    <t>Name</t>
  </si>
  <si>
    <t>Band multiplier (m² rates)</t>
  </si>
  <si>
    <t>Design duration multiplier</t>
  </si>
  <si>
    <t>Fabric and finishes only</t>
  </si>
  <si>
    <t>Decoration, floor/wall finishes, ceilings, fixtures replaced in-place. No M&amp;E work. No walls moved. Lowest cost and shortest programme.</t>
  </si>
  <si>
    <t>Finishes with minor services</t>
  </si>
  <si>
    <t>Finishes as above plus light-touch M&amp;E: 2nd fix fixtures, replacement light fittings, sockets and switches. Existing wiring and pipework retained. No new systems.</t>
  </si>
  <si>
    <t>Full systems replacement</t>
  </si>
  <si>
    <t>Complete replacement of heating, plumbing and electrical systems throughout. Same layout, same positions, no structural changes. Building rewired and re-plumbed. Typical full flat or office refurbishment.</t>
  </si>
  <si>
    <t>Reconfiguration or full redesign</t>
  </si>
  <si>
    <t>Layout changes, walls moved or removed, or building stripped to structure and redesigned. Requires architect, structural engineer, building control, possibly planning. Highest cost and longest programme.</t>
  </si>
  <si>
    <t>▶ location_factors</t>
  </si>
  <si>
    <t>Region</t>
  </si>
  <si>
    <t>Postcode areas</t>
  </si>
  <si>
    <t>Low</t>
  </si>
  <si>
    <t>Mid (use)</t>
  </si>
  <si>
    <t>Inner London</t>
  </si>
  <si>
    <t>EC,WC,E1W,SW1,SE1</t>
  </si>
  <si>
    <t>Outer London</t>
  </si>
  <si>
    <t>E,N,NW,SE,SW,W,BR,CR,DA,EN,HA,IG,KT,RM,SM,TW,UB,WD</t>
  </si>
  <si>
    <t>South East</t>
  </si>
  <si>
    <t>East of England</t>
  </si>
  <si>
    <t>CM,CB,IP,NR,LU,AL,SG,PE,SS,CO</t>
  </si>
  <si>
    <t>West Midlands ★ DEFAULT</t>
  </si>
  <si>
    <t>East Midlands</t>
  </si>
  <si>
    <t>LE,NG,DE,LN,NN</t>
  </si>
  <si>
    <t>Yorkshire &amp; Humberside</t>
  </si>
  <si>
    <t>LS,BD,HX,HD,HG,YO,HU,S,DN,WF</t>
  </si>
  <si>
    <t>North West</t>
  </si>
  <si>
    <t>North East</t>
  </si>
  <si>
    <t>NE,SR,DH,TS,DL</t>
  </si>
  <si>
    <t>Wales</t>
  </si>
  <si>
    <t>CF,SA,NP,LD,SY,LL</t>
  </si>
  <si>
    <t>Scotland</t>
  </si>
  <si>
    <t>Northern Ireland</t>
  </si>
  <si>
    <t>BT</t>
  </si>
  <si>
    <t>▶ benchmarks</t>
  </si>
  <si>
    <t>Expected works £/m² by project type and building use (from v4.5, now in codes). Outside the range = review flag</t>
  </si>
  <si>
    <t>Project type</t>
  </si>
  <si>
    <t>Building use</t>
  </si>
  <si>
    <t>Expected low £/m²</t>
  </si>
  <si>
    <t>Expected high £/m²</t>
  </si>
  <si>
    <t>▶ inputs</t>
  </si>
  <si>
    <t>Names used in 'Quantity rule' and 'Other conditions'. Default = what the app uses if the answer is blank</t>
  </si>
  <si>
    <t>Comes from</t>
  </si>
  <si>
    <t>Default (quantity rule)</t>
  </si>
  <si>
    <t>Q1.5 Approximate size (GIFA)</t>
  </si>
  <si>
    <t>IF(PT=EW, 0, ENTER)</t>
  </si>
  <si>
    <t>On Refurbishment and Fit-out this is the area of works</t>
  </si>
  <si>
    <t>Number of storeys (existing question)</t>
  </si>
  <si>
    <t>Default used only if the answer is blank</t>
  </si>
  <si>
    <t>Worked out</t>
  </si>
  <si>
    <t>GIFA / STOREYS</t>
  </si>
  <si>
    <t>Ground floor area</t>
  </si>
  <si>
    <t>GIFA - FOOTPRINT</t>
  </si>
  <si>
    <t>Upper floor area</t>
  </si>
  <si>
    <t>External works area, asked on the Group 8 header</t>
  </si>
  <si>
    <t>IF(PT=EW, ENTER, FOOTPRINT * r.site_ratio)</t>
  </si>
  <si>
    <t>Must be entered on External works only</t>
  </si>
  <si>
    <t>Demolition item, 'I know this'</t>
  </si>
  <si>
    <t>Area of building to demolish</t>
  </si>
  <si>
    <t>PT</t>
  </si>
  <si>
    <t>Q1.2 Project type</t>
  </si>
  <si>
    <t>A code from project_types</t>
  </si>
  <si>
    <t>USE</t>
  </si>
  <si>
    <t>Q1.3 Building use</t>
  </si>
  <si>
    <t>A code from building_uses</t>
  </si>
  <si>
    <t>AGE</t>
  </si>
  <si>
    <t>Q1.4 Building age</t>
  </si>
  <si>
    <t>End year of the chosen band (e.g. 1980–1999 → 1999); post-2000 → current year</t>
  </si>
  <si>
    <t>LEVEL</t>
  </si>
  <si>
    <t>Level of intervention</t>
  </si>
  <si>
    <t>1–4; Refurbishment and Fit-out only</t>
  </si>
  <si>
    <t>▶ quantity_ratios</t>
  </si>
  <si>
    <t>Named ratios used as r.name in quantity rules. The row for the building use is used, else ALL</t>
  </si>
  <si>
    <t>Key</t>
  </si>
  <si>
    <t>Used for</t>
  </si>
  <si>
    <t>Source</t>
  </si>
  <si>
    <t>m2_per_person</t>
  </si>
  <si>
    <t>Toilets: people = GIFA ÷ this</t>
  </si>
  <si>
    <t>Toilets (education)</t>
  </si>
  <si>
    <t>Toilets (healthcare)</t>
  </si>
  <si>
    <t>Toilets (retail)</t>
  </si>
  <si>
    <t>Toilets (industrial)</t>
  </si>
  <si>
    <t>Toilets (hospitality)</t>
  </si>
  <si>
    <t>persons_per_wc</t>
  </si>
  <si>
    <t>Toilets: WCs = people ÷ this (simplified BS 6465-1 / Workplace Regs)</t>
  </si>
  <si>
    <t>accessible_wc_per_floor</t>
  </si>
  <si>
    <t>Toilets: accessible option</t>
  </si>
  <si>
    <t>m2_per_dwelling</t>
  </si>
  <si>
    <t>Bathrooms, kitchens, EV charging (residential)</t>
  </si>
  <si>
    <t>bathrooms_per_dwelling</t>
  </si>
  <si>
    <t>Bathrooms (residential)</t>
  </si>
  <si>
    <t>m2_per_bed</t>
  </si>
  <si>
    <t>Student beds or hospital beds, by building use</t>
  </si>
  <si>
    <t>Bathrooms and kitchens (student en-suite beds)</t>
  </si>
  <si>
    <t>Medical gases and nurse call (hospital beds)</t>
  </si>
  <si>
    <t>m2_per_key</t>
  </si>
  <si>
    <t>Bathrooms (hotel rooms)</t>
  </si>
  <si>
    <t>beds_per_kitchen</t>
  </si>
  <si>
    <t>Kitchens (student cluster flats)</t>
  </si>
  <si>
    <t>tea_points_per_floor</t>
  </si>
  <si>
    <t>Kitchens (non-residential)</t>
  </si>
  <si>
    <t>pct_catering</t>
  </si>
  <si>
    <t>Catering kitchen area as a share of GIFA</t>
  </si>
  <si>
    <t>Catering kitchen area (hospitality)</t>
  </si>
  <si>
    <t>pct_lab</t>
  </si>
  <si>
    <t>Laboratory area as a share of GIFA</t>
  </si>
  <si>
    <t>Laboratory area (education)</t>
  </si>
  <si>
    <t>pct_clinical</t>
  </si>
  <si>
    <t>Clinical fit-out area as a share of GIFA</t>
  </si>
  <si>
    <t>Clinical fit-out area (healthcare)</t>
  </si>
  <si>
    <t>gas_outlets_per_bed</t>
  </si>
  <si>
    <t>kwp_per_m2_roof</t>
  </si>
  <si>
    <t>Solar PV kWp = footprint × this</t>
  </si>
  <si>
    <t>site_ratio</t>
  </si>
  <si>
    <t>External area default = footprint × this</t>
  </si>
  <si>
    <t>pct_hard</t>
  </si>
  <si>
    <t>Roads, paths and paving = external area × this</t>
  </si>
  <si>
    <t>pct_soft</t>
  </si>
  <si>
    <t>Soft landscaping = external area × this</t>
  </si>
  <si>
    <t>fence_multiplier</t>
  </si>
  <si>
    <t>Fences = this × √ external area (perimeter of a square)</t>
  </si>
  <si>
    <t>▶ factors</t>
  </si>
  <si>
    <t>Multipliers applied to rates</t>
  </si>
  <si>
    <t>Applies to</t>
  </si>
  <si>
    <t>When</t>
  </si>
  <si>
    <t>modular_factor</t>
  </si>
  <si>
    <t>Groups 1–3 rates</t>
  </si>
  <si>
    <t>Group 2 construction method = Modular</t>
  </si>
  <si>
    <t>▶ percentage_rules</t>
  </si>
  <si>
    <t>Additions A–H (from v4.5, unchanged). Construction = Works × (1 + A + B); C and D on Construction; E, F, H on Works</t>
  </si>
  <si>
    <t>Addition</t>
  </si>
  <si>
    <t>Type</t>
  </si>
  <si>
    <t>Condition (questionnaire trigger)</t>
  </si>
  <si>
    <t>Adjust %</t>
  </si>
  <si>
    <t>Cap %</t>
  </si>
  <si>
    <t>A</t>
  </si>
  <si>
    <t>Contractor's Preliminaries</t>
  </si>
  <si>
    <t>BASE</t>
  </si>
  <si>
    <t>Base 8% — clean/vacant/short programme</t>
  </si>
  <si>
    <t>ADD</t>
  </si>
  <si>
    <t>Q3.6 = Fully occupied throughout</t>
  </si>
  <si>
    <t>Q3.6 = Partially occupied</t>
  </si>
  <si>
    <t>Q3.5 includes Restricted working hours</t>
  </si>
  <si>
    <t>Q3.5 includes Shared access with other occupiers</t>
  </si>
  <si>
    <t>Programme duration &gt; 18 months</t>
  </si>
  <si>
    <t>B</t>
  </si>
  <si>
    <t>Overheads &amp; Profit</t>
  </si>
  <si>
    <t>RANGE</t>
  </si>
  <si>
    <t>Works cost &lt; £1M → 10–12% (use 11%)</t>
  </si>
  <si>
    <t>Works cost £1M–£5M → 9–10% (use 9.5%)</t>
  </si>
  <si>
    <t>Works cost &gt; £5M → 8–9% (use 8.5%)</t>
  </si>
  <si>
    <t>C</t>
  </si>
  <si>
    <t>Professional Fees</t>
  </si>
  <si>
    <t>Q4.5 = Stage 0–1 → 12–15% (use 13.5%)</t>
  </si>
  <si>
    <t>Q4.5 = Stage 2 → 10–13% (use 11.5%)</t>
  </si>
  <si>
    <t>Q4.5 = Stage 3 → 7–10% (use 8.5%)</t>
  </si>
  <si>
    <t>Q4.5 = Stage 4 → 5–7% (use 6%)</t>
  </si>
  <si>
    <t>Q2.5 includes BREEAM</t>
  </si>
  <si>
    <t>Q1.4 = Pre-1900 OR Q3.4 includes Listed Building Consent (heritage/conservation consultant uplift — apply once only, do not stack)</t>
  </si>
  <si>
    <t>D</t>
  </si>
  <si>
    <t>Developer &amp; Project Costs</t>
  </si>
  <si>
    <t>Q3.4 = Full planning (3–4%, use 3.5%)</t>
  </si>
  <si>
    <t>Q3.4 = Full planning + Listed Building Consent</t>
  </si>
  <si>
    <t>Q3.4 = Change of use consent</t>
  </si>
  <si>
    <t>Q3.4 = Prior approval (2–3%, use 2.5%)</t>
  </si>
  <si>
    <t>Q3.4 = Permitted development</t>
  </si>
  <si>
    <t>Q3.4 = Unsure / pre-application</t>
  </si>
  <si>
    <t>Q3.3 = No surveys yet</t>
  </si>
  <si>
    <t>Q3.4 includes Listed Building Consent (LBC + planning assumed; same as Full planning + Listed Building Consent trigger)</t>
  </si>
  <si>
    <t>E</t>
  </si>
  <si>
    <t>Risk Allowance</t>
  </si>
  <si>
    <t>Baseline 5%</t>
  </si>
  <si>
    <t>Q3.3 = None — surveys needed</t>
  </si>
  <si>
    <t>Q3.1 = Unsure — surveys needed</t>
  </si>
  <si>
    <t>Q3.1 = Asbestos known or suspected</t>
  </si>
  <si>
    <t>Q3.1 = Contaminated land</t>
  </si>
  <si>
    <t>Q3.1 = Structural concerns</t>
  </si>
  <si>
    <t>Q3.1 = Ageing or inadequate M&amp;E</t>
  </si>
  <si>
    <t>Q3.1 = Drainage issues</t>
  </si>
  <si>
    <t>Q3.1 = Damp or water ingress</t>
  </si>
  <si>
    <t>Q3.1 = Fire safety deficiencies</t>
  </si>
  <si>
    <t>Q4.1 = Hard deadline (specific date given)</t>
  </si>
  <si>
    <t>H</t>
  </si>
  <si>
    <t>Client Contingency</t>
  </si>
  <si>
    <t>FIXED</t>
  </si>
  <si>
    <t>ALWAYS 5% — never adjusted. Survey uncertainty sits in E, not here.</t>
  </si>
  <si>
    <t>F</t>
  </si>
  <si>
    <t>Inflation — tender delay</t>
  </si>
  <si>
    <t>COMPONENT</t>
  </si>
  <si>
    <t>0–6 months to tender → 0%</t>
  </si>
  <si>
    <t>6–12 months to tender → 2%</t>
  </si>
  <si>
    <t>12–18 months to tender → 4%</t>
  </si>
  <si>
    <t>18+ months to tender → 6%</t>
  </si>
  <si>
    <t>Inflation — construction mid-pt</t>
  </si>
  <si>
    <t>Construction ≤ 6 months → 1%</t>
  </si>
  <si>
    <t>Construction 6–12 months → 2%</t>
  </si>
  <si>
    <t>Construction 12–18 months → 3%</t>
  </si>
  <si>
    <t>Construction 18–24 months → 4%</t>
  </si>
  <si>
    <t>Construction 24+ months → 5%</t>
  </si>
  <si>
    <t>G</t>
  </si>
  <si>
    <t>VAT (reference only)</t>
  </si>
  <si>
    <t>NOT added to total. Recoverability confirmed by client Finance. New build may zero-rate.</t>
  </si>
  <si>
    <t>▶ retired_codes</t>
  </si>
  <si>
    <t>Old codes with no replacement item (all others are listed on their item's 'Replaces old codes')</t>
  </si>
  <si>
    <t>Old code</t>
  </si>
  <si>
    <t>Was</t>
  </si>
  <si>
    <t>Status</t>
  </si>
  <si>
    <t>Reason</t>
  </si>
  <si>
    <t>Specialist equipment (lab/AV/med)</t>
  </si>
  <si>
    <t>Retired</t>
  </si>
  <si>
    <t>Use Other / specialist scope</t>
  </si>
  <si>
    <t>4.17</t>
  </si>
  <si>
    <t>Overhead crane and gantry</t>
  </si>
  <si>
    <t>Cranes via Other / specialist scope</t>
  </si>
  <si>
    <t>4.26</t>
  </si>
  <si>
    <t>Fitting rooms</t>
  </si>
  <si>
    <t>Fitting rooms via Other / specialist</t>
  </si>
  <si>
    <t>4.29</t>
  </si>
  <si>
    <t>Spectator seating and bleachers</t>
  </si>
  <si>
    <t>Spectator seating via Other / specialist</t>
  </si>
  <si>
    <t>5.1b</t>
  </si>
  <si>
    <t>Mechanical second fix</t>
  </si>
  <si>
    <t>Empty row in v4.5</t>
  </si>
  <si>
    <t>6.1</t>
  </si>
  <si>
    <t>Prefabricated / modular units</t>
  </si>
  <si>
    <t>Group 2 construction method: Modular</t>
  </si>
  <si>
    <t>7.4</t>
  </si>
  <si>
    <t>M&amp;E overhaul / life-expired services</t>
  </si>
  <si>
    <t>Group 5 covers replacement</t>
  </si>
  <si>
    <t>7.5</t>
  </si>
  <si>
    <t>Making good after structural works</t>
  </si>
  <si>
    <t>Inside every refurbishment rate</t>
  </si>
  <si>
    <t>0.8</t>
  </si>
  <si>
    <t>Temporary works and propping (question map)</t>
  </si>
  <si>
    <t>Inside the alteration and basement rates</t>
  </si>
  <si>
    <t>v4.5 5.11. No source recorded in v4.5. Ext Works (added v5.3) = the NB Std rate; a ground-mount frame or car-park canopy is not included — add it under Other / specialist scope.</t>
  </si>
  <si>
    <t>v4.5 5.12. No source recorded in v4.5. Ext Works (added v5.3) = the NB Std rate.</t>
  </si>
  <si>
    <t>NB EW</t>
  </si>
  <si>
    <t>NB EX EW</t>
  </si>
  <si>
    <t>Q2.3 has ≥4 M&amp;E items (M&amp;E-heavy)</t>
  </si>
  <si>
    <t>▶ range_widths</t>
  </si>
  <si>
    <t>Estimate range around the mid-point, by confidence grade (A–D). Low × mid = bottom, High × mid = top</t>
  </si>
  <si>
    <t>Grade</t>
  </si>
  <si>
    <t>Values from the September 2026 workbook spec (illustrative) — review against real outturns</t>
  </si>
  <si>
    <t>v5.3 — 23 Sept 2026</t>
  </si>
  <si>
    <t>Gaps filled: Solar PV and Battery storage Ext Works rates (= NB Std); External works only pre-ticks (site clearance, surface water drainage, paving, soft landscaping, fences — the app's previous External works preset); ▶ range_widths added on '3. Settings' (illustrative); percentage rule and golden rules updated to Q2.2 = level of intervention, Q2.3 = scope.</t>
  </si>
  <si>
    <t>B,CV,WV,WS,DY,ST,WR,HR,TF,SY1,SY2,SY3,SY4,SY5,SY6,SY7,SY8,SY9,SY10,SY11,SY12,SY13</t>
  </si>
  <si>
    <t>M,SK,WN,WA,BL,OL,PR,BB,LA,FY,CW,CH,L,CA,SY14</t>
  </si>
  <si>
    <t>GU,RH,TN,ME,CT,BN,PO,SO,RG,SL,OX,HP,MK</t>
  </si>
  <si>
    <t>EH,G,FK,KY,DD,PH,AB,IV,KW,PA,KA,ML,TD,DG,HS,ZE</t>
  </si>
  <si>
    <t>Regional location factor by postcode area, or by district where an area is split (e.g. SY10). West Midlands is the default. South West added in v5.4 — its factors are an AI estimate, verify against BCIS</t>
  </si>
  <si>
    <t>South West</t>
  </si>
  <si>
    <t>BS,BA,BH,DT,EX,GL,PL,SN,SP,TA,TQ,TR</t>
  </si>
  <si>
    <t>v5.4 — 24 Sept 2026</t>
  </si>
  <si>
    <t>Regions: South West added (BS, BA, BH, DT, EX, GL, PL, SN, SP, TA, TQ, TR — factors 0.94 / 1.00 / 0.97 are an AI estimate, verify against BCIS); missing areas added (L and CA North West, MK South East, TF West Midlands, HS and ZE Scotland); Shropshire districts SY1–SY13 West Midlands and SY14 North West, the rest of SY stays Wales. Found by the 21-report test run: Bristol, Cotswolds and Liverpool were priced at the West Midlands default.</t>
  </si>
  <si>
    <t>RATES — mid-point UK rates, before the location factor, preliminaries and OH&amp;P</t>
  </si>
  <si>
    <t>Two price families: Refurb &amp; Fit-out (Refurbishment, Fit-out, Demolition only) and New build &amp; Extension (New build, Extension, External works only). A blank Basic or High = same as Standard. A dash (–) = no price, so the item cannot be selected in Q2.3 for that project type.</t>
  </si>
  <si>
    <t>Units: m² GIFA = gross internal floor area; m² footprint = ground-floor area. When an item shows and how its quantity is estimated are on '4. Scope rules'. Rate key (grey, last column) is permanent — never change it.</t>
  </si>
  <si>
    <t>Not included (priced elsewhere, or not at all)</t>
  </si>
  <si>
    <t>Refurb &amp; Fit-out Basic</t>
  </si>
  <si>
    <t>Refurb &amp; Fit-out Std</t>
  </si>
  <si>
    <t>Refurb &amp; Fit-out High</t>
  </si>
  <si>
    <t>New build &amp; Extension Std</t>
  </si>
  <si>
    <t>New build &amp; Extension High</t>
  </si>
  <si>
    <t>Spon's check (converted, PDF page)</t>
  </si>
  <si>
    <t>GROUP 0 — FACILITATING WORKS</t>
  </si>
  <si>
    <t>Survey-led removal and disposal of asbestos and other hazardous materials from the building worked on (on New build: the building being demolished), incl. enclosures, air testing and licensed disposal</t>
  </si>
  <si>
    <t>The asbestos refurbishment &amp; demolition survey itself (a fee)</t>
  </si>
  <si>
    <t>m² GIFA</t>
  </si>
  <si>
    <t>Your figure</t>
  </si>
  <si>
    <t>£13 (p.248)</t>
  </si>
  <si>
    <t>Demolition of the whole existing building to ground level: soft strip, disconnection of services, breaking out ground slab and shallow foundations, removal and disposal of arisings</t>
  </si>
  <si>
    <t>Asbestos removal (0.1); basements and deep foundations; contaminated ground (0.4)</t>
  </si>
  <si>
    <t>£131–£397 (p.413)</t>
  </si>
  <si>
    <t>Removal of existing finishes, ceilings, non-structural partitions, fittings and redundant services back to shell, incl. disposal</t>
  </si>
  <si>
    <t>Structural alterations (7.2); asbestos (0.1)</t>
  </si>
  <si>
    <t>£35–£99 (p.242, 246)</t>
  </si>
  <si>
    <t>Treatment or removal and disposal of contaminated ground under the building (on External works only: the site area), incl. capping layer and verification</t>
  </si>
  <si>
    <t>Site investigation (a fee). Not offered on refurbishment, fit-out or demolition only</t>
  </si>
  <si>
    <t>£47–£164 (p.112)</t>
  </si>
  <si>
    <t>Ground stabilisation under the building footprint: mine-working grouting, vibro-compaction or soil improvement</t>
  </si>
  <si>
    <t>Piling (in 1.1b Foundations)</t>
  </si>
  <si>
    <t>Per tree: felling, stump grinding or removal, and disposal</t>
  </si>
  <si>
    <t>Replacement planting (8.10); tree surveys and protection orders</t>
  </si>
  <si>
    <t>£340–£833 (p.452)</t>
  </si>
  <si>
    <t>Diverting or protecting existing underground services (drains, cables, pipes) that cross the building footprint, incl. utility company charges for the diversion</t>
  </si>
  <si>
    <t>New connections for the building (8.4 External utilities)</t>
  </si>
  <si>
    <t>GROUP 1 — SUBSTRUCTURE</t>
  </si>
  <si>
    <t>1.1a</t>
  </si>
  <si>
    <t>Excavation, disposal, concrete strip or pad foundations and ground beams up to ground-floor slab level</t>
  </si>
  <si>
    <t>Ground floor slab (1.2); basement (1.3); ground improvement (0.5)</t>
  </si>
  <si>
    <t>Spon's-based (approved)</t>
  </si>
  <si>
    <t>£114–£158 (p.292)</t>
  </si>
  <si>
    <t>1.1b</t>
  </si>
  <si>
    <t>Piled</t>
  </si>
  <si>
    <t>Piled foundations (CFA or mini-piles) with pile caps and ground beams, for poor ground</t>
  </si>
  <si>
    <t>£250–£335 (p.292)</t>
  </si>
  <si>
    <t>1.1c</t>
  </si>
  <si>
    <t>Not sure</t>
  </si>
  <si>
    <t>Priced as standard foundations and adds a piling risk to the report until ground conditions are known</t>
  </si>
  <si>
    <t>Older workbook (v4.5) (= 1.1a × 1)</t>
  </si>
  <si>
    <t>1.2</t>
  </si>
  <si>
    <t>Excavation to formation, hardcore sub-base, blinding, DPM, insulation and reinforced concrete ground-bearing slab</t>
  </si>
  <si>
    <t>Floor finishes and screed (3.2)</t>
  </si>
  <si>
    <t>£131–£196 (p.299, 300, 301)</t>
  </si>
  <si>
    <t>Bulk excavation and disposal, temporary works, reinforced concrete basement walls and floor, and waterproofing (tanking)</t>
  </si>
  <si>
    <t>Finishes and services inside the basement</t>
  </si>
  <si>
    <t>£438–£533 (p.302)</t>
  </si>
  <si>
    <t>GROUP 2 — SUPERSTRUCTURE AND ENVELOPE</t>
  </si>
  <si>
    <t>New build: steel or concrete frame (columns, beams, bracing) incl. fire protection. Refurbishment: strengthening or adapting the existing frame</t>
  </si>
  <si>
    <t>Floor slabs (1.2, 2.2); roof structure (2.5)</t>
  </si>
  <si>
    <t>Kept after Spon's check</t>
  </si>
  <si>
    <t>Refurb £118 (p.242) · New build £103–£201 (p.265, 302)</t>
  </si>
  <si>
    <t>Upper floor slabs or decks (composite steel deck, precast or timber) incl. balconies. Refurbishment: repairing or strengthening existing floors</t>
  </si>
  <si>
    <t>Floor finishes (3.2); frame (2.1)</t>
  </si>
  <si>
    <t>m² upper floors</t>
  </si>
  <si>
    <t>Refurb £25 (p.242) · New build £93–£136 (p.308)</t>
  </si>
  <si>
    <t>Staircases and ramps with finishes, handrails and balustrades</t>
  </si>
  <si>
    <t>Lifts (5.16)</t>
  </si>
  <si>
    <t>Refurb £43 (p.242) · New build £6–£35 (p.266, 260)</t>
  </si>
  <si>
    <t>Free-standing steel mezzanine floor with deck, access stair, balustrade and fire protection</t>
  </si>
  <si>
    <t>Finishes and services on the mezzanine</t>
  </si>
  <si>
    <t>£187–£234 (p.302)</t>
  </si>
  <si>
    <t>Roof structure, covering, insulation, rainwater goods, roof access and edge protection (measured on plan, = footprint). Refurbishment: re-covering and insulating the existing roof</t>
  </si>
  <si>
    <t>Rooflights over standard provision; green roof (8.11); solar PV (5.17)</t>
  </si>
  <si>
    <t>Refurb £94–£220 (p.246, 313) · New build £181–£258 (p.310, 313)</t>
  </si>
  <si>
    <t>External walls and facade: masonry, cladding or curtain wall (solid parts), insulation and internal lining. Refurbishment: repairs, re-rendering or over-cladding</t>
  </si>
  <si>
    <t>Windows and external doors (2.7)</t>
  </si>
  <si>
    <t>Refurb £18–£61 (p.242, 246) · New build £75–£338 (p.266, 324)</t>
  </si>
  <si>
    <t>Windows, external doors, entrance screens and glazing, with ironmongery</t>
  </si>
  <si>
    <t>Curtain walling solid panels (2.6)</t>
  </si>
  <si>
    <t>Refurb £107 (p.246) · New build £122–£226 (p.266, 333)</t>
  </si>
  <si>
    <t>Internal walls and partitions (stud or block), incl. acoustic and fire-rated partitions, and toilet IPS panels</t>
  </si>
  <si>
    <t>Wall finishes (3.1); doors (2.9)</t>
  </si>
  <si>
    <t>£115–£167 (p.275, 243)</t>
  </si>
  <si>
    <t>2.9</t>
  </si>
  <si>
    <t>Internal doorsets (frame, leaf, ironmongery, decoration), incl. fire doors</t>
  </si>
  <si>
    <t>External doors (2.7)</t>
  </si>
  <si>
    <t>Refurb £62–£147 (p.247, 255) · New build £38–£163 (p.275, 251)</t>
  </si>
  <si>
    <t>2.10</t>
  </si>
  <si>
    <t>Upgrading fire stopping and compartmentation in an existing building: sealing service penetrations, fire barriers in voids and cavities</t>
  </si>
  <si>
    <t>Fire doors (2.9); fire alarm (5.11)</t>
  </si>
  <si>
    <t>GROUP 3 — INTERNAL FINISHES</t>
  </si>
  <si>
    <t>Plaster or dry lining, decoration and wall tiling, incl. tanking in wet areas</t>
  </si>
  <si>
    <t>Wall panelling as joinery (4.5)</t>
  </si>
  <si>
    <t>Refurb £89–£119 (p.247, 255) · New build £56–£134 (p.251, 267)</t>
  </si>
  <si>
    <t>3.2a</t>
  </si>
  <si>
    <t>Screed and floor coverings (carpet, vinyl, tiles, timber), skirtings and entrance matting, incl. tanking in wet areas</t>
  </si>
  <si>
    <t>Structural slabs (1.2, 2.2)</t>
  </si>
  <si>
    <t>Refurb £72–£215 (p.247, 256) · New build £75–£110 (p.251, 261)</t>
  </si>
  <si>
    <t>3.2b</t>
  </si>
  <si>
    <t>As 3.2a plus a raised access floor (steel-encased panels on pedestals) for offices and data rooms</t>
  </si>
  <si>
    <t>Refurb £127–£142 (p.353) · New build £142–£190 (p.353)</t>
  </si>
  <si>
    <t>Suspended or plasterboard ceilings with decoration, incl. access panels and bulkheads</t>
  </si>
  <si>
    <t>Light fittings (5.8)</t>
  </si>
  <si>
    <t>Refurb £42–£106 (p.247, 256) · New build £71–£104 (p.252, 267)</t>
  </si>
  <si>
    <t>GROUP 4 — TOILETS, KITCHENS AND FITTINGS</t>
  </si>
  <si>
    <t>4.1a</t>
  </si>
  <si>
    <t>Per WC: WC pan, wash basin and taps, cubicle, hand dryer and a share of vanity units and accessories, fitted</t>
  </si>
  <si>
    <t>Wall and floor tiling (3.1, 3.2); water pipework and drainage (5.2); lighting and ventilation</t>
  </si>
  <si>
    <t>nr WCs</t>
  </si>
  <si>
    <t>£1,710–£2,137 (p.361)</t>
  </si>
  <si>
    <t>4.1b</t>
  </si>
  <si>
    <t>4.1c</t>
  </si>
  <si>
    <t>Per accessible WC (Approved Document M): larger cubicle, Doc M pack, grab rails, alarm and accessories</t>
  </si>
  <si>
    <t>Changing Places (hoist, adult changing bench)</t>
  </si>
  <si>
    <t>Per Changing Places toilet: ceiling hoist, height-adjustable adult changing bench, peninsular WC, privacy screen and alarm. Needed in some large new public buildings. Priced only when you enter how many</t>
  </si>
  <si>
    <t>Unverified †</t>
  </si>
  <si>
    <t>4.2a</t>
  </si>
  <si>
    <t>Per bathroom: bath or shower tray and screen, WC, basin, taps, mirror and accessories, fitted</t>
  </si>
  <si>
    <t>Tiling (3.1, 3.2); pipework (5.2); extract fan (5.3)</t>
  </si>
  <si>
    <t>nr bathrooms</t>
  </si>
  <si>
    <t>Older workbook (v4.5)</t>
  </si>
  <si>
    <t>£1,916–£2,558 (p.362)</t>
  </si>
  <si>
    <t>4.2b</t>
  </si>
  <si>
    <t>As 4.2a with hotel-grade fittings and finishes</t>
  </si>
  <si>
    <t>£6,560–£8,247 (p.359)</t>
  </si>
  <si>
    <t>Per shower: tray, screen or curtain, thermostatic valve and head, fitted</t>
  </si>
  <si>
    <t>Tiling (3.1, 3.2); pipework (5.2); benches and lockers (4.14)</t>
  </si>
  <si>
    <t>nr showers</t>
  </si>
  <si>
    <t>£890–£1,148 (p.362)</t>
  </si>
  <si>
    <t>4.4a</t>
  </si>
  <si>
    <t>Domestic kitchen</t>
  </si>
  <si>
    <t>Per kitchen: base and wall units, worktop, sink and taps, fitted</t>
  </si>
  <si>
    <t>White goods (4.8); pipework (5.2); electrics (5.7)</t>
  </si>
  <si>
    <t>nr kitchens</t>
  </si>
  <si>
    <t>£2,975–£11,245 (p.358)</t>
  </si>
  <si>
    <t>4.4b</t>
  </si>
  <si>
    <t>£2,975–£3,702 (p.358)</t>
  </si>
  <si>
    <t>Built-in, made-to-fit items: reception desks, fitted storage and shelving, lockers, fitted benches, wall panelling</t>
  </si>
  <si>
    <t>Loose furniture (4.8); kitchens (4.4); toilet vanity units (4.1)</t>
  </si>
  <si>
    <t>Refurb £72–£257 (p.248, 243) · New build £32–£102 (p.276, 252)</t>
  </si>
  <si>
    <t>4.6</t>
  </si>
  <si>
    <t>Statutory safety signs (fire exits, fire equipment, accessible WCs, room signs) and internal wayfinding</t>
  </si>
  <si>
    <t>External building name signs and branding</t>
  </si>
  <si>
    <t>£3–£4 (p.248, 276)</t>
  </si>
  <si>
    <t>4.7</t>
  </si>
  <si>
    <t>Screens, projectors, audio, and room booking panels in meeting and teaching rooms, installed</t>
  </si>
  <si>
    <t>Data cabling (5.14)</t>
  </si>
  <si>
    <t>4.8a</t>
  </si>
  <si>
    <t>Loose furniture and equipment: desks, chairs, tables, beds, white goods</t>
  </si>
  <si>
    <t>Built-in joinery (4.5)</t>
  </si>
  <si>
    <t>£103–£131 (p.358)</t>
  </si>
  <si>
    <t>4.8b</t>
  </si>
  <si>
    <t>Residential: sofas, beds, tables, chairs and white goods per flat, spread over the floor area</t>
  </si>
  <si>
    <t>4.8c</t>
  </si>
  <si>
    <t>Student rooms: bed, desk, chair, storage per room, spread over the floor area</t>
  </si>
  <si>
    <t>4.8d</t>
  </si>
  <si>
    <t>Hotel rooms: beds, case goods, seating and public-area furniture, spread over the floor area</t>
  </si>
  <si>
    <t>4.9</t>
  </si>
  <si>
    <t>Commercial kitchen: cooking equipment, stainless steel benching, servery and bar counters, extract canopy and grease trap</t>
  </si>
  <si>
    <t>Kitchen room finishes (Group 3); general ventilation (5.3)</t>
  </si>
  <si>
    <t>m² kitchen</t>
  </si>
  <si>
    <t>4.10</t>
  </si>
  <si>
    <t>Laboratory benching, sinks, storage and fume cupboards</t>
  </si>
  <si>
    <t>Fume extract ductwork and fans (5.21); lab gases</t>
  </si>
  <si>
    <t>4.11</t>
  </si>
  <si>
    <t>Clinical fittings and fixed equipment: couches, clinical sinks, pendants, clinical storage</t>
  </si>
  <si>
    <t>Medical gas pipework (5.23); nurse call (5.24)</t>
  </si>
  <si>
    <t>4.12</t>
  </si>
  <si>
    <t>Shop fit-out fixtures: display units, counters and tills, fitting rooms, security tags</t>
  </si>
  <si>
    <t>Shopfront (2.7); floor and ceiling finishes (Group 3)</t>
  </si>
  <si>
    <t>4.13</t>
  </si>
  <si>
    <t>Pallet racking, dock levellers and loading doors</t>
  </si>
  <si>
    <t>Overhead cranes (use Other / specialist scope)</t>
  </si>
  <si>
    <t>m² warehouse</t>
  </si>
  <si>
    <t>4.14</t>
  </si>
  <si>
    <t>Gym and fitness equipment, changing room lockers and benches</t>
  </si>
  <si>
    <t>Sports floor finishes (3.2); spectator seating (use Other / specialist scope)</t>
  </si>
  <si>
    <t>4.15</t>
  </si>
  <si>
    <t>Cleanroom enclosure, ceiling, filtered air supply and validation</t>
  </si>
  <si>
    <t>Process equipment</t>
  </si>
  <si>
    <t>GROUP 5 — SERVICES</t>
  </si>
  <si>
    <t>5.1a</t>
  </si>
  <si>
    <t>Gas boiler, full system</t>
  </si>
  <si>
    <t>Full system: heat source, pipework, radiators or underfloor heating, controls, and hot water generation</t>
  </si>
  <si>
    <t>Cooling (5.4); ventilation (5.3); gas supply to the site (8.4)</t>
  </si>
  <si>
    <t>Refurb £92–£137 (p.243, 248) · New build £50–£112 (p.364, 363)</t>
  </si>
  <si>
    <t>Air source heat pump, full system</t>
  </si>
  <si>
    <t>Full system with an air source heat pump as the heat source (incl. hot water cylinder and buffer)</t>
  </si>
  <si>
    <t>Unverified † (= 5.1a × 1.3)</t>
  </si>
  <si>
    <t>5.1c</t>
  </si>
  <si>
    <t>Ground source heat pump, full system</t>
  </si>
  <si>
    <t>Full system with a ground source heat pump incl. boreholes or ground loops</t>
  </si>
  <si>
    <t>Unverified † (= 5.1a × 1.8)</t>
  </si>
  <si>
    <t>5.1d</t>
  </si>
  <si>
    <t>District heating, full system</t>
  </si>
  <si>
    <t>Full system fed from a district heating network: heat interface units, pipework and emitters</t>
  </si>
  <si>
    <t>Unverified † (= 5.1a × 0.9)</t>
  </si>
  <si>
    <t>5.1e</t>
  </si>
  <si>
    <t>Electric, full system</t>
  </si>
  <si>
    <t>Electric heating throughout: panel heaters or electric boilers and direct hot water heaters</t>
  </si>
  <si>
    <t>Unverified † (= 5.1a × 0.6)</t>
  </si>
  <si>
    <t>5.1f</t>
  </si>
  <si>
    <t>Gas boiler, plant only</t>
  </si>
  <si>
    <t>Plant only: new gas boiler(s), flue, pumps and plant-room pipework; existing pipework and radiators kept</t>
  </si>
  <si>
    <t>Unverified † (= 5.1a × 0.35)</t>
  </si>
  <si>
    <t>5.1g</t>
  </si>
  <si>
    <t>Gas boiler, radiators and controls only</t>
  </si>
  <si>
    <t>Radiators and controls only: new emitters, TRVs, local pipework and controls; existing heat source kept</t>
  </si>
  <si>
    <t>Unverified † (= 5.1a × 0.3)</t>
  </si>
  <si>
    <t>5.1h</t>
  </si>
  <si>
    <t>Air source heat pump, plant only</t>
  </si>
  <si>
    <t>Plant only: new air source heat pump(s), cylinder and plant pipework; existing pipework and radiators kept</t>
  </si>
  <si>
    <t>Unverified † (= 5.1b × 0.45)</t>
  </si>
  <si>
    <t>5.1i</t>
  </si>
  <si>
    <t>Air source heat pump, radiators and controls only</t>
  </si>
  <si>
    <t>Radiators and controls only (sized for a heat pump); existing heat pump kept</t>
  </si>
  <si>
    <t>Unverified † (= 5.1b × 0.3)</t>
  </si>
  <si>
    <t>5.1j</t>
  </si>
  <si>
    <t>Ground source heat pump, plant only</t>
  </si>
  <si>
    <t>Plant only: ground source heat pump, boreholes or ground loops; existing pipework and radiators kept</t>
  </si>
  <si>
    <t>Unverified † (= 5.1c × 0.45)</t>
  </si>
  <si>
    <t>5.1k</t>
  </si>
  <si>
    <t>Ground source heat pump, radiators and controls only</t>
  </si>
  <si>
    <t>Radiators and controls only (sized for a ground source heat pump); existing heat source kept</t>
  </si>
  <si>
    <t>Unverified † (= 5.1c × 0.3)</t>
  </si>
  <si>
    <t>5.1l</t>
  </si>
  <si>
    <t>District heating, plant only</t>
  </si>
  <si>
    <t>Plant only: heat interface unit and connection to the network; existing pipework and radiators kept</t>
  </si>
  <si>
    <t>Unverified † (= 5.1d × 0.3)</t>
  </si>
  <si>
    <t>5.1m</t>
  </si>
  <si>
    <t>District heating, radiators and controls only</t>
  </si>
  <si>
    <t>Radiators and controls only on a district heating system; existing connection kept</t>
  </si>
  <si>
    <t>5.1n</t>
  </si>
  <si>
    <t>Electric, plant only</t>
  </si>
  <si>
    <t>Plant only: electric boiler or water heaters; existing emitters kept</t>
  </si>
  <si>
    <t>Unverified † (= 5.1e × 0.5)</t>
  </si>
  <si>
    <t>5.1o</t>
  </si>
  <si>
    <t>Electric, radiators and controls only</t>
  </si>
  <si>
    <t>New electric panel heaters and controls only</t>
  </si>
  <si>
    <t>Unverified † (= 5.1e × 0.3)</t>
  </si>
  <si>
    <t>5.2a</t>
  </si>
  <si>
    <t>Full installation</t>
  </si>
  <si>
    <t>Full installation: cold and hot water distribution pipework, above-ground soil, waste and rainwater pipework, and the connections to sanitary fittings</t>
  </si>
  <si>
    <t>Sanitaryware (4.1–4.3); below-ground drainage (8.3)</t>
  </si>
  <si>
    <t>Refurb £68–£180 (p.248, 257) · New build £22–£89 (p.362, 363)</t>
  </si>
  <si>
    <t>5.2b</t>
  </si>
  <si>
    <t>Visible fittings only</t>
  </si>
  <si>
    <t>Visible fittings only: taps, valves and short connections to sanitaryware; existing pipework kept</t>
  </si>
  <si>
    <t>Unverified † (= 5.2a × 0.3)</t>
  </si>
  <si>
    <t>Mechanical ventilation and extract: fans, AHUs or MVHR units, ductwork, grilles and controls</t>
  </si>
  <si>
    <t>Cooling (5.4); smoke ventilation (5.13); fume extraction (5.21)</t>
  </si>
  <si>
    <t>Refurb £13–£29 (p.248, 258) · New build £8–£66 (p.364)</t>
  </si>
  <si>
    <t>Air conditioning or comfort cooling: VRF / split units or chilled water, pipework and controls</t>
  </si>
  <si>
    <t>Server room cooling (5.25)</t>
  </si>
  <si>
    <t>£84–£149 (p.363)</t>
  </si>
  <si>
    <t>Building management system: controllers, sensors, meters and software for heating, cooling and ventilation</t>
  </si>
  <si>
    <t>Local controls supplied with each system</t>
  </si>
  <si>
    <t>£22 (p.244)</t>
  </si>
  <si>
    <t>5.6a</t>
  </si>
  <si>
    <t>Small</t>
  </si>
  <si>
    <t>New or upgraded electricity supply from the network, priced as a lump sum by size. Small: capacity increase on the existing supply — new meter, cut-out and incoming cable, no DNO network works</t>
  </si>
  <si>
    <t>Internal distribution (5.7)</t>
  </si>
  <si>
    <t>5.6b</t>
  </si>
  <si>
    <t>Medium</t>
  </si>
  <si>
    <t>Medium: new larger low-voltage supply from the network with DNO reinforcement, no new substation</t>
  </si>
  <si>
    <t>£40,764–£48,729 (p.393)</t>
  </si>
  <si>
    <t>5.6c</t>
  </si>
  <si>
    <t>Large</t>
  </si>
  <si>
    <t>Large: new high-voltage supply with an on-site substation and DNO works</t>
  </si>
  <si>
    <t>5.7a</t>
  </si>
  <si>
    <t>Full installation: main switchgear, distribution boards, containment, all wiring for power and lighting circuits, sockets and switches</t>
  </si>
  <si>
    <t>Light fittings (5.8); new supply from the network (5.6)</t>
  </si>
  <si>
    <t>Refurb £186–£217 (p.248, 244) · New build £53–£137 (p.365)</t>
  </si>
  <si>
    <t>5.7b</t>
  </si>
  <si>
    <t>As 5.7a for flats and student rooms: consumer units per dwelling, wiring and sockets (no sub-distribution boards)</t>
  </si>
  <si>
    <t>£84–£119 (p.366)</t>
  </si>
  <si>
    <t>5.7c</t>
  </si>
  <si>
    <t>Second fix only</t>
  </si>
  <si>
    <t>Second fix only: new sockets, switches and accessories on existing wiring</t>
  </si>
  <si>
    <t>5.8a</t>
  </si>
  <si>
    <t>Full installation: light fittings (LED), lighting controls and external lights fixed to the building</t>
  </si>
  <si>
    <t>Wiring (in 5.7 Power); emergency lighting (5.9); site lighting (8.14)</t>
  </si>
  <si>
    <t>Refurb £62 (p.248) · New build £34–£46 (p.365)</t>
  </si>
  <si>
    <t>5.8b</t>
  </si>
  <si>
    <t>Replace fittings only</t>
  </si>
  <si>
    <t>Replace light fittings only: like-for-like LED fittings on existing wiring and layout, no new controls</t>
  </si>
  <si>
    <t>Unverified † (= 5.8a × 0.75)</t>
  </si>
  <si>
    <t>5.9</t>
  </si>
  <si>
    <t>Emergency and exit lighting with testing system</t>
  </si>
  <si>
    <t>General lighting (5.8)</t>
  </si>
  <si>
    <t>5.10a</t>
  </si>
  <si>
    <t>Generator, small</t>
  </si>
  <si>
    <t>Standby power (generator or UPS), priced as a lump sum by type and size. Standby generator up to 50 kVA with enclosure, fuel tank and changeover switch</t>
  </si>
  <si>
    <t>Distribution to the protected circuits (5.7)</t>
  </si>
  <si>
    <t>5.10b</t>
  </si>
  <si>
    <t>UPS, small</t>
  </si>
  <si>
    <t>UPS 10–20 kVA with batteries, for comms or critical circuits</t>
  </si>
  <si>
    <t>5.10c</t>
  </si>
  <si>
    <t>Generator, medium</t>
  </si>
  <si>
    <t>Standby generator 50–100 kVA with enclosure, fuel tank and changeover switch</t>
  </si>
  <si>
    <t>5.10d</t>
  </si>
  <si>
    <t>UPS, medium</t>
  </si>
  <si>
    <t>UPS 20–50 kVA with batteries</t>
  </si>
  <si>
    <t>5.10e</t>
  </si>
  <si>
    <t>Generator, large</t>
  </si>
  <si>
    <t>Standby generator 200–400 kVA with acoustic enclosure, fuel system and changeover switchgear</t>
  </si>
  <si>
    <t>£179,672 (p.279)</t>
  </si>
  <si>
    <t>5.10f</t>
  </si>
  <si>
    <t>UPS, large</t>
  </si>
  <si>
    <t>UPS 50–100 kVA with batteries and bypass</t>
  </si>
  <si>
    <t>Fire detection and alarm system: panel, detectors, sounders, call points and cabling</t>
  </si>
  <si>
    <t>Sprinklers (5.12); smoke ventilation (5.13)</t>
  </si>
  <si>
    <t>£20–£25 (p.371)</t>
  </si>
  <si>
    <t>Sprinklers or mist system with tank and pumps, and dry or wet risers where needed</t>
  </si>
  <si>
    <t>Fire alarm (5.11)</t>
  </si>
  <si>
    <t>£16–£56 (p.370, 279)</t>
  </si>
  <si>
    <t>Per floor served: automatic opening vents (AOVs) or smoke shaft dampers to stairs and corridors, with controls and interface</t>
  </si>
  <si>
    <t>General ventilation (5.3)</t>
  </si>
  <si>
    <t>Structured data cabling, Wi-Fi access points, comms cabinets and containment</t>
  </si>
  <si>
    <t>IT equipment and AV (4.7)</t>
  </si>
  <si>
    <t>£18 (p.248)</t>
  </si>
  <si>
    <t>Access control, CCTV, intruder alarm and door entry</t>
  </si>
  <si>
    <t>5.16a</t>
  </si>
  <si>
    <t>Passenger</t>
  </si>
  <si>
    <t>Per lift: lift car, machine, doors at each floor, installation and commissioning</t>
  </si>
  <si>
    <t>Lift pit and shaft structure (in 2.1, 1.3)</t>
  </si>
  <si>
    <t>nr lifts</t>
  </si>
  <si>
    <t>£103,081–£126,509 (p.367)</t>
  </si>
  <si>
    <t>5.16b</t>
  </si>
  <si>
    <t>Platform</t>
  </si>
  <si>
    <t>Per platform lift: short-rise wheelchair platform lift (up to ~4 m), enclosure and installation</t>
  </si>
  <si>
    <t>£12,651–£14,994 (p.368)</t>
  </si>
  <si>
    <t>5.16c</t>
  </si>
  <si>
    <t>Goods or bed</t>
  </si>
  <si>
    <t>Per goods or bed lift: heavy-duty car (≈2,000 kg), doors at each floor, installation</t>
  </si>
  <si>
    <t>£126,509–£154,622 (p.368)</t>
  </si>
  <si>
    <t>5.17</t>
  </si>
  <si>
    <t>Solar panels, mounting, inverters, cabling and grid connection (roof, canopy or ground-mounted)</t>
  </si>
  <si>
    <t>Battery storage (5.18); roof strengthening</t>
  </si>
  <si>
    <t>£2,460–£3,163 (p.372)</t>
  </si>
  <si>
    <t>Battery storage units, inverter and connection</t>
  </si>
  <si>
    <t>Solar PV (5.17)</t>
  </si>
  <si>
    <t>Per charger: 7–22 kW charge point, cabling, ducting and connection to the building supply</t>
  </si>
  <si>
    <t>Supply upgrade (5.6)</t>
  </si>
  <si>
    <t>5.20a</t>
  </si>
  <si>
    <t>Compressed air plant and pipework, priced as a lump sum by size. Small: one compressor, receiver and a short pipework run (workshop scale)</t>
  </si>
  <si>
    <t>5.20b</t>
  </si>
  <si>
    <t>Medium: compressor with dryer, receiver and pipework to several outlets</t>
  </si>
  <si>
    <t>5.20c</t>
  </si>
  <si>
    <t>Large: duty / standby compressors, dryers and a distribution ring</t>
  </si>
  <si>
    <t>5.21a</t>
  </si>
  <si>
    <t>Extract ductwork and fans for fume cupboards and processes, priced as a lump sum by size. Small: extract fan and ductwork for one or two fume cupboards</t>
  </si>
  <si>
    <t>Fume cupboards themselves (4.10)</t>
  </si>
  <si>
    <t>5.21b</t>
  </si>
  <si>
    <t>Medium: extract system for up to about six fume cupboards or process points</t>
  </si>
  <si>
    <t>5.21c</t>
  </si>
  <si>
    <t>Large: central extract plant for a whole laboratory floor</t>
  </si>
  <si>
    <t>5.22</t>
  </si>
  <si>
    <t>Trade and process drainage: channels, gullies, interceptors and separators</t>
  </si>
  <si>
    <t>General drainage (5.2, 8.3)</t>
  </si>
  <si>
    <t>Medical gas pipework, outlets, alarms and area valve units (oxygen, air, vacuum)</t>
  </si>
  <si>
    <t>Gas plant or bulk supply</t>
  </si>
  <si>
    <t>Nurse call per bed: call points, indicators, staff attack and panels</t>
  </si>
  <si>
    <t>Clinical fittings (4.11)</t>
  </si>
  <si>
    <t>nr beds</t>
  </si>
  <si>
    <t>5.25a</t>
  </si>
  <si>
    <t>Precision cooling for server or comms rooms, priced as a lump sum by size. Small: split cooling unit for a comms room (one or two racks)</t>
  </si>
  <si>
    <t>General cooling (5.4)</t>
  </si>
  <si>
    <t>5.25b</t>
  </si>
  <si>
    <t>Medium: precision cooling for a server room of up to about ten racks</t>
  </si>
  <si>
    <t>5.25c</t>
  </si>
  <si>
    <t>Large: duty / standby precision cooling for a data room</t>
  </si>
  <si>
    <t>5.26</t>
  </si>
  <si>
    <t>Builder's work for services: holes, chases, plinths, plant bases and making good. Added automatically when any Group 5 item is selected</t>
  </si>
  <si>
    <t>Refurb £21–£44 (p.244, 248) · New build £19–£55 (p.373)</t>
  </si>
  <si>
    <t>GROUP 7 — WORK TO EXISTING BUILDINGS</t>
  </si>
  <si>
    <t>7.1a</t>
  </si>
  <si>
    <t>Fair</t>
  </si>
  <si>
    <t>Repairs to the existing structure and fabric (cracks, lintels, concrete defects, roof and wall repairs), incl. local underpinning</t>
  </si>
  <si>
    <t>Full re-roofing (2.5); new structure (2.1)</t>
  </si>
  <si>
    <t>7.1b</t>
  </si>
  <si>
    <t>Good</t>
  </si>
  <si>
    <t>Repairs to a building in good condition: minor defects only</t>
  </si>
  <si>
    <t>Unverified † (= 7.1a × 0.5)</t>
  </si>
  <si>
    <t>7.1c</t>
  </si>
  <si>
    <t>Poor</t>
  </si>
  <si>
    <t>Repairs to a building in poor condition: widespread structural and fabric defects</t>
  </si>
  <si>
    <t>Unverified † (= 7.1a × 2)</t>
  </si>
  <si>
    <t>7.2</t>
  </si>
  <si>
    <t>Structural alterations: new openings, removing load-bearing walls with steels and propping, partial demolition and making good</t>
  </si>
  <si>
    <t>Strip-out of finishes (0.3)</t>
  </si>
  <si>
    <t>£25 (p.242)</t>
  </si>
  <si>
    <t>Damp-proof course injection, tanking of affected walls, re-plastering</t>
  </si>
  <si>
    <t>Roof or gutter leaks (7.1)</t>
  </si>
  <si>
    <t>GROUP 8 — EXTERNAL WORKS</t>
  </si>
  <si>
    <t>Site clearance, vegetation removal, topsoil strip, cut and fill, levelling</t>
  </si>
  <si>
    <t>Tree removal (0.6); demolition (0.2)</t>
  </si>
  <si>
    <t>£8 (p.229)</t>
  </si>
  <si>
    <t>Surface water drainage: gullies, channels, pipework, manholes, SuDS and attenuation</t>
  </si>
  <si>
    <t>Foul drainage (8.3)</t>
  </si>
  <si>
    <t>£30–£37 (p.384)</t>
  </si>
  <si>
    <t>Below-ground foul drainage from the building to the public sewer, incl. manholes and connection</t>
  </si>
  <si>
    <t>Above-ground pipework (5.2)</t>
  </si>
  <si>
    <t>£4 (p.229)</t>
  </si>
  <si>
    <t>Water, gas, electricity and telecoms connections on site, incl. utility company connection charges</t>
  </si>
  <si>
    <t>A new substation (5.6); diversions (0.7)</t>
  </si>
  <si>
    <t>£19–£23 (p.231, 248)</t>
  </si>
  <si>
    <t>8.5a</t>
  </si>
  <si>
    <t>New site access and highway works (Section 278), priced as a lump sum by size. Small: new or widened vehicle crossover and dropped kerb</t>
  </si>
  <si>
    <t>Roads inside the site (8.7)</t>
  </si>
  <si>
    <t>8.5b</t>
  </si>
  <si>
    <t>Medium: new junction bell-mouth and footway works under a Section 278 agreement</t>
  </si>
  <si>
    <t>8.5c</t>
  </si>
  <si>
    <t>Large: major junction works (turning lane or signals) under a Section 278 agreement</t>
  </si>
  <si>
    <t>8.6a</t>
  </si>
  <si>
    <t>Retaining walls and earthworks for sloping sites, priced as a lump sum by size. Small: short retaining walls under about 1.2 m and minor regrading</t>
  </si>
  <si>
    <t>Basement retaining walls (1.3)</t>
  </si>
  <si>
    <t>8.6b</t>
  </si>
  <si>
    <t>Medium: retaining walls of about 1.5–2 m along part of the site, with cut and fill</t>
  </si>
  <si>
    <t>8.6c</t>
  </si>
  <si>
    <t>Large: extensive retaining structures or major earthworks on a steep site</t>
  </si>
  <si>
    <t>Roads, footpaths and hard landscaping: sub-base, surfacing, kerbs and edgings</t>
  </si>
  <si>
    <t>Car parking spaces (8.8); HGV yard (8.9)</t>
  </si>
  <si>
    <t>£38–£164 (p.374, 230)</t>
  </si>
  <si>
    <t>Per surface parking space: sub-base, surfacing, kerbs, marking, drainage and share of lighting</t>
  </si>
  <si>
    <t>EV chargers (5.19); multi-storey or underground parking</t>
  </si>
  <si>
    <t>nr spaces</t>
  </si>
  <si>
    <t>£2,788–£3,538 (p.375)</t>
  </si>
  <si>
    <t>Heavy-duty concrete hardstanding and turning area for HGVs</t>
  </si>
  <si>
    <t>Drainage (8.2); dock levellers (4.13)</t>
  </si>
  <si>
    <t>m² yard</t>
  </si>
  <si>
    <t>£60 (p.230)</t>
  </si>
  <si>
    <t>Topsoil, grass seeding or turf, planting and trees, first-year maintenance</t>
  </si>
  <si>
    <t>Biodiversity net gain units (8.12)</t>
  </si>
  <si>
    <t>m² soft</t>
  </si>
  <si>
    <t>£7–£35 (p.378, 377)</t>
  </si>
  <si>
    <t>Extra over the roof for a green roof (sedum or biodiverse) or roof terrace finish, incl. drainage layer</t>
  </si>
  <si>
    <t>The roof itself (2.5)</t>
  </si>
  <si>
    <t>£110–£276 (p.234, 315)</t>
  </si>
  <si>
    <t>8.12a</t>
  </si>
  <si>
    <t>Biodiversity net gain: on-site habitat work or off-site units, priced as a lump sum by size. Small: on-site habitat enhancement (planting, habitat boxes) and monitoring</t>
  </si>
  <si>
    <t>Reported below the construction total. Soft landscaping (8.10)</t>
  </si>
  <si>
    <t>8.12b</t>
  </si>
  <si>
    <t>Medium: on-site habitat creation plus a few off-site biodiversity units</t>
  </si>
  <si>
    <t>8.12c</t>
  </si>
  <si>
    <t>Large: purchase of off-site biodiversity units for a larger deficit</t>
  </si>
  <si>
    <t>Boundary fencing, walls and gates, per linear metre of boundary</t>
  </si>
  <si>
    <t>Vehicle barriers</t>
  </si>
  <si>
    <t>£36–£123 (p.379, 230, 231)</t>
  </si>
  <si>
    <t>Site and car park lighting columns or bollards, cabling and controls</t>
  </si>
  <si>
    <t>Lights fixed to the building (5.8)</t>
  </si>
  <si>
    <t>£2–£3 (p.394)</t>
  </si>
  <si>
    <t>Per cycle space: stands and a share of a covered shelter</t>
  </si>
  <si>
    <t>Enclosed cycle stores inside the building</t>
  </si>
  <si>
    <t>£30–£37 (p.383)</t>
  </si>
  <si>
    <t>SCOPE RULES — how the app uses each item (rarely needs changing)</t>
  </si>
  <si>
    <t>Two tables, each starting at its ▶ marker and ending at the first blank row — to add a row, insert it inside the table. ▶ items: one row per Scope ID. ▶ options: one row per Rate key on '2. Rates'. What each column means is on '1. Instructions'.</t>
  </si>
  <si>
    <t>▶ items</t>
  </si>
  <si>
    <t>Item (for reading)</t>
  </si>
  <si>
    <t>IF(PT=EW, EXT_AREA, FOOTPRINT)</t>
  </si>
  <si>
    <t>4.8</t>
  </si>
  <si>
    <t>5.25</t>
  </si>
  <si>
    <t>▶ options</t>
  </si>
  <si>
    <t>Option (as the app shows it)</t>
  </si>
  <si>
    <t>Quantity rule (if different from the item)</t>
  </si>
  <si>
    <t>v4.5 0.4. No source recorded in v4.5 · Note: Piling is in Foundations</t>
  </si>
  <si>
    <t>Owner's rate, 27 Sept 2026: £100 per m² of building footprint (replaces the Small / Medium / Large bands)</t>
  </si>
  <si>
    <t>Standard WC: v4.5 4.2-COM ware + 4.31-NR cubicle + ½ × 5.30-NR hand dryer + ¼ × 4.32-HOH vanity run (assumption: 1 dryer per 2 WCs, 1 vanity run per 4 WCs) · Note: BCIS split is an AI estimate</t>
  </si>
  <si>
    <t>v4.5 4.7 £/workstation (cites BCO Fit-Out Guide 2024, not verified) ÷ 10 m² per workstation (assumption) · Note: In the construction total (decision 23 Sept 2026)</t>
  </si>
  <si>
    <t>v4.5 4.20 benching per m² + 4.21 fume cupboards ÷ 50 m² lab per cupboard (assumption). v4.5 cites Lab-Interiors / Waldner-Esco Q2 2026 (not verified) · Note: Fume extraction ductwork and fans are in Fume extraction</t>
  </si>
  <si>
    <t>v4.5 4.19. v4.5 cites: NHS P21+ 2024 (not verified) · Note: Medical gas pipework is in Medical gases</t>
  </si>
  <si>
    <t>v4.5 5.2 heating + 5.5 gas installation (no source recorded in v4.5) · Note: BCIS split is an AI estimate</t>
  </si>
  <si>
    <t>v4.5 5.1. No source recorded in v4.5 · Note: BCIS split is an AI estimate</t>
  </si>
  <si>
    <t>AI estimate. Not in v4.5 · Note: Reported below the construction total</t>
  </si>
  <si>
    <t>There is no Basic new-build rate, so Basic reads Standard</t>
  </si>
  <si>
    <t>Same rates as New build (owner, 27 Sept 2026)</t>
  </si>
  <si>
    <t>Same rates as Refurbishment</t>
  </si>
  <si>
    <t>Reads the New build Standard rates; quantities from the external works area</t>
  </si>
  <si>
    <t>Q1.3 options. The Code is what '2. Rates' and '4. Scope rules' uses</t>
  </si>
  <si>
    <t>Used on '2. Rates' and '4. Scope rules' only: the item or rate applies to every building use</t>
  </si>
  <si>
    <t>Q1.2 options. The rate column read for each specification level. The Code is what '2. Rates' and '4. Scope rules' uses</t>
  </si>
  <si>
    <t>Prices and scope of works for Projento, in four sheets. Prepared by Nabil Kayali.</t>
  </si>
  <si>
    <t>THE FOUR SHEETS</t>
  </si>
  <si>
    <t>2. Rates</t>
  </si>
  <si>
    <t>Every price. One row per item or option, the rates side by side. The sheet you maintain.</t>
  </si>
  <si>
    <t>Project types (and which rate column each reads), building uses, specification and intervention levels, location factors, benchmarks, quantity ratios, factors and percentages.</t>
  </si>
  <si>
    <t>4. Scope rules</t>
  </si>
  <si>
    <t>How the app uses each item: when it shows, what starts ticked, how the quantity is estimated, BCIS split and old codes. Rarely needs changing.</t>
  </si>
  <si>
    <t>This page: how to read and change the workbook, the self-checks and the update log.</t>
  </si>
  <si>
    <t>READING '2. RATES'</t>
  </si>
  <si>
    <t>Rates</t>
  </si>
  <si>
    <t>Mid-point UK rates before the location factor, preliminaries and overheads &amp; profit — the app adds those from '3. Settings'.</t>
  </si>
  <si>
    <t>Which column</t>
  </si>
  <si>
    <t>Refurbishment, Fit-out and Demolition only read the Refurb &amp; Fit-out columns (the same price for both). New build, Extension and External works only read the New build &amp; Extension columns. Other or mixed reads Refurb &amp; Fit-out, then New build where that is 0.</t>
  </si>
  <si>
    <t>Blank Basic or High</t>
  </si>
  <si>
    <t>Same as Standard.</t>
  </si>
  <si>
    <t>Dash (–) = no price</t>
  </si>
  <si>
    <t>No price for that project type, so the item (or option) cannot be selected in Q2.3 Scope of works for it. The cell holds 0.</t>
  </si>
  <si>
    <t>ALL = any building use. A code (e.g. HOS, HEA, RES STU) = a rate for that use only; the app uses it for that use and the ALL row otherwise.</t>
  </si>
  <si>
    <t>What's included / Not included</t>
  </si>
  <si>
    <t>What the rate covers, and what is priced elsewhere (with the code of the row that prices it) or not at all. Size bands (Small / Medium / Large) say what each lump sum assumes.</t>
  </si>
  <si>
    <t>Units</t>
  </si>
  <si>
    <t>m² GIFA = gross internal floor area of the building worked on (Q1.5). m² footprint = ground-floor area (GIFA ÷ storeys). m² upper floors = GIFA − footprint. m² roof = roof on plan (= footprint). m² external = the external works area. nr … = a count (WCs, lifts, spaces). band = one lump sum.</t>
  </si>
  <si>
    <t>Formula cells</t>
  </si>
  <si>
    <t>A few options are priced as a multiple of another row (e.g. air source heat pump = gas boiler × 1.3). The Source column shows the row and factor; change the factor in the cell formula.</t>
  </si>
  <si>
    <t>Code and Rate key</t>
  </si>
  <si>
    <t>Code (0.1, 4.2a) is for reading. Rate key (last column, grey) is permanent: saved projects store it. Never change or reuse a Rate key.</t>
  </si>
  <si>
    <t>Spon's check</t>
  </si>
  <si>
    <t>Spon's Architects' &amp; Builders' Price Book 2024 figure converted to this workbook's basis (Q3 2026, UK mid-point, excluding prelims and OH&amp;P), with the PDF page.</t>
  </si>
  <si>
    <t>PRICE SOURCE (column 'Source' on '2. Rates')</t>
  </si>
  <si>
    <t>Set by the owner.</t>
  </si>
  <si>
    <t>Suggested from Spon's 2024 and approved by the owner.</t>
  </si>
  <si>
    <t>Compared with Spon's 2024; the owner kept the existing rate.</t>
  </si>
  <si>
    <t>Carried from v4.5, not yet checked.</t>
  </si>
  <si>
    <t>Estimated, not yet checked. Lines using it are marked † on reports until the source changes.</t>
  </si>
  <si>
    <t>Change a price</t>
  </si>
  <si>
    <t>Edit the cell on '2. Rates' and update its Source. Save in Excel.</t>
  </si>
  <si>
    <t>Insert a row on '2. Rates' under the item with the next Rate key (e.g. S-0039-16), and a row for that key on '4. Scope rules' ▶ options.</t>
  </si>
  <si>
    <t>Add an item</t>
  </si>
  <si>
    <t>Insert its rows on '2. Rates', a row on ▶ items (next unused Scope ID — never reuse one) and a row per option on ▶ options.</t>
  </si>
  <si>
    <t>When an item shows, or its quantity</t>
  </si>
  <si>
    <t>4. Scope rules'.</t>
  </si>
  <si>
    <t>A percentage, ratio or factor</t>
  </si>
  <si>
    <t>3. Settings'.</t>
  </si>
  <si>
    <t>Check the self-checks below all read 0, bump the Version on '3. Settings', add a line to the update log, save in Excel.</t>
  </si>
  <si>
    <t>A new column, pricing type, input name or 'When selected' effect type; renamed sheets, ▶ markers or column headers.</t>
  </si>
  <si>
    <t>SCOPE RULES SHEET — WHAT THE COLUMNS MEAN</t>
  </si>
  <si>
    <t>Project type codes</t>
  </si>
  <si>
    <t>NB New build · EX Extension · RF Refurbishment · FO Fit-out · EW External works only · DM Demolition only · OM Other or mixed. Several codes separated by spaces, e.g. "NB EX RF". "—" means none.</t>
  </si>
  <si>
    <t>Building use codes</t>
  </si>
  <si>
    <t>Shown on / Pre-ticked on</t>
  </si>
  <si>
    <t>The project types an item is offered on, and the ones where "Use typical scope" ticks it.</t>
  </si>
  <si>
    <t>Relevant building uses</t>
  </si>
  <si>
    <t>Uses for which the item is listed first and can start ticked. It never hides an item — the rest sit under "More items".</t>
  </si>
  <si>
    <t>One = the user picks one option (drop-down). Several = more than one option, each with its own quantity (e.g. standard + accessible toilets).</t>
  </si>
  <si>
    <t>How the app estimates the quantity when the user has not entered one (their figure always wins). On ▶ options, blank = the item's rule.</t>
  </si>
  <si>
    <t xml:space="preserve">  names</t>
  </si>
  <si>
    <t>GIFA · STOREYS · FOOTPRINT · UPPER · EXT_AREA · DEMOLISHED · PT · USE · AGE · LEVEL — defined, with defaults, on '3. Settings' ▶ inputs.</t>
  </si>
  <si>
    <t xml:space="preserve">  ratios</t>
  </si>
  <si>
    <t>r.name reads ▶ quantity_ratios on '3. Settings': the row for the building use, else ALL (e.g. r.m2_per_bed is 25 for student, 70 for healthcare).</t>
  </si>
  <si>
    <t xml:space="preserve">  functions</t>
  </si>
  <si>
    <t>IF(test, then, else) · ROUND(x, 0) · MAX(a, b) · MIN(a, b) · SQRT(x) · Q(S-0000) = another item's quantity · + − * / and = &lt;&gt; &lt; &gt; &lt;= &gt;=.</t>
  </si>
  <si>
    <t xml:space="preserve">  keywords</t>
  </si>
  <si>
    <t>ENTER = not priced until the user enters a quantity. 1 = one item.</t>
  </si>
  <si>
    <t>Tests joined by "&amp;", then "→ tick" or "→ untick", e.g. "PT=NB &amp; USE=RES → tick". "=" followed by several codes means any of them.</t>
  </si>
  <si>
    <t>RISK: adds a risk · ASSUME: adds an assumption · RATE: moves another item's default one band up · SUGGEST: ticks another item (by Scope ID). Separate several with " · ".</t>
  </si>
  <si>
    <t>Available from / Pre-ticked at intervention levels</t>
  </si>
  <si>
    <t>Refurbishment and Fit-out only: the option is greyed out below that level, and starts ticked at the listed levels.</t>
  </si>
  <si>
    <t>Yes = the rate is multiplied by the location factor and, on Refurbishment / Fit-out, the intervention band.</t>
  </si>
  <si>
    <t>BCIS element / Share</t>
  </si>
  <si>
    <t>Where the item's cost is reported in the BCIS elements. Shares add up to 100%.</t>
  </si>
  <si>
    <t>v4.5 codes this item replaces, so older saved projects still open. Never delete.</t>
  </si>
  <si>
    <t>Duplicate rate keys on '2. Rates'</t>
  </si>
  <si>
    <t>Rows on '2. Rates' with no ▶ options row</t>
  </si>
  <si>
    <t>▶ options rows with no '2. Rates' row</t>
  </si>
  <si>
    <t>▶ options rows whose Scope ID is not on ▶ items</t>
  </si>
  <si>
    <t>Rows with no Source</t>
  </si>
  <si>
    <t>Items whose BCIS shares don't total 100%</t>
  </si>
  <si>
    <t>Pick-one items with more than one default</t>
  </si>
  <si>
    <t>Items with no quantity rule</t>
  </si>
  <si>
    <t>Priced rows</t>
  </si>
  <si>
    <t>v5.5 — 27 Sept 2026</t>
  </si>
  <si>
    <t>Reorganised for reading: '2. Scope and Rates' split into '2. Rates' (prices, one row per item or option, like v3.3) and '4. Scope rules' (the app's rules). Two rate families: Refurb &amp; Fit-out (same price for both) and New build &amp; Extension (Extension now priced as New build; Extension-only items moved into those columns); Ext Works column removed — External works only reads New build Std. Building use column on '2. Rates'. Units say what they measure (m² GIFA, m² footprint …). What's included / Not included written for every row, incl. what each size band assumes. Blank Basic / High = same as Standard; no price = not selectable in Q2.3. Rates from the owner's Spon's 2024 review (decisions up to 4.6 Signage). Service diversions: one rate, £100 per m² of footprint (external works area on External works only). Contaminated land not offered on demolition only. Changing Places prices only when a number is entered. Notes column moved into Source detail.</t>
  </si>
  <si>
    <t>-</t>
  </si>
  <si>
    <t>NK Comment</t>
  </si>
  <si>
    <t>Staff kitchenette (non-domestic)</t>
  </si>
  <si>
    <t>Per staff kitchenette in a non-domestic building (offices, schools, healthcare): base and wall units, worktop, sink and hot-water tap, fitted</t>
  </si>
  <si>
    <t>nr kitchenettes</t>
  </si>
  <si>
    <t>Type: Staff kitchenette (non-domestic)</t>
  </si>
  <si>
    <t>NB EX FO OM</t>
  </si>
  <si>
    <t>2026-09-28</t>
  </si>
  <si>
    <t>Removed by the owner in the v5.5 review (bin store S-0082 deleted)</t>
  </si>
  <si>
    <t>NRM1 COST ESTIMATE TOOL — v5.6 (September 2026)</t>
  </si>
  <si>
    <t>v5.6 — 28 Sept 2026</t>
  </si>
  <si>
    <t>Owner's review of v5.5: rates edited by the owner (roof, internal doors, toilets, fixed joinery, signage, AV, loose furniture, heating High, water, cooling, controls, lighting, fire alarm, sprinklers, solar PV); frame, upper floors and stairs no longer offered on refurbishment. Toilets: one rate for every building use (HOS and HEA variants removed). Changing Places Standard £45,000. Showers 900 / 1,400 / 2,500. Bathroom pods and bin store removed (bin store's old code 8.12 retired). Tea point renamed Staff kitchenette (non-domestic). Mezzanine offered on Fit-out, not Refurbishment.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</si>
</sst>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=0]&quot;–&quot;;[&lt;1000]General;#,##0"/>
    <numFmt numFmtId="165" formatCode="[&lt;1000]General;#,##0"/>
  </numFmts>
  <fonts count="13" x14ac:knownFonts="1">
    <font>
      <sz val="11"/>
      <color theme="1"/>
      <name val="Calibri"/>
      <family val="2"/>
      <charset val="1"/>
    </font>
    <font>
      <b/>
      <sz val="14"/>
      <color rgb="FF1A2E4A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595959"/>
      <name val="Arial"/>
      <charset val="1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808080"/>
      <name val="Arial"/>
      <family val="2"/>
    </font>
    <font>
      <sz val="10"/>
      <color rgb="FF80808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8CBAD"/>
        <bgColor rgb="FFFCE4D6"/>
      </patternFill>
    </fill>
    <fill>
      <patternFill patternType="solid">
        <fgColor rgb="FFEEF2F7"/>
        <bgColor rgb="FFEDEDED"/>
      </patternFill>
    </fill>
    <fill>
      <patternFill patternType="solid">
        <fgColor rgb="FF1A2E4A"/>
        <bgColor indexed="64"/>
      </patternFill>
    </fill>
    <fill>
      <patternFill patternType="solid">
        <fgColor rgb="FFD9E1E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/>
    <xf numFmtId="0" fontId="0" fillId="2" borderId="0" xfId="0" applyFill="1"/>
    <xf numFmtId="0" fontId="5" fillId="0" borderId="0" xfId="0" applyFont="1"/>
    <xf numFmtId="0" fontId="2" fillId="4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5" borderId="0" xfId="0" applyFont="1" applyFill="1" applyAlignment="1">
      <alignment vertical="center" wrapText="1"/>
    </xf>
    <xf numFmtId="0" fontId="9" fillId="6" borderId="0" xfId="0" applyFont="1" applyFill="1" applyAlignment="1">
      <alignment vertical="top"/>
    </xf>
    <xf numFmtId="0" fontId="6" fillId="0" borderId="0" xfId="0" quotePrefix="1" applyFont="1" applyAlignment="1">
      <alignment vertical="top"/>
    </xf>
    <xf numFmtId="0" fontId="6" fillId="0" borderId="0" xfId="0" applyFont="1" applyAlignment="1">
      <alignment vertical="top"/>
    </xf>
    <xf numFmtId="0" fontId="9" fillId="6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9" fillId="6" borderId="1" xfId="0" applyFon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11" fillId="6" borderId="1" xfId="0" applyFont="1" applyFill="1" applyBorder="1" applyAlignment="1">
      <alignment vertical="top"/>
    </xf>
    <xf numFmtId="0" fontId="6" fillId="0" borderId="2" xfId="0" quotePrefix="1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/>
    </xf>
    <xf numFmtId="0" fontId="12" fillId="0" borderId="2" xfId="0" applyFont="1" applyBorder="1" applyAlignment="1">
      <alignment vertical="top"/>
    </xf>
    <xf numFmtId="0" fontId="9" fillId="6" borderId="2" xfId="0" applyFont="1" applyFill="1" applyBorder="1" applyAlignment="1">
      <alignment vertical="top"/>
    </xf>
    <xf numFmtId="0" fontId="9" fillId="6" borderId="2" xfId="0" applyFont="1" applyFill="1" applyBorder="1" applyAlignment="1">
      <alignment vertical="top" wrapText="1"/>
    </xf>
    <xf numFmtId="0" fontId="11" fillId="6" borderId="2" xfId="0" applyFont="1" applyFill="1" applyBorder="1" applyAlignment="1">
      <alignment vertical="top"/>
    </xf>
    <xf numFmtId="0" fontId="10" fillId="5" borderId="0" xfId="0" applyFont="1" applyFill="1" applyAlignment="1">
      <alignment vertical="top" wrapText="1"/>
    </xf>
    <xf numFmtId="0" fontId="9" fillId="0" borderId="0" xfId="0" applyFont="1" applyAlignment="1">
      <alignment vertical="top"/>
    </xf>
    <xf numFmtId="0" fontId="3" fillId="0" borderId="0" xfId="0" quotePrefix="1" applyFont="1" applyAlignment="1">
      <alignment vertical="top" wrapText="1"/>
    </xf>
    <xf numFmtId="0" fontId="7" fillId="0" borderId="0" xfId="0" applyFont="1" applyAlignment="1">
      <alignment vertical="top"/>
    </xf>
    <xf numFmtId="0" fontId="6" fillId="0" borderId="0" xfId="0" quotePrefix="1" applyFont="1" applyAlignment="1">
      <alignment vertical="top" wrapText="1"/>
    </xf>
    <xf numFmtId="0" fontId="6" fillId="0" borderId="0" xfId="0" applyFont="1" applyAlignment="1">
      <alignment horizontal="center" vertical="top"/>
    </xf>
    <xf numFmtId="0" fontId="9" fillId="6" borderId="0" xfId="0" applyFont="1" applyFill="1" applyAlignment="1">
      <alignment horizontal="center" vertical="top"/>
    </xf>
    <xf numFmtId="0" fontId="6" fillId="7" borderId="0" xfId="0" applyFont="1" applyFill="1"/>
    <xf numFmtId="0" fontId="10" fillId="7" borderId="0" xfId="0" applyFont="1" applyFill="1" applyAlignment="1">
      <alignment vertical="center" wrapText="1"/>
    </xf>
    <xf numFmtId="165" fontId="9" fillId="7" borderId="1" xfId="0" applyNumberFormat="1" applyFont="1" applyFill="1" applyBorder="1" applyAlignment="1">
      <alignment horizontal="right" vertical="top"/>
    </xf>
    <xf numFmtId="164" fontId="9" fillId="7" borderId="1" xfId="0" applyNumberFormat="1" applyFont="1" applyFill="1" applyBorder="1" applyAlignment="1">
      <alignment horizontal="right" vertical="top"/>
    </xf>
    <xf numFmtId="165" fontId="6" fillId="7" borderId="2" xfId="0" applyNumberFormat="1" applyFont="1" applyFill="1" applyBorder="1" applyAlignment="1">
      <alignment horizontal="right" vertical="top"/>
    </xf>
    <xf numFmtId="164" fontId="6" fillId="7" borderId="2" xfId="0" applyNumberFormat="1" applyFont="1" applyFill="1" applyBorder="1" applyAlignment="1">
      <alignment horizontal="right" vertical="top"/>
    </xf>
    <xf numFmtId="165" fontId="9" fillId="7" borderId="2" xfId="0" applyNumberFormat="1" applyFont="1" applyFill="1" applyBorder="1" applyAlignment="1">
      <alignment horizontal="right" vertical="top"/>
    </xf>
    <xf numFmtId="164" fontId="9" fillId="7" borderId="2" xfId="0" applyNumberFormat="1" applyFont="1" applyFill="1" applyBorder="1" applyAlignment="1">
      <alignment horizontal="right" vertical="top"/>
    </xf>
    <xf numFmtId="0" fontId="6" fillId="8" borderId="2" xfId="0" applyFont="1" applyFill="1" applyBorder="1" applyAlignment="1">
      <alignment vertical="top"/>
    </xf>
    <xf numFmtId="0" fontId="6" fillId="8" borderId="2" xfId="0" applyFont="1" applyFill="1" applyBorder="1" applyAlignment="1">
      <alignment vertical="top" wrapText="1"/>
    </xf>
    <xf numFmtId="165" fontId="6" fillId="8" borderId="2" xfId="0" applyNumberFormat="1" applyFont="1" applyFill="1" applyBorder="1" applyAlignment="1">
      <alignment horizontal="right" vertical="top"/>
    </xf>
    <xf numFmtId="164" fontId="6" fillId="8" borderId="2" xfId="0" applyNumberFormat="1" applyFont="1" applyFill="1" applyBorder="1" applyAlignment="1">
      <alignment horizontal="right" vertical="top"/>
    </xf>
    <xf numFmtId="0" fontId="12" fillId="8" borderId="2" xfId="0" applyFont="1" applyFill="1" applyBorder="1" applyAlignment="1">
      <alignment vertical="top"/>
    </xf>
    <xf numFmtId="0" fontId="6" fillId="9" borderId="2" xfId="0" applyFont="1" applyFill="1" applyBorder="1" applyAlignment="1">
      <alignment vertical="top"/>
    </xf>
    <xf numFmtId="0" fontId="6" fillId="9" borderId="2" xfId="0" applyFont="1" applyFill="1" applyBorder="1" applyAlignment="1">
      <alignment vertical="top" wrapText="1"/>
    </xf>
    <xf numFmtId="165" fontId="6" fillId="9" borderId="2" xfId="0" applyNumberFormat="1" applyFont="1" applyFill="1" applyBorder="1" applyAlignment="1">
      <alignment horizontal="right" vertical="top"/>
    </xf>
    <xf numFmtId="164" fontId="6" fillId="9" borderId="2" xfId="0" applyNumberFormat="1" applyFont="1" applyFill="1" applyBorder="1" applyAlignment="1">
      <alignment horizontal="right" vertical="top"/>
    </xf>
    <xf numFmtId="0" fontId="12" fillId="9" borderId="2" xfId="0" applyFont="1" applyFill="1" applyBorder="1" applyAlignment="1">
      <alignment vertical="top"/>
    </xf>
    <xf numFmtId="0" fontId="6" fillId="9" borderId="2" xfId="0" quotePrefix="1" applyFont="1" applyFill="1" applyBorder="1" applyAlignment="1">
      <alignment vertical="top"/>
    </xf>
    <xf numFmtId="0" fontId="6" fillId="0" borderId="0" xfId="0" applyFont="1" applyAlignment="1">
      <alignment wrapText="1"/>
    </xf>
    <xf numFmtId="0" fontId="6" fillId="10" borderId="2" xfId="0" applyFont="1" applyFill="1" applyBorder="1" applyAlignment="1">
      <alignment vertical="top"/>
    </xf>
    <xf numFmtId="0" fontId="6" fillId="10" borderId="2" xfId="0" applyFont="1" applyFill="1" applyBorder="1" applyAlignment="1">
      <alignment vertical="top" wrapText="1"/>
    </xf>
    <xf numFmtId="165" fontId="6" fillId="10" borderId="2" xfId="0" applyNumberFormat="1" applyFont="1" applyFill="1" applyBorder="1" applyAlignment="1">
      <alignment horizontal="right" vertical="top"/>
    </xf>
    <xf numFmtId="164" fontId="6" fillId="10" borderId="2" xfId="0" applyNumberFormat="1" applyFont="1" applyFill="1" applyBorder="1" applyAlignment="1">
      <alignment horizontal="right" vertical="top"/>
    </xf>
    <xf numFmtId="0" fontId="12" fillId="10" borderId="2" xfId="0" applyFont="1" applyFill="1" applyBorder="1" applyAlignment="1">
      <alignment vertical="top"/>
    </xf>
    <xf numFmtId="0" fontId="6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DE7F6"/>
      <rgbColor rgb="FFEDEDED"/>
      <rgbColor rgb="FFEEF2F7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D5A80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CD35-3C7D-4CAC-A46E-6C3CC3E31849}">
  <dimension ref="A1:C85"/>
  <sheetViews>
    <sheetView showGridLines="0" tabSelected="1" workbookViewId="0"/>
  </sheetViews>
  <sheetFormatPr defaultRowHeight="12.75" x14ac:dyDescent="0.2"/>
  <cols>
    <col min="1" max="1" width="36.7109375" style="8" customWidth="1"/>
    <col min="2" max="2" width="120.7109375" style="8" customWidth="1"/>
    <col min="3" max="3" width="10.7109375" style="8" customWidth="1"/>
    <col min="4" max="16384" width="9.140625" style="8"/>
  </cols>
  <sheetData>
    <row r="1" spans="1:3" ht="18" x14ac:dyDescent="0.2">
      <c r="A1" s="31" t="s">
        <v>1631</v>
      </c>
      <c r="B1" s="17"/>
      <c r="C1" s="33"/>
    </row>
    <row r="2" spans="1:3" x14ac:dyDescent="0.2">
      <c r="A2" s="15" t="s">
        <v>1540</v>
      </c>
      <c r="B2" s="17"/>
      <c r="C2" s="33"/>
    </row>
    <row r="3" spans="1:3" x14ac:dyDescent="0.2">
      <c r="A3" s="15"/>
      <c r="B3" s="17"/>
      <c r="C3" s="33"/>
    </row>
    <row r="4" spans="1:3" x14ac:dyDescent="0.2">
      <c r="A4" s="13" t="s">
        <v>1541</v>
      </c>
      <c r="B4" s="16"/>
      <c r="C4" s="34"/>
    </row>
    <row r="5" spans="1:3" x14ac:dyDescent="0.2">
      <c r="A5" s="15" t="s">
        <v>1542</v>
      </c>
      <c r="B5" s="17" t="s">
        <v>1543</v>
      </c>
      <c r="C5" s="33"/>
    </row>
    <row r="6" spans="1:3" ht="25.5" x14ac:dyDescent="0.2">
      <c r="A6" s="15" t="s">
        <v>0</v>
      </c>
      <c r="B6" s="17" t="s">
        <v>1544</v>
      </c>
      <c r="C6" s="33"/>
    </row>
    <row r="7" spans="1:3" ht="25.5" x14ac:dyDescent="0.2">
      <c r="A7" s="15" t="s">
        <v>1545</v>
      </c>
      <c r="B7" s="17" t="s">
        <v>1546</v>
      </c>
      <c r="C7" s="33"/>
    </row>
    <row r="8" spans="1:3" x14ac:dyDescent="0.2">
      <c r="A8" s="15" t="s">
        <v>1</v>
      </c>
      <c r="B8" s="17" t="s">
        <v>1547</v>
      </c>
      <c r="C8" s="33"/>
    </row>
    <row r="9" spans="1:3" x14ac:dyDescent="0.2">
      <c r="A9" s="15"/>
      <c r="B9" s="17"/>
      <c r="C9" s="33"/>
    </row>
    <row r="10" spans="1:3" x14ac:dyDescent="0.2">
      <c r="A10" s="13" t="s">
        <v>1548</v>
      </c>
      <c r="B10" s="16"/>
      <c r="C10" s="34"/>
    </row>
    <row r="11" spans="1:3" x14ac:dyDescent="0.2">
      <c r="A11" s="15" t="s">
        <v>1549</v>
      </c>
      <c r="B11" s="17" t="s">
        <v>1550</v>
      </c>
      <c r="C11" s="33"/>
    </row>
    <row r="12" spans="1:3" ht="25.5" x14ac:dyDescent="0.2">
      <c r="A12" s="15" t="s">
        <v>1551</v>
      </c>
      <c r="B12" s="17" t="s">
        <v>1552</v>
      </c>
      <c r="C12" s="33"/>
    </row>
    <row r="13" spans="1:3" x14ac:dyDescent="0.2">
      <c r="A13" s="15" t="s">
        <v>1553</v>
      </c>
      <c r="B13" s="17" t="s">
        <v>1554</v>
      </c>
      <c r="C13" s="33"/>
    </row>
    <row r="14" spans="1:3" x14ac:dyDescent="0.2">
      <c r="A14" s="15" t="s">
        <v>1555</v>
      </c>
      <c r="B14" s="17" t="s">
        <v>1556</v>
      </c>
      <c r="C14" s="33"/>
    </row>
    <row r="15" spans="1:3" ht="25.5" x14ac:dyDescent="0.2">
      <c r="A15" s="15" t="s">
        <v>844</v>
      </c>
      <c r="B15" s="17" t="s">
        <v>1557</v>
      </c>
      <c r="C15" s="33"/>
    </row>
    <row r="16" spans="1:3" ht="25.5" x14ac:dyDescent="0.2">
      <c r="A16" s="15" t="s">
        <v>1558</v>
      </c>
      <c r="B16" s="17" t="s">
        <v>1559</v>
      </c>
      <c r="C16" s="33"/>
    </row>
    <row r="17" spans="1:3" ht="38.25" x14ac:dyDescent="0.2">
      <c r="A17" s="15" t="s">
        <v>1560</v>
      </c>
      <c r="B17" s="17" t="s">
        <v>1561</v>
      </c>
      <c r="C17" s="33"/>
    </row>
    <row r="18" spans="1:3" ht="25.5" x14ac:dyDescent="0.2">
      <c r="A18" s="15" t="s">
        <v>1562</v>
      </c>
      <c r="B18" s="17" t="s">
        <v>1563</v>
      </c>
      <c r="C18" s="33"/>
    </row>
    <row r="19" spans="1:3" x14ac:dyDescent="0.2">
      <c r="A19" s="15" t="s">
        <v>1564</v>
      </c>
      <c r="B19" s="17" t="s">
        <v>1565</v>
      </c>
      <c r="C19" s="33"/>
    </row>
    <row r="20" spans="1:3" ht="25.5" x14ac:dyDescent="0.2">
      <c r="A20" s="15" t="s">
        <v>1566</v>
      </c>
      <c r="B20" s="17" t="s">
        <v>1567</v>
      </c>
      <c r="C20" s="33"/>
    </row>
    <row r="21" spans="1:3" x14ac:dyDescent="0.2">
      <c r="A21" s="15"/>
      <c r="B21" s="17"/>
      <c r="C21" s="33"/>
    </row>
    <row r="22" spans="1:3" x14ac:dyDescent="0.2">
      <c r="A22" s="13" t="s">
        <v>1568</v>
      </c>
      <c r="B22" s="16"/>
      <c r="C22" s="34"/>
    </row>
    <row r="23" spans="1:3" x14ac:dyDescent="0.2">
      <c r="A23" s="15" t="s">
        <v>1076</v>
      </c>
      <c r="B23" s="17" t="s">
        <v>1569</v>
      </c>
      <c r="C23" s="33"/>
    </row>
    <row r="24" spans="1:3" x14ac:dyDescent="0.2">
      <c r="A24" s="15" t="s">
        <v>1098</v>
      </c>
      <c r="B24" s="17" t="s">
        <v>1570</v>
      </c>
      <c r="C24" s="33"/>
    </row>
    <row r="25" spans="1:3" x14ac:dyDescent="0.2">
      <c r="A25" s="15" t="s">
        <v>1118</v>
      </c>
      <c r="B25" s="17" t="s">
        <v>1571</v>
      </c>
      <c r="C25" s="33"/>
    </row>
    <row r="26" spans="1:3" x14ac:dyDescent="0.2">
      <c r="A26" s="15" t="s">
        <v>1179</v>
      </c>
      <c r="B26" s="17" t="s">
        <v>1572</v>
      </c>
      <c r="C26" s="33"/>
    </row>
    <row r="27" spans="1:3" x14ac:dyDescent="0.2">
      <c r="A27" s="15" t="s">
        <v>1174</v>
      </c>
      <c r="B27" s="17" t="s">
        <v>1573</v>
      </c>
      <c r="C27" s="33"/>
    </row>
    <row r="28" spans="1:3" x14ac:dyDescent="0.2">
      <c r="A28" s="15"/>
      <c r="B28" s="17"/>
      <c r="C28" s="33"/>
    </row>
    <row r="29" spans="1:3" x14ac:dyDescent="0.2">
      <c r="A29" s="13" t="s">
        <v>7</v>
      </c>
      <c r="B29" s="16"/>
      <c r="C29" s="34"/>
    </row>
    <row r="30" spans="1:3" x14ac:dyDescent="0.2">
      <c r="A30" s="15" t="s">
        <v>1574</v>
      </c>
      <c r="B30" s="17" t="s">
        <v>1575</v>
      </c>
      <c r="C30" s="33"/>
    </row>
    <row r="31" spans="1:3" x14ac:dyDescent="0.2">
      <c r="A31" s="15" t="s">
        <v>8</v>
      </c>
      <c r="B31" s="17" t="s">
        <v>1576</v>
      </c>
      <c r="C31" s="33"/>
    </row>
    <row r="32" spans="1:3" x14ac:dyDescent="0.2">
      <c r="A32" s="15" t="s">
        <v>1577</v>
      </c>
      <c r="B32" s="17" t="s">
        <v>1578</v>
      </c>
      <c r="C32" s="33"/>
    </row>
    <row r="33" spans="1:3" x14ac:dyDescent="0.2">
      <c r="A33" s="15" t="s">
        <v>1579</v>
      </c>
      <c r="B33" s="32" t="s">
        <v>1580</v>
      </c>
      <c r="C33" s="33"/>
    </row>
    <row r="34" spans="1:3" x14ac:dyDescent="0.2">
      <c r="A34" s="15" t="s">
        <v>1581</v>
      </c>
      <c r="B34" s="32" t="s">
        <v>1582</v>
      </c>
      <c r="C34" s="33"/>
    </row>
    <row r="35" spans="1:3" x14ac:dyDescent="0.2">
      <c r="A35" s="15" t="s">
        <v>9</v>
      </c>
      <c r="B35" s="17" t="s">
        <v>1583</v>
      </c>
      <c r="C35" s="33"/>
    </row>
    <row r="36" spans="1:3" x14ac:dyDescent="0.2">
      <c r="A36" s="15" t="s">
        <v>2</v>
      </c>
      <c r="B36" s="17" t="s">
        <v>1584</v>
      </c>
      <c r="C36" s="33"/>
    </row>
    <row r="37" spans="1:3" x14ac:dyDescent="0.2">
      <c r="A37" s="15"/>
      <c r="B37" s="17"/>
      <c r="C37" s="33"/>
    </row>
    <row r="38" spans="1:3" x14ac:dyDescent="0.2">
      <c r="A38" s="13" t="s">
        <v>1585</v>
      </c>
      <c r="B38" s="16"/>
      <c r="C38" s="34"/>
    </row>
    <row r="39" spans="1:3" ht="25.5" x14ac:dyDescent="0.2">
      <c r="A39" s="15" t="s">
        <v>1586</v>
      </c>
      <c r="B39" s="17" t="s">
        <v>1587</v>
      </c>
      <c r="C39" s="33"/>
    </row>
    <row r="40" spans="1:3" ht="25.5" x14ac:dyDescent="0.2">
      <c r="A40" s="15" t="s">
        <v>1588</v>
      </c>
      <c r="B40" s="17" t="s">
        <v>3</v>
      </c>
      <c r="C40" s="33"/>
    </row>
    <row r="41" spans="1:3" x14ac:dyDescent="0.2">
      <c r="A41" s="15" t="s">
        <v>1589</v>
      </c>
      <c r="B41" s="17" t="s">
        <v>1590</v>
      </c>
      <c r="C41" s="33"/>
    </row>
    <row r="42" spans="1:3" x14ac:dyDescent="0.2">
      <c r="A42" s="15" t="s">
        <v>1591</v>
      </c>
      <c r="B42" s="17" t="s">
        <v>1592</v>
      </c>
      <c r="C42" s="33"/>
    </row>
    <row r="43" spans="1:3" x14ac:dyDescent="0.2">
      <c r="A43" s="15" t="s">
        <v>5</v>
      </c>
      <c r="B43" s="17" t="s">
        <v>1593</v>
      </c>
      <c r="C43" s="33"/>
    </row>
    <row r="44" spans="1:3" x14ac:dyDescent="0.2">
      <c r="A44" s="15" t="s">
        <v>43</v>
      </c>
      <c r="B44" s="17" t="s">
        <v>1594</v>
      </c>
      <c r="C44" s="33"/>
    </row>
    <row r="45" spans="1:3" ht="25.5" x14ac:dyDescent="0.2">
      <c r="A45" s="15" t="s">
        <v>1595</v>
      </c>
      <c r="B45" s="17" t="s">
        <v>1596</v>
      </c>
      <c r="C45" s="33"/>
    </row>
    <row r="46" spans="1:3" ht="25.5" x14ac:dyDescent="0.2">
      <c r="A46" s="15" t="s">
        <v>1597</v>
      </c>
      <c r="B46" s="17" t="s">
        <v>1598</v>
      </c>
      <c r="C46" s="33"/>
    </row>
    <row r="47" spans="1:3" x14ac:dyDescent="0.2">
      <c r="A47" s="15" t="s">
        <v>1599</v>
      </c>
      <c r="B47" s="17" t="s">
        <v>1600</v>
      </c>
      <c r="C47" s="33"/>
    </row>
    <row r="48" spans="1:3" x14ac:dyDescent="0.2">
      <c r="A48" s="15" t="s">
        <v>1601</v>
      </c>
      <c r="B48" s="17" t="s">
        <v>1602</v>
      </c>
      <c r="C48" s="33"/>
    </row>
    <row r="49" spans="1:3" x14ac:dyDescent="0.2">
      <c r="A49" s="15" t="s">
        <v>4</v>
      </c>
      <c r="B49" s="17" t="s">
        <v>1603</v>
      </c>
      <c r="C49" s="33"/>
    </row>
    <row r="50" spans="1:3" ht="25.5" x14ac:dyDescent="0.2">
      <c r="A50" s="15" t="s">
        <v>6</v>
      </c>
      <c r="B50" s="17" t="s">
        <v>1604</v>
      </c>
      <c r="C50" s="33"/>
    </row>
    <row r="51" spans="1:3" x14ac:dyDescent="0.2">
      <c r="A51" s="15" t="s">
        <v>1605</v>
      </c>
      <c r="B51" s="17" t="s">
        <v>1606</v>
      </c>
      <c r="C51" s="33"/>
    </row>
    <row r="52" spans="1:3" x14ac:dyDescent="0.2">
      <c r="A52" s="15" t="s">
        <v>46</v>
      </c>
      <c r="B52" s="17" t="s">
        <v>1607</v>
      </c>
      <c r="C52" s="33"/>
    </row>
    <row r="53" spans="1:3" x14ac:dyDescent="0.2">
      <c r="A53" s="15" t="s">
        <v>1608</v>
      </c>
      <c r="B53" s="17" t="s">
        <v>1609</v>
      </c>
      <c r="C53" s="33"/>
    </row>
    <row r="54" spans="1:3" x14ac:dyDescent="0.2">
      <c r="A54" s="15" t="s">
        <v>56</v>
      </c>
      <c r="B54" s="17" t="s">
        <v>1610</v>
      </c>
      <c r="C54" s="33"/>
    </row>
    <row r="55" spans="1:3" x14ac:dyDescent="0.2">
      <c r="A55" s="15"/>
      <c r="B55" s="17"/>
      <c r="C55" s="33"/>
    </row>
    <row r="56" spans="1:3" x14ac:dyDescent="0.2">
      <c r="A56" s="13" t="s">
        <v>11</v>
      </c>
      <c r="B56" s="16"/>
      <c r="C56" s="34"/>
    </row>
    <row r="57" spans="1:3" x14ac:dyDescent="0.2">
      <c r="A57" s="15" t="s">
        <v>1611</v>
      </c>
      <c r="B57" s="17"/>
      <c r="C57" s="33">
        <f>SUMPRODUCT(('2. Rates'!O6:O146&lt;&gt;"")*(COUNTIF('2. Rates'!O6:O146,'2. Rates'!O6:O146)&gt;1))</f>
        <v>0</v>
      </c>
    </row>
    <row r="58" spans="1:3" x14ac:dyDescent="0.2">
      <c r="A58" s="15" t="s">
        <v>1612</v>
      </c>
      <c r="B58" s="17"/>
      <c r="C58" s="33">
        <f>SUMPRODUCT(('2. Rates'!O6:O146&lt;&gt;"")*(COUNTIF('4. Scope rules'!A91:A223,'2. Rates'!O6:O146)=0))</f>
        <v>0</v>
      </c>
    </row>
    <row r="59" spans="1:3" x14ac:dyDescent="0.2">
      <c r="A59" s="15" t="s">
        <v>1613</v>
      </c>
      <c r="B59" s="17"/>
      <c r="C59" s="33">
        <f>SUMPRODUCT(('4. Scope rules'!A91:A223&lt;&gt;"")*(COUNTIF('2. Rates'!O6:O146,'4. Scope rules'!A91:A223)=0))</f>
        <v>0</v>
      </c>
    </row>
    <row r="60" spans="1:3" x14ac:dyDescent="0.2">
      <c r="A60" s="15" t="s">
        <v>1614</v>
      </c>
      <c r="B60" s="17"/>
      <c r="C60" s="33">
        <f>SUMPRODUCT(('4. Scope rules'!A91:A223&lt;&gt;"")*(COUNTIF('4. Scope rules'!A6:A87,'4. Scope rules'!B91:B223)=0))</f>
        <v>0</v>
      </c>
    </row>
    <row r="61" spans="1:3" x14ac:dyDescent="0.2">
      <c r="A61" s="15" t="s">
        <v>1615</v>
      </c>
      <c r="B61" s="17"/>
      <c r="C61" s="33">
        <f>SUMPRODUCT(('2. Rates'!O6:O146&lt;&gt;"")*('2. Rates'!M6:M146=""))</f>
        <v>0</v>
      </c>
    </row>
    <row r="62" spans="1:3" x14ac:dyDescent="0.2">
      <c r="A62" s="15" t="s">
        <v>1616</v>
      </c>
      <c r="B62" s="17"/>
      <c r="C62" s="33">
        <f>SUMPRODUCT(('4. Scope rules'!A6:A87&lt;&gt;"")*(ROUND('4. Scope rules'!M6:M87+'4. Scope rules'!O6:O87,4)&lt;&gt;1))</f>
        <v>0</v>
      </c>
    </row>
    <row r="63" spans="1:3" x14ac:dyDescent="0.2">
      <c r="A63" s="15" t="s">
        <v>14</v>
      </c>
      <c r="B63" s="17"/>
      <c r="C63" s="33">
        <f>SUMPRODUCT(('4. Scope rules'!A6:A87&lt;&gt;"")*(COUNTIFS('4. Scope rules'!B91:B223,'4. Scope rules'!A6:A87,'4. Scope rules'!E91:E223,"Yes")=0))</f>
        <v>0</v>
      </c>
    </row>
    <row r="64" spans="1:3" x14ac:dyDescent="0.2">
      <c r="A64" s="15" t="s">
        <v>1617</v>
      </c>
      <c r="B64" s="17"/>
      <c r="C64" s="33">
        <f>SUMPRODUCT(('4. Scope rules'!A6:A87&lt;&gt;"")*('4. Scope rules'!F6:F87="One")*(COUNTIFS('4. Scope rules'!B91:B223,'4. Scope rules'!A6:A87,'4. Scope rules'!E91:E223,"Yes")&gt;1))</f>
        <v>0</v>
      </c>
    </row>
    <row r="65" spans="1:3" x14ac:dyDescent="0.2">
      <c r="A65" s="15" t="s">
        <v>1618</v>
      </c>
      <c r="B65" s="17"/>
      <c r="C65" s="33">
        <f>SUMPRODUCT(('4. Scope rules'!A6:A87&lt;&gt;"")*('4. Scope rules'!G6:G87=""))</f>
        <v>0</v>
      </c>
    </row>
    <row r="66" spans="1:3" x14ac:dyDescent="0.2">
      <c r="A66" s="15" t="s">
        <v>12</v>
      </c>
      <c r="B66" s="17"/>
      <c r="C66" s="33">
        <f>SUMPRODUCT(--(LEN(TRIM(SUBSTITUTE(SUBSTITUTE(SUBSTITUTE(SUBSTITUTE(SUBSTITUTE(SUBSTITUTE(SUBSTITUTE(SUBSTITUTE('4. Scope rules'!H6:H87,"NB",""),"EX",""),"RF",""),"FO",""),"EW",""),"DM",""),"OM",""),"—","")))&gt;0))+SUMPRODUCT(--(LEN(TRIM(SUBSTITUTE(SUBSTITUTE(SUBSTITUTE(SUBSTITUTE(SUBSTITUTE(SUBSTITUTE(SUBSTITUTE(SUBSTITUTE('4. Scope rules'!I6:I87,"NB",""),"EX",""),"RF",""),"FO",""),"EW",""),"DM",""),"OM",""),"—","")))&gt;0))</f>
        <v>0</v>
      </c>
    </row>
    <row r="67" spans="1:3" x14ac:dyDescent="0.2">
      <c r="A67" s="15" t="s">
        <v>13</v>
      </c>
      <c r="B67" s="17"/>
      <c r="C67" s="33">
        <f>SUMPRODUCT(--(LEN(TRIM(SUBSTITUTE(SUBSTITUTE(SUBSTITUTE(SUBSTITUTE(SUBSTITUTE(SUBSTITUTE(SUBSTITUTE(SUBSTITUTE(SUBSTITUTE(SUBSTITUTE(SUBSTITUTE('4. Scope rules'!J6:J87,"RES",""),"STU",""),"OFF",""),"EDU",""),"HEA",""),"RET",""),"IND",""),"HOS",""),"MIX",""),"OTH",""),"ALL","")))&gt;0))+SUMPRODUCT(--(LEN(TRIM(SUBSTITUTE(SUBSTITUTE(SUBSTITUTE(SUBSTITUTE(SUBSTITUTE(SUBSTITUTE(SUBSTITUTE(SUBSTITUTE(SUBSTITUTE(SUBSTITUTE(SUBSTITUTE('2. Rates'!D6:D146,"RES",""),"STU",""),"OFF",""),"EDU",""),"HEA",""),"RET",""),"IND",""),"HOS",""),"MIX",""),"OTH",""),"ALL","")))&gt;0))</f>
        <v>0</v>
      </c>
    </row>
    <row r="68" spans="1:3" x14ac:dyDescent="0.2">
      <c r="A68" s="15" t="s">
        <v>15</v>
      </c>
      <c r="B68" s="17"/>
      <c r="C68" s="33">
        <f>SUMPRODUCT(('3. Settings'!A96:A123&lt;&gt;"")*(COUNTIFS('3. Settings'!A96:A123,'3. Settings'!A96:A123,'3. Settings'!B96:B123,"ALL")=0))</f>
        <v>0</v>
      </c>
    </row>
    <row r="69" spans="1:3" x14ac:dyDescent="0.2">
      <c r="A69" s="15" t="s">
        <v>16</v>
      </c>
      <c r="B69" s="17"/>
      <c r="C69" s="33">
        <f>SUMPRODUCT(('3. Settings'!A96:A123&lt;&gt;"")*('3. Settings'!C96:C123=""))</f>
        <v>0</v>
      </c>
    </row>
    <row r="70" spans="1:3" x14ac:dyDescent="0.2">
      <c r="A70" s="15"/>
      <c r="B70" s="17"/>
      <c r="C70" s="33"/>
    </row>
    <row r="71" spans="1:3" x14ac:dyDescent="0.2">
      <c r="A71" s="13" t="s">
        <v>17</v>
      </c>
      <c r="B71" s="16"/>
      <c r="C71" s="34"/>
    </row>
    <row r="72" spans="1:3" x14ac:dyDescent="0.2">
      <c r="A72" s="15" t="s">
        <v>18</v>
      </c>
      <c r="B72" s="17"/>
      <c r="C72" s="33">
        <f>COUNTA('4. Scope rules'!A6:A87)</f>
        <v>82</v>
      </c>
    </row>
    <row r="73" spans="1:3" x14ac:dyDescent="0.2">
      <c r="A73" s="15" t="s">
        <v>1619</v>
      </c>
      <c r="B73" s="17"/>
      <c r="C73" s="33">
        <f>COUNTA('2. Rates'!O6:O146)</f>
        <v>133</v>
      </c>
    </row>
    <row r="74" spans="1:3" x14ac:dyDescent="0.2">
      <c r="A74" s="15"/>
      <c r="B74" s="17"/>
      <c r="C74" s="33"/>
    </row>
    <row r="75" spans="1:3" x14ac:dyDescent="0.2">
      <c r="A75" s="13" t="s">
        <v>22</v>
      </c>
      <c r="B75" s="16"/>
      <c r="C75" s="34"/>
    </row>
    <row r="76" spans="1:3" s="54" customFormat="1" ht="63.75" x14ac:dyDescent="0.2">
      <c r="A76" s="17" t="s">
        <v>1632</v>
      </c>
      <c r="B76" s="17" t="s">
        <v>1633</v>
      </c>
      <c r="C76" s="60"/>
    </row>
    <row r="77" spans="1:3" ht="102" x14ac:dyDescent="0.2">
      <c r="A77" s="15" t="s">
        <v>1620</v>
      </c>
      <c r="B77" s="17" t="s">
        <v>1621</v>
      </c>
      <c r="C77" s="33"/>
    </row>
    <row r="78" spans="1:3" ht="51" x14ac:dyDescent="0.2">
      <c r="A78" s="15" t="s">
        <v>1060</v>
      </c>
      <c r="B78" s="17" t="s">
        <v>1061</v>
      </c>
      <c r="C78" s="33"/>
    </row>
    <row r="79" spans="1:3" ht="38.25" x14ac:dyDescent="0.2">
      <c r="A79" s="15" t="s">
        <v>1051</v>
      </c>
      <c r="B79" s="17" t="s">
        <v>1052</v>
      </c>
      <c r="C79" s="33"/>
    </row>
    <row r="80" spans="1:3" x14ac:dyDescent="0.2">
      <c r="A80" s="15" t="s">
        <v>23</v>
      </c>
      <c r="B80" s="17" t="s">
        <v>24</v>
      </c>
      <c r="C80" s="33"/>
    </row>
    <row r="81" spans="1:3" ht="38.25" x14ac:dyDescent="0.2">
      <c r="A81" s="15" t="s">
        <v>25</v>
      </c>
      <c r="B81" s="17" t="s">
        <v>26</v>
      </c>
      <c r="C81" s="33"/>
    </row>
    <row r="82" spans="1:3" ht="25.5" x14ac:dyDescent="0.2">
      <c r="A82" s="15" t="s">
        <v>27</v>
      </c>
      <c r="B82" s="17" t="s">
        <v>28</v>
      </c>
      <c r="C82" s="33"/>
    </row>
    <row r="83" spans="1:3" x14ac:dyDescent="0.2">
      <c r="A83" s="15" t="s">
        <v>29</v>
      </c>
      <c r="B83" s="17" t="s">
        <v>30</v>
      </c>
      <c r="C83" s="33"/>
    </row>
    <row r="84" spans="1:3" x14ac:dyDescent="0.2">
      <c r="A84" s="15" t="s">
        <v>31</v>
      </c>
      <c r="B84" s="17" t="s">
        <v>32</v>
      </c>
      <c r="C84" s="33"/>
    </row>
    <row r="85" spans="1:3" x14ac:dyDescent="0.2">
      <c r="A85" s="15"/>
      <c r="B85" s="17"/>
      <c r="C85" s="3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13224-FE41-4C03-8B46-4109509C3076}">
  <dimension ref="A1:P146"/>
  <sheetViews>
    <sheetView showGridLines="0" workbookViewId="0">
      <pane xSplit="3" ySplit="5" topLeftCell="D135" activePane="bottomRight" state="frozen"/>
      <selection pane="topRight" activeCell="D1" sqref="D1"/>
      <selection pane="bottomLeft" activeCell="A6" sqref="A6"/>
      <selection pane="bottomRight" activeCell="A112" sqref="A112:XFD116"/>
    </sheetView>
  </sheetViews>
  <sheetFormatPr defaultRowHeight="12.75" x14ac:dyDescent="0.2"/>
  <cols>
    <col min="1" max="1" width="7.7109375" style="8" customWidth="1"/>
    <col min="2" max="2" width="22.7109375" style="8" customWidth="1"/>
    <col min="3" max="3" width="24.7109375" style="8" customWidth="1"/>
    <col min="4" max="4" width="9.7109375" style="8" customWidth="1"/>
    <col min="5" max="5" width="52.7109375" style="8" customWidth="1"/>
    <col min="6" max="6" width="38.7109375" style="8" customWidth="1"/>
    <col min="7" max="7" width="14.7109375" style="8" customWidth="1"/>
    <col min="8" max="10" width="11.7109375" style="35" customWidth="1"/>
    <col min="11" max="12" width="12.7109375" style="35" customWidth="1"/>
    <col min="13" max="13" width="22.7109375" style="8" customWidth="1"/>
    <col min="14" max="14" width="30.7109375" style="8" customWidth="1"/>
    <col min="15" max="15" width="11.7109375" style="8" customWidth="1"/>
    <col min="16" max="16" width="25.85546875" style="8" customWidth="1"/>
    <col min="17" max="16384" width="9.140625" style="8"/>
  </cols>
  <sheetData>
    <row r="1" spans="1:16" ht="18" x14ac:dyDescent="0.25">
      <c r="A1" s="9" t="s">
        <v>1062</v>
      </c>
    </row>
    <row r="2" spans="1:16" x14ac:dyDescent="0.2">
      <c r="A2" s="10" t="s">
        <v>1063</v>
      </c>
    </row>
    <row r="3" spans="1:16" x14ac:dyDescent="0.2">
      <c r="A3" s="10" t="s">
        <v>1064</v>
      </c>
    </row>
    <row r="5" spans="1:16" ht="42" customHeight="1" x14ac:dyDescent="0.2">
      <c r="A5" s="12" t="s">
        <v>756</v>
      </c>
      <c r="B5" s="12" t="s">
        <v>37</v>
      </c>
      <c r="C5" s="12" t="s">
        <v>39</v>
      </c>
      <c r="D5" s="12" t="s">
        <v>844</v>
      </c>
      <c r="E5" s="12" t="s">
        <v>38</v>
      </c>
      <c r="F5" s="12" t="s">
        <v>1065</v>
      </c>
      <c r="G5" s="12" t="s">
        <v>41</v>
      </c>
      <c r="H5" s="36" t="s">
        <v>1066</v>
      </c>
      <c r="I5" s="36" t="s">
        <v>1067</v>
      </c>
      <c r="J5" s="36" t="s">
        <v>1068</v>
      </c>
      <c r="K5" s="36" t="s">
        <v>1069</v>
      </c>
      <c r="L5" s="36" t="s">
        <v>1070</v>
      </c>
      <c r="M5" s="12" t="s">
        <v>882</v>
      </c>
      <c r="N5" s="12" t="s">
        <v>1071</v>
      </c>
      <c r="O5" s="12" t="s">
        <v>33</v>
      </c>
      <c r="P5" s="8" t="s">
        <v>1623</v>
      </c>
    </row>
    <row r="6" spans="1:16" x14ac:dyDescent="0.2">
      <c r="A6" s="18" t="s">
        <v>1072</v>
      </c>
      <c r="B6" s="19"/>
      <c r="C6" s="19"/>
      <c r="D6" s="18"/>
      <c r="E6" s="19"/>
      <c r="F6" s="19"/>
      <c r="G6" s="18"/>
      <c r="H6" s="37"/>
      <c r="I6" s="38"/>
      <c r="J6" s="37"/>
      <c r="K6" s="38"/>
      <c r="L6" s="37"/>
      <c r="M6" s="19"/>
      <c r="N6" s="19"/>
      <c r="O6" s="20"/>
    </row>
    <row r="7" spans="1:16" ht="51" x14ac:dyDescent="0.2">
      <c r="A7" s="21" t="s">
        <v>72</v>
      </c>
      <c r="B7" s="22" t="s">
        <v>62</v>
      </c>
      <c r="C7" s="22"/>
      <c r="D7" s="23" t="s">
        <v>65</v>
      </c>
      <c r="E7" s="22" t="s">
        <v>1073</v>
      </c>
      <c r="F7" s="22" t="s">
        <v>1074</v>
      </c>
      <c r="G7" s="23" t="s">
        <v>1075</v>
      </c>
      <c r="H7" s="39"/>
      <c r="I7" s="40">
        <v>25</v>
      </c>
      <c r="J7" s="39"/>
      <c r="K7" s="40">
        <v>25</v>
      </c>
      <c r="L7" s="39"/>
      <c r="M7" s="22" t="s">
        <v>1076</v>
      </c>
      <c r="N7" s="22" t="s">
        <v>1077</v>
      </c>
      <c r="O7" s="24" t="s">
        <v>58</v>
      </c>
    </row>
    <row r="8" spans="1:16" ht="38.25" x14ac:dyDescent="0.2">
      <c r="A8" s="21" t="s">
        <v>82</v>
      </c>
      <c r="B8" s="22" t="s">
        <v>75</v>
      </c>
      <c r="C8" s="22"/>
      <c r="D8" s="23" t="s">
        <v>65</v>
      </c>
      <c r="E8" s="22" t="s">
        <v>1078</v>
      </c>
      <c r="F8" s="22" t="s">
        <v>1079</v>
      </c>
      <c r="G8" s="23" t="s">
        <v>76</v>
      </c>
      <c r="H8" s="39"/>
      <c r="I8" s="40">
        <v>130</v>
      </c>
      <c r="J8" s="39"/>
      <c r="K8" s="40">
        <v>130</v>
      </c>
      <c r="L8" s="39"/>
      <c r="M8" s="22" t="s">
        <v>1076</v>
      </c>
      <c r="N8" s="22" t="s">
        <v>1080</v>
      </c>
      <c r="O8" s="24" t="s">
        <v>73</v>
      </c>
    </row>
    <row r="9" spans="1:16" ht="38.25" x14ac:dyDescent="0.2">
      <c r="A9" s="21" t="s">
        <v>96</v>
      </c>
      <c r="B9" s="22" t="s">
        <v>85</v>
      </c>
      <c r="C9" s="22"/>
      <c r="D9" s="23" t="s">
        <v>65</v>
      </c>
      <c r="E9" s="22" t="s">
        <v>1081</v>
      </c>
      <c r="F9" s="22" t="s">
        <v>1082</v>
      </c>
      <c r="G9" s="23" t="s">
        <v>1075</v>
      </c>
      <c r="H9" s="39"/>
      <c r="I9" s="40">
        <v>45</v>
      </c>
      <c r="J9" s="39"/>
      <c r="K9" s="40">
        <v>0</v>
      </c>
      <c r="L9" s="39"/>
      <c r="M9" s="22" t="s">
        <v>1076</v>
      </c>
      <c r="N9" s="22" t="s">
        <v>1083</v>
      </c>
      <c r="O9" s="24" t="s">
        <v>83</v>
      </c>
    </row>
    <row r="10" spans="1:16" ht="38.25" x14ac:dyDescent="0.2">
      <c r="A10" s="21" t="s">
        <v>102</v>
      </c>
      <c r="B10" s="22" t="s">
        <v>93</v>
      </c>
      <c r="C10" s="22"/>
      <c r="D10" s="23" t="s">
        <v>65</v>
      </c>
      <c r="E10" s="22" t="s">
        <v>1084</v>
      </c>
      <c r="F10" s="22" t="s">
        <v>1085</v>
      </c>
      <c r="G10" s="23" t="s">
        <v>1075</v>
      </c>
      <c r="H10" s="39"/>
      <c r="I10" s="40">
        <v>0</v>
      </c>
      <c r="J10" s="39"/>
      <c r="K10" s="40">
        <v>60</v>
      </c>
      <c r="L10" s="39"/>
      <c r="M10" s="22" t="s">
        <v>1076</v>
      </c>
      <c r="N10" s="22" t="s">
        <v>1086</v>
      </c>
      <c r="O10" s="24" t="s">
        <v>91</v>
      </c>
    </row>
    <row r="11" spans="1:16" ht="25.5" x14ac:dyDescent="0.2">
      <c r="A11" s="21" t="s">
        <v>90</v>
      </c>
      <c r="B11" s="22" t="s">
        <v>99</v>
      </c>
      <c r="C11" s="22"/>
      <c r="D11" s="23" t="s">
        <v>65</v>
      </c>
      <c r="E11" s="22" t="s">
        <v>1087</v>
      </c>
      <c r="F11" s="22" t="s">
        <v>1088</v>
      </c>
      <c r="G11" s="23" t="s">
        <v>637</v>
      </c>
      <c r="H11" s="39"/>
      <c r="I11" s="40">
        <v>0</v>
      </c>
      <c r="J11" s="39"/>
      <c r="K11" s="40">
        <v>35</v>
      </c>
      <c r="L11" s="39"/>
      <c r="M11" s="22" t="s">
        <v>1076</v>
      </c>
      <c r="N11" s="22"/>
      <c r="O11" s="24" t="s">
        <v>97</v>
      </c>
    </row>
    <row r="12" spans="1:16" ht="25.5" x14ac:dyDescent="0.2">
      <c r="A12" s="21" t="s">
        <v>112</v>
      </c>
      <c r="B12" s="22" t="s">
        <v>105</v>
      </c>
      <c r="C12" s="22"/>
      <c r="D12" s="23" t="s">
        <v>65</v>
      </c>
      <c r="E12" s="22" t="s">
        <v>1089</v>
      </c>
      <c r="F12" s="22" t="s">
        <v>1090</v>
      </c>
      <c r="G12" s="23" t="s">
        <v>106</v>
      </c>
      <c r="H12" s="39"/>
      <c r="I12" s="40">
        <v>750</v>
      </c>
      <c r="J12" s="39"/>
      <c r="K12" s="40">
        <v>750</v>
      </c>
      <c r="L12" s="39"/>
      <c r="M12" s="22" t="s">
        <v>1076</v>
      </c>
      <c r="N12" s="22" t="s">
        <v>1091</v>
      </c>
      <c r="O12" s="24" t="s">
        <v>103</v>
      </c>
    </row>
    <row r="13" spans="1:16" ht="38.25" x14ac:dyDescent="0.2">
      <c r="A13" s="21" t="s">
        <v>119</v>
      </c>
      <c r="B13" s="22" t="s">
        <v>115</v>
      </c>
      <c r="C13" s="22"/>
      <c r="D13" s="23" t="s">
        <v>65</v>
      </c>
      <c r="E13" s="22" t="s">
        <v>1092</v>
      </c>
      <c r="F13" s="22" t="s">
        <v>1093</v>
      </c>
      <c r="G13" s="23" t="s">
        <v>637</v>
      </c>
      <c r="H13" s="39"/>
      <c r="I13" s="40">
        <v>100</v>
      </c>
      <c r="J13" s="39"/>
      <c r="K13" s="40">
        <v>100</v>
      </c>
      <c r="L13" s="39"/>
      <c r="M13" s="22" t="s">
        <v>1076</v>
      </c>
      <c r="N13" s="22"/>
      <c r="O13" s="24" t="s">
        <v>113</v>
      </c>
    </row>
    <row r="14" spans="1:16" x14ac:dyDescent="0.2">
      <c r="A14" s="25" t="s">
        <v>1094</v>
      </c>
      <c r="B14" s="26"/>
      <c r="C14" s="26"/>
      <c r="D14" s="25"/>
      <c r="E14" s="26"/>
      <c r="F14" s="26"/>
      <c r="G14" s="25"/>
      <c r="H14" s="41"/>
      <c r="I14" s="42"/>
      <c r="J14" s="41"/>
      <c r="K14" s="42"/>
      <c r="L14" s="41"/>
      <c r="M14" s="26"/>
      <c r="N14" s="26"/>
      <c r="O14" s="27"/>
    </row>
    <row r="15" spans="1:16" ht="25.5" x14ac:dyDescent="0.2">
      <c r="A15" s="23" t="s">
        <v>1095</v>
      </c>
      <c r="B15" s="22" t="s">
        <v>125</v>
      </c>
      <c r="C15" s="22" t="s">
        <v>64</v>
      </c>
      <c r="D15" s="23" t="s">
        <v>65</v>
      </c>
      <c r="E15" s="22" t="s">
        <v>1096</v>
      </c>
      <c r="F15" s="22" t="s">
        <v>1097</v>
      </c>
      <c r="G15" s="23" t="s">
        <v>637</v>
      </c>
      <c r="H15" s="39"/>
      <c r="I15" s="40">
        <v>0</v>
      </c>
      <c r="J15" s="39"/>
      <c r="K15" s="40">
        <v>115</v>
      </c>
      <c r="L15" s="39">
        <v>140</v>
      </c>
      <c r="M15" s="22" t="s">
        <v>1098</v>
      </c>
      <c r="N15" s="22" t="s">
        <v>1099</v>
      </c>
      <c r="O15" s="24" t="s">
        <v>122</v>
      </c>
    </row>
    <row r="16" spans="1:16" ht="25.5" x14ac:dyDescent="0.2">
      <c r="A16" s="23" t="s">
        <v>1100</v>
      </c>
      <c r="B16" s="22" t="s">
        <v>125</v>
      </c>
      <c r="C16" s="22" t="s">
        <v>1101</v>
      </c>
      <c r="D16" s="23" t="s">
        <v>65</v>
      </c>
      <c r="E16" s="22" t="s">
        <v>1102</v>
      </c>
      <c r="F16" s="22" t="s">
        <v>1097</v>
      </c>
      <c r="G16" s="23" t="s">
        <v>637</v>
      </c>
      <c r="H16" s="39"/>
      <c r="I16" s="40">
        <v>0</v>
      </c>
      <c r="J16" s="39"/>
      <c r="K16" s="40">
        <v>260</v>
      </c>
      <c r="L16" s="39">
        <v>320</v>
      </c>
      <c r="M16" s="22" t="s">
        <v>1098</v>
      </c>
      <c r="N16" s="22" t="s">
        <v>1103</v>
      </c>
      <c r="O16" s="24" t="s">
        <v>133</v>
      </c>
    </row>
    <row r="17" spans="1:15" ht="25.5" x14ac:dyDescent="0.2">
      <c r="A17" s="23" t="s">
        <v>1104</v>
      </c>
      <c r="B17" s="22" t="s">
        <v>125</v>
      </c>
      <c r="C17" s="22" t="s">
        <v>1105</v>
      </c>
      <c r="D17" s="23" t="s">
        <v>65</v>
      </c>
      <c r="E17" s="22" t="s">
        <v>1106</v>
      </c>
      <c r="F17" s="22" t="s">
        <v>1097</v>
      </c>
      <c r="G17" s="23" t="s">
        <v>637</v>
      </c>
      <c r="H17" s="39"/>
      <c r="I17" s="40">
        <f>I15*1</f>
        <v>0</v>
      </c>
      <c r="J17" s="39"/>
      <c r="K17" s="40">
        <f>K15*1</f>
        <v>115</v>
      </c>
      <c r="L17" s="39">
        <f>L15*1</f>
        <v>140</v>
      </c>
      <c r="M17" s="22" t="s">
        <v>1107</v>
      </c>
      <c r="N17" s="22"/>
      <c r="O17" s="24" t="s">
        <v>136</v>
      </c>
    </row>
    <row r="18" spans="1:15" ht="25.5" x14ac:dyDescent="0.2">
      <c r="A18" s="21" t="s">
        <v>1108</v>
      </c>
      <c r="B18" s="22" t="s">
        <v>142</v>
      </c>
      <c r="C18" s="22"/>
      <c r="D18" s="23" t="s">
        <v>65</v>
      </c>
      <c r="E18" s="22" t="s">
        <v>1109</v>
      </c>
      <c r="F18" s="22" t="s">
        <v>1110</v>
      </c>
      <c r="G18" s="23" t="s">
        <v>637</v>
      </c>
      <c r="H18" s="39"/>
      <c r="I18" s="40">
        <v>0</v>
      </c>
      <c r="J18" s="39"/>
      <c r="K18" s="40">
        <v>160</v>
      </c>
      <c r="L18" s="39">
        <v>195</v>
      </c>
      <c r="M18" s="22" t="s">
        <v>1098</v>
      </c>
      <c r="N18" s="22" t="s">
        <v>1111</v>
      </c>
      <c r="O18" s="24" t="s">
        <v>140</v>
      </c>
    </row>
    <row r="19" spans="1:15" ht="38.25" x14ac:dyDescent="0.2">
      <c r="A19" s="21" t="s">
        <v>144</v>
      </c>
      <c r="B19" s="22" t="s">
        <v>147</v>
      </c>
      <c r="C19" s="22"/>
      <c r="D19" s="23" t="s">
        <v>65</v>
      </c>
      <c r="E19" s="22" t="s">
        <v>1112</v>
      </c>
      <c r="F19" s="22" t="s">
        <v>1113</v>
      </c>
      <c r="G19" s="23" t="s">
        <v>148</v>
      </c>
      <c r="H19" s="39"/>
      <c r="I19" s="40">
        <v>0</v>
      </c>
      <c r="J19" s="39"/>
      <c r="K19" s="40">
        <v>600</v>
      </c>
      <c r="L19" s="39">
        <v>1000</v>
      </c>
      <c r="M19" s="22" t="s">
        <v>1076</v>
      </c>
      <c r="N19" s="22" t="s">
        <v>1114</v>
      </c>
      <c r="O19" s="24" t="s">
        <v>145</v>
      </c>
    </row>
    <row r="20" spans="1:15" x14ac:dyDescent="0.2">
      <c r="A20" s="25" t="s">
        <v>1115</v>
      </c>
      <c r="B20" s="26"/>
      <c r="C20" s="26"/>
      <c r="D20" s="25"/>
      <c r="E20" s="26"/>
      <c r="F20" s="26"/>
      <c r="G20" s="25"/>
      <c r="H20" s="41"/>
      <c r="I20" s="42"/>
      <c r="J20" s="41"/>
      <c r="K20" s="42"/>
      <c r="L20" s="41"/>
      <c r="M20" s="26"/>
      <c r="N20" s="26"/>
      <c r="O20" s="27"/>
    </row>
    <row r="21" spans="1:15" ht="38.25" x14ac:dyDescent="0.2">
      <c r="A21" s="21" t="s">
        <v>158</v>
      </c>
      <c r="B21" s="22" t="s">
        <v>156</v>
      </c>
      <c r="C21" s="22"/>
      <c r="D21" s="23" t="s">
        <v>65</v>
      </c>
      <c r="E21" s="22" t="s">
        <v>1116</v>
      </c>
      <c r="F21" s="22" t="s">
        <v>1117</v>
      </c>
      <c r="G21" s="23" t="s">
        <v>1075</v>
      </c>
      <c r="H21" s="39" t="s">
        <v>1622</v>
      </c>
      <c r="I21" s="40" t="s">
        <v>1622</v>
      </c>
      <c r="J21" s="40" t="s">
        <v>1622</v>
      </c>
      <c r="K21" s="40">
        <v>350</v>
      </c>
      <c r="L21" s="39">
        <v>550</v>
      </c>
      <c r="M21" s="22" t="s">
        <v>1118</v>
      </c>
      <c r="N21" s="22" t="s">
        <v>1119</v>
      </c>
      <c r="O21" s="24" t="s">
        <v>152</v>
      </c>
    </row>
    <row r="22" spans="1:15" ht="38.25" x14ac:dyDescent="0.2">
      <c r="A22" s="21" t="s">
        <v>166</v>
      </c>
      <c r="B22" s="22" t="s">
        <v>161</v>
      </c>
      <c r="C22" s="22"/>
      <c r="D22" s="23" t="s">
        <v>65</v>
      </c>
      <c r="E22" s="22" t="s">
        <v>1120</v>
      </c>
      <c r="F22" s="22" t="s">
        <v>1121</v>
      </c>
      <c r="G22" s="23" t="s">
        <v>1122</v>
      </c>
      <c r="H22" s="39" t="s">
        <v>1622</v>
      </c>
      <c r="I22" s="40" t="s">
        <v>1622</v>
      </c>
      <c r="J22" s="40" t="s">
        <v>1622</v>
      </c>
      <c r="K22" s="40">
        <v>110</v>
      </c>
      <c r="L22" s="39">
        <v>135</v>
      </c>
      <c r="M22" s="22" t="s">
        <v>1098</v>
      </c>
      <c r="N22" s="22" t="s">
        <v>1123</v>
      </c>
      <c r="O22" s="24" t="s">
        <v>159</v>
      </c>
    </row>
    <row r="23" spans="1:15" ht="25.5" x14ac:dyDescent="0.2">
      <c r="A23" s="21" t="s">
        <v>187</v>
      </c>
      <c r="B23" s="22" t="s">
        <v>169</v>
      </c>
      <c r="C23" s="22"/>
      <c r="D23" s="23" t="s">
        <v>65</v>
      </c>
      <c r="E23" s="22" t="s">
        <v>1124</v>
      </c>
      <c r="F23" s="22" t="s">
        <v>1125</v>
      </c>
      <c r="G23" s="23" t="s">
        <v>1075</v>
      </c>
      <c r="H23" s="39" t="s">
        <v>1622</v>
      </c>
      <c r="I23" s="40" t="s">
        <v>1622</v>
      </c>
      <c r="J23" s="40" t="s">
        <v>1622</v>
      </c>
      <c r="K23" s="40">
        <v>20</v>
      </c>
      <c r="L23" s="39">
        <v>35</v>
      </c>
      <c r="M23" s="22" t="s">
        <v>1098</v>
      </c>
      <c r="N23" s="22" t="s">
        <v>1126</v>
      </c>
      <c r="O23" s="24" t="s">
        <v>167</v>
      </c>
    </row>
    <row r="24" spans="1:15" ht="25.5" x14ac:dyDescent="0.2">
      <c r="A24" s="21" t="s">
        <v>172</v>
      </c>
      <c r="B24" s="22" t="s">
        <v>175</v>
      </c>
      <c r="C24" s="22"/>
      <c r="D24" s="23" t="s">
        <v>65</v>
      </c>
      <c r="E24" s="22" t="s">
        <v>1127</v>
      </c>
      <c r="F24" s="22" t="s">
        <v>1128</v>
      </c>
      <c r="G24" s="23" t="s">
        <v>176</v>
      </c>
      <c r="H24" s="39">
        <v>180</v>
      </c>
      <c r="I24" s="40">
        <v>250</v>
      </c>
      <c r="J24" s="40">
        <v>350</v>
      </c>
      <c r="K24" s="40">
        <v>250</v>
      </c>
      <c r="L24" s="39">
        <v>350</v>
      </c>
      <c r="M24" s="22" t="s">
        <v>1118</v>
      </c>
      <c r="N24" s="22" t="s">
        <v>1129</v>
      </c>
      <c r="O24" s="24" t="s">
        <v>173</v>
      </c>
    </row>
    <row r="25" spans="1:15" ht="38.25" x14ac:dyDescent="0.2">
      <c r="A25" s="21" t="s">
        <v>192</v>
      </c>
      <c r="B25" s="22" t="s">
        <v>185</v>
      </c>
      <c r="C25" s="22"/>
      <c r="D25" s="23" t="s">
        <v>65</v>
      </c>
      <c r="E25" s="22" t="s">
        <v>1130</v>
      </c>
      <c r="F25" s="22" t="s">
        <v>1131</v>
      </c>
      <c r="G25" s="23" t="s">
        <v>705</v>
      </c>
      <c r="H25" s="39">
        <v>90</v>
      </c>
      <c r="I25" s="40">
        <v>110</v>
      </c>
      <c r="J25" s="39">
        <v>200</v>
      </c>
      <c r="K25" s="40">
        <v>220</v>
      </c>
      <c r="L25" s="39">
        <v>300</v>
      </c>
      <c r="M25" s="22" t="s">
        <v>1098</v>
      </c>
      <c r="N25" s="22" t="s">
        <v>1132</v>
      </c>
      <c r="O25" s="24" t="s">
        <v>182</v>
      </c>
    </row>
    <row r="26" spans="1:15" ht="38.25" x14ac:dyDescent="0.2">
      <c r="A26" s="21" t="s">
        <v>197</v>
      </c>
      <c r="B26" s="22" t="s">
        <v>190</v>
      </c>
      <c r="C26" s="22"/>
      <c r="D26" s="23" t="s">
        <v>65</v>
      </c>
      <c r="E26" s="22" t="s">
        <v>1133</v>
      </c>
      <c r="F26" s="22" t="s">
        <v>1134</v>
      </c>
      <c r="G26" s="23" t="s">
        <v>1075</v>
      </c>
      <c r="H26" s="39">
        <v>30</v>
      </c>
      <c r="I26" s="40">
        <v>60</v>
      </c>
      <c r="J26" s="39">
        <v>110</v>
      </c>
      <c r="K26" s="40">
        <v>220</v>
      </c>
      <c r="L26" s="39">
        <v>340</v>
      </c>
      <c r="M26" s="22" t="s">
        <v>1098</v>
      </c>
      <c r="N26" s="22" t="s">
        <v>1135</v>
      </c>
      <c r="O26" s="24" t="s">
        <v>188</v>
      </c>
    </row>
    <row r="27" spans="1:15" ht="25.5" x14ac:dyDescent="0.2">
      <c r="A27" s="21" t="s">
        <v>203</v>
      </c>
      <c r="B27" s="22" t="s">
        <v>195</v>
      </c>
      <c r="C27" s="22"/>
      <c r="D27" s="23" t="s">
        <v>65</v>
      </c>
      <c r="E27" s="22" t="s">
        <v>1136</v>
      </c>
      <c r="F27" s="22" t="s">
        <v>1137</v>
      </c>
      <c r="G27" s="23" t="s">
        <v>1075</v>
      </c>
      <c r="H27" s="39">
        <v>90</v>
      </c>
      <c r="I27" s="40">
        <v>120</v>
      </c>
      <c r="J27" s="39">
        <v>180</v>
      </c>
      <c r="K27" s="40">
        <v>180</v>
      </c>
      <c r="L27" s="39">
        <v>260</v>
      </c>
      <c r="M27" s="22" t="s">
        <v>1098</v>
      </c>
      <c r="N27" s="22" t="s">
        <v>1138</v>
      </c>
      <c r="O27" s="24" t="s">
        <v>193</v>
      </c>
    </row>
    <row r="28" spans="1:15" ht="25.5" x14ac:dyDescent="0.2">
      <c r="A28" s="21" t="s">
        <v>208</v>
      </c>
      <c r="B28" s="22" t="s">
        <v>201</v>
      </c>
      <c r="C28" s="22"/>
      <c r="D28" s="23" t="s">
        <v>65</v>
      </c>
      <c r="E28" s="22" t="s">
        <v>1139</v>
      </c>
      <c r="F28" s="22" t="s">
        <v>1140</v>
      </c>
      <c r="G28" s="23" t="s">
        <v>1075</v>
      </c>
      <c r="H28" s="39">
        <v>50</v>
      </c>
      <c r="I28" s="40">
        <v>110</v>
      </c>
      <c r="J28" s="39">
        <v>160</v>
      </c>
      <c r="K28" s="40">
        <v>110</v>
      </c>
      <c r="L28" s="39">
        <v>160</v>
      </c>
      <c r="M28" s="22" t="s">
        <v>1098</v>
      </c>
      <c r="N28" s="22" t="s">
        <v>1141</v>
      </c>
      <c r="O28" s="24" t="s">
        <v>198</v>
      </c>
    </row>
    <row r="29" spans="1:15" ht="25.5" x14ac:dyDescent="0.2">
      <c r="A29" s="21" t="s">
        <v>1142</v>
      </c>
      <c r="B29" s="22" t="s">
        <v>206</v>
      </c>
      <c r="C29" s="22"/>
      <c r="D29" s="23" t="s">
        <v>65</v>
      </c>
      <c r="E29" s="22" t="s">
        <v>1143</v>
      </c>
      <c r="F29" s="22" t="s">
        <v>1144</v>
      </c>
      <c r="G29" s="23" t="s">
        <v>1075</v>
      </c>
      <c r="H29" s="39">
        <v>30</v>
      </c>
      <c r="I29" s="40">
        <v>60</v>
      </c>
      <c r="J29" s="39">
        <v>120</v>
      </c>
      <c r="K29" s="40">
        <v>60</v>
      </c>
      <c r="L29" s="39">
        <v>120</v>
      </c>
      <c r="M29" s="22" t="s">
        <v>1098</v>
      </c>
      <c r="N29" s="22" t="s">
        <v>1145</v>
      </c>
      <c r="O29" s="24" t="s">
        <v>204</v>
      </c>
    </row>
    <row r="30" spans="1:15" ht="38.25" x14ac:dyDescent="0.2">
      <c r="A30" s="21" t="s">
        <v>1146</v>
      </c>
      <c r="B30" s="22" t="s">
        <v>211</v>
      </c>
      <c r="C30" s="22"/>
      <c r="D30" s="23" t="s">
        <v>65</v>
      </c>
      <c r="E30" s="22" t="s">
        <v>1147</v>
      </c>
      <c r="F30" s="22" t="s">
        <v>1148</v>
      </c>
      <c r="G30" s="23" t="s">
        <v>1075</v>
      </c>
      <c r="H30" s="39">
        <v>15</v>
      </c>
      <c r="I30" s="40">
        <v>30</v>
      </c>
      <c r="J30" s="39">
        <v>60</v>
      </c>
      <c r="K30" s="40">
        <v>15</v>
      </c>
      <c r="L30" s="39">
        <v>30</v>
      </c>
      <c r="M30" s="22" t="s">
        <v>1118</v>
      </c>
      <c r="N30" s="22"/>
      <c r="O30" s="24" t="s">
        <v>209</v>
      </c>
    </row>
    <row r="31" spans="1:15" x14ac:dyDescent="0.2">
      <c r="A31" s="25" t="s">
        <v>1149</v>
      </c>
      <c r="B31" s="26"/>
      <c r="C31" s="26"/>
      <c r="D31" s="25"/>
      <c r="E31" s="26"/>
      <c r="F31" s="26"/>
      <c r="G31" s="25"/>
      <c r="H31" s="41"/>
      <c r="I31" s="42"/>
      <c r="J31" s="41"/>
      <c r="K31" s="42"/>
      <c r="L31" s="41"/>
      <c r="M31" s="26"/>
      <c r="N31" s="26"/>
      <c r="O31" s="27"/>
    </row>
    <row r="32" spans="1:15" ht="25.5" x14ac:dyDescent="0.2">
      <c r="A32" s="21" t="s">
        <v>221</v>
      </c>
      <c r="B32" s="22" t="s">
        <v>219</v>
      </c>
      <c r="C32" s="22"/>
      <c r="D32" s="23" t="s">
        <v>65</v>
      </c>
      <c r="E32" s="22" t="s">
        <v>1150</v>
      </c>
      <c r="F32" s="22" t="s">
        <v>1151</v>
      </c>
      <c r="G32" s="23" t="s">
        <v>1075</v>
      </c>
      <c r="H32" s="39">
        <v>30</v>
      </c>
      <c r="I32" s="40">
        <v>75</v>
      </c>
      <c r="J32" s="39">
        <v>140</v>
      </c>
      <c r="K32" s="40">
        <v>55</v>
      </c>
      <c r="L32" s="39">
        <v>140</v>
      </c>
      <c r="M32" s="22" t="s">
        <v>1076</v>
      </c>
      <c r="N32" s="22" t="s">
        <v>1152</v>
      </c>
      <c r="O32" s="24" t="s">
        <v>216</v>
      </c>
    </row>
    <row r="33" spans="1:16" ht="25.5" x14ac:dyDescent="0.2">
      <c r="A33" s="23" t="s">
        <v>1153</v>
      </c>
      <c r="B33" s="22" t="s">
        <v>225</v>
      </c>
      <c r="C33" s="22" t="s">
        <v>226</v>
      </c>
      <c r="D33" s="23" t="s">
        <v>65</v>
      </c>
      <c r="E33" s="22" t="s">
        <v>1154</v>
      </c>
      <c r="F33" s="22" t="s">
        <v>1155</v>
      </c>
      <c r="G33" s="23" t="s">
        <v>1075</v>
      </c>
      <c r="H33" s="39">
        <v>45</v>
      </c>
      <c r="I33" s="40">
        <v>75</v>
      </c>
      <c r="J33" s="39">
        <v>200</v>
      </c>
      <c r="K33" s="40">
        <v>75</v>
      </c>
      <c r="L33" s="39">
        <v>200</v>
      </c>
      <c r="M33" s="22" t="s">
        <v>1118</v>
      </c>
      <c r="N33" s="22" t="s">
        <v>1156</v>
      </c>
      <c r="O33" s="24" t="s">
        <v>223</v>
      </c>
    </row>
    <row r="34" spans="1:16" ht="25.5" x14ac:dyDescent="0.2">
      <c r="A34" s="23" t="s">
        <v>1157</v>
      </c>
      <c r="B34" s="22" t="s">
        <v>225</v>
      </c>
      <c r="C34" s="22" t="s">
        <v>231</v>
      </c>
      <c r="D34" s="23" t="s">
        <v>65</v>
      </c>
      <c r="E34" s="22" t="s">
        <v>1158</v>
      </c>
      <c r="F34" s="22" t="s">
        <v>1155</v>
      </c>
      <c r="G34" s="23" t="s">
        <v>1075</v>
      </c>
      <c r="H34" s="39">
        <v>90</v>
      </c>
      <c r="I34" s="40">
        <v>120</v>
      </c>
      <c r="J34" s="39">
        <v>245</v>
      </c>
      <c r="K34" s="40">
        <v>120</v>
      </c>
      <c r="L34" s="39">
        <v>245</v>
      </c>
      <c r="M34" s="22" t="s">
        <v>1118</v>
      </c>
      <c r="N34" s="22" t="s">
        <v>1159</v>
      </c>
      <c r="O34" s="24" t="s">
        <v>230</v>
      </c>
    </row>
    <row r="35" spans="1:16" ht="25.5" x14ac:dyDescent="0.2">
      <c r="A35" s="21" t="s">
        <v>237</v>
      </c>
      <c r="B35" s="22" t="s">
        <v>235</v>
      </c>
      <c r="C35" s="22"/>
      <c r="D35" s="23" t="s">
        <v>65</v>
      </c>
      <c r="E35" s="22" t="s">
        <v>1160</v>
      </c>
      <c r="F35" s="22" t="s">
        <v>1161</v>
      </c>
      <c r="G35" s="23" t="s">
        <v>1075</v>
      </c>
      <c r="H35" s="39">
        <v>30</v>
      </c>
      <c r="I35" s="40">
        <v>50</v>
      </c>
      <c r="J35" s="39">
        <v>140</v>
      </c>
      <c r="K35" s="40">
        <v>70</v>
      </c>
      <c r="L35" s="39">
        <v>140</v>
      </c>
      <c r="M35" s="22" t="s">
        <v>1098</v>
      </c>
      <c r="N35" s="22" t="s">
        <v>1162</v>
      </c>
      <c r="O35" s="24" t="s">
        <v>233</v>
      </c>
    </row>
    <row r="36" spans="1:16" x14ac:dyDescent="0.2">
      <c r="A36" s="25" t="s">
        <v>1163</v>
      </c>
      <c r="B36" s="26"/>
      <c r="C36" s="26"/>
      <c r="D36" s="25"/>
      <c r="E36" s="26"/>
      <c r="F36" s="26"/>
      <c r="G36" s="25"/>
      <c r="H36" s="41"/>
      <c r="I36" s="42"/>
      <c r="J36" s="41"/>
      <c r="K36" s="42"/>
      <c r="L36" s="41"/>
      <c r="M36" s="26"/>
      <c r="N36" s="26"/>
      <c r="O36" s="27"/>
    </row>
    <row r="37" spans="1:16" ht="38.25" x14ac:dyDescent="0.2">
      <c r="A37" s="48" t="s">
        <v>1164</v>
      </c>
      <c r="B37" s="49" t="s">
        <v>242</v>
      </c>
      <c r="C37" s="49" t="s">
        <v>64</v>
      </c>
      <c r="D37" s="48" t="s">
        <v>65</v>
      </c>
      <c r="E37" s="49" t="s">
        <v>1165</v>
      </c>
      <c r="F37" s="49" t="s">
        <v>1166</v>
      </c>
      <c r="G37" s="48" t="s">
        <v>1167</v>
      </c>
      <c r="H37" s="50">
        <v>1800</v>
      </c>
      <c r="I37" s="51">
        <v>3950</v>
      </c>
      <c r="J37" s="50">
        <v>6400</v>
      </c>
      <c r="K37" s="51">
        <v>3950</v>
      </c>
      <c r="L37" s="50">
        <v>6400</v>
      </c>
      <c r="M37" s="49" t="s">
        <v>1118</v>
      </c>
      <c r="N37" s="49" t="s">
        <v>1168</v>
      </c>
      <c r="O37" s="52" t="s">
        <v>238</v>
      </c>
      <c r="P37" s="54"/>
    </row>
    <row r="38" spans="1:16" ht="38.25" x14ac:dyDescent="0.2">
      <c r="A38" s="48" t="s">
        <v>1169</v>
      </c>
      <c r="B38" s="49" t="s">
        <v>242</v>
      </c>
      <c r="C38" s="49" t="s">
        <v>252</v>
      </c>
      <c r="D38" s="48" t="s">
        <v>65</v>
      </c>
      <c r="E38" s="49" t="s">
        <v>1171</v>
      </c>
      <c r="F38" s="49" t="s">
        <v>1166</v>
      </c>
      <c r="G38" s="48" t="s">
        <v>1167</v>
      </c>
      <c r="H38" s="50">
        <v>3500</v>
      </c>
      <c r="I38" s="51">
        <v>5500</v>
      </c>
      <c r="J38" s="50">
        <v>9000</v>
      </c>
      <c r="K38" s="51">
        <v>5500</v>
      </c>
      <c r="L38" s="50">
        <v>9000</v>
      </c>
      <c r="M38" s="49" t="s">
        <v>1118</v>
      </c>
      <c r="N38" s="49"/>
      <c r="O38" s="52" t="s">
        <v>251</v>
      </c>
    </row>
    <row r="39" spans="1:16" ht="51" x14ac:dyDescent="0.2">
      <c r="A39" s="43" t="s">
        <v>1170</v>
      </c>
      <c r="B39" s="44" t="s">
        <v>242</v>
      </c>
      <c r="C39" s="44" t="s">
        <v>1172</v>
      </c>
      <c r="D39" s="43" t="s">
        <v>65</v>
      </c>
      <c r="E39" s="44" t="s">
        <v>1173</v>
      </c>
      <c r="F39" s="44" t="s">
        <v>1166</v>
      </c>
      <c r="G39" s="43" t="s">
        <v>244</v>
      </c>
      <c r="H39" s="45"/>
      <c r="I39" s="46">
        <v>45000</v>
      </c>
      <c r="J39" s="45">
        <v>80000</v>
      </c>
      <c r="K39" s="46">
        <v>45000</v>
      </c>
      <c r="L39" s="45">
        <v>80000</v>
      </c>
      <c r="M39" s="44" t="s">
        <v>1076</v>
      </c>
      <c r="N39" s="44"/>
      <c r="O39" s="47" t="s">
        <v>255</v>
      </c>
    </row>
    <row r="40" spans="1:16" ht="25.5" x14ac:dyDescent="0.2">
      <c r="A40" s="48" t="s">
        <v>1175</v>
      </c>
      <c r="B40" s="49" t="s">
        <v>259</v>
      </c>
      <c r="C40" s="49" t="s">
        <v>64</v>
      </c>
      <c r="D40" s="48" t="s">
        <v>65</v>
      </c>
      <c r="E40" s="49" t="s">
        <v>1176</v>
      </c>
      <c r="F40" s="49" t="s">
        <v>1177</v>
      </c>
      <c r="G40" s="48" t="s">
        <v>1178</v>
      </c>
      <c r="H40" s="50">
        <v>900</v>
      </c>
      <c r="I40" s="51">
        <v>2000</v>
      </c>
      <c r="J40" s="50">
        <v>3500</v>
      </c>
      <c r="K40" s="51">
        <v>2000</v>
      </c>
      <c r="L40" s="50">
        <v>3500</v>
      </c>
      <c r="M40" s="49" t="s">
        <v>1179</v>
      </c>
      <c r="N40" s="49" t="s">
        <v>1180</v>
      </c>
      <c r="O40" s="52" t="s">
        <v>257</v>
      </c>
    </row>
    <row r="41" spans="1:16" ht="25.5" x14ac:dyDescent="0.2">
      <c r="A41" s="48" t="s">
        <v>1181</v>
      </c>
      <c r="B41" s="49" t="s">
        <v>259</v>
      </c>
      <c r="C41" s="49" t="s">
        <v>64</v>
      </c>
      <c r="D41" s="48" t="s">
        <v>249</v>
      </c>
      <c r="E41" s="49" t="s">
        <v>1182</v>
      </c>
      <c r="F41" s="49" t="s">
        <v>1177</v>
      </c>
      <c r="G41" s="48" t="s">
        <v>1178</v>
      </c>
      <c r="H41" s="50">
        <v>3500</v>
      </c>
      <c r="I41" s="51">
        <v>5500</v>
      </c>
      <c r="J41" s="50">
        <v>8500</v>
      </c>
      <c r="K41" s="51">
        <v>5500</v>
      </c>
      <c r="L41" s="50">
        <v>8500</v>
      </c>
      <c r="M41" s="49" t="s">
        <v>1179</v>
      </c>
      <c r="N41" s="49" t="s">
        <v>1183</v>
      </c>
      <c r="O41" s="52" t="s">
        <v>264</v>
      </c>
    </row>
    <row r="42" spans="1:16" ht="25.5" x14ac:dyDescent="0.2">
      <c r="A42" s="53" t="s">
        <v>329</v>
      </c>
      <c r="B42" s="49" t="s">
        <v>268</v>
      </c>
      <c r="C42" s="49"/>
      <c r="D42" s="48" t="s">
        <v>65</v>
      </c>
      <c r="E42" s="49" t="s">
        <v>1184</v>
      </c>
      <c r="F42" s="49" t="s">
        <v>1185</v>
      </c>
      <c r="G42" s="48" t="s">
        <v>1186</v>
      </c>
      <c r="H42" s="50">
        <v>900</v>
      </c>
      <c r="I42" s="51">
        <v>1400</v>
      </c>
      <c r="J42" s="50">
        <v>2500</v>
      </c>
      <c r="K42" s="51">
        <v>1400</v>
      </c>
      <c r="L42" s="50">
        <v>2500</v>
      </c>
      <c r="M42" s="49" t="s">
        <v>1098</v>
      </c>
      <c r="N42" s="49" t="s">
        <v>1187</v>
      </c>
      <c r="O42" s="52" t="s">
        <v>266</v>
      </c>
    </row>
    <row r="43" spans="1:16" ht="25.5" x14ac:dyDescent="0.2">
      <c r="A43" s="48" t="s">
        <v>1188</v>
      </c>
      <c r="B43" s="49" t="s">
        <v>273</v>
      </c>
      <c r="C43" s="49" t="s">
        <v>1189</v>
      </c>
      <c r="D43" s="48" t="s">
        <v>65</v>
      </c>
      <c r="E43" s="49" t="s">
        <v>1190</v>
      </c>
      <c r="F43" s="49" t="s">
        <v>1191</v>
      </c>
      <c r="G43" s="48" t="s">
        <v>1192</v>
      </c>
      <c r="H43" s="50">
        <v>3500</v>
      </c>
      <c r="I43" s="51">
        <v>6000</v>
      </c>
      <c r="J43" s="50">
        <v>10000</v>
      </c>
      <c r="K43" s="51">
        <v>6000</v>
      </c>
      <c r="L43" s="50">
        <v>10000</v>
      </c>
      <c r="M43" s="49" t="s">
        <v>1179</v>
      </c>
      <c r="N43" s="49" t="s">
        <v>1193</v>
      </c>
      <c r="O43" s="52" t="s">
        <v>271</v>
      </c>
    </row>
    <row r="44" spans="1:16" ht="38.25" x14ac:dyDescent="0.2">
      <c r="A44" s="48" t="s">
        <v>1194</v>
      </c>
      <c r="B44" s="49" t="s">
        <v>273</v>
      </c>
      <c r="C44" s="49" t="s">
        <v>1624</v>
      </c>
      <c r="D44" s="48" t="s">
        <v>65</v>
      </c>
      <c r="E44" s="49" t="s">
        <v>1625</v>
      </c>
      <c r="F44" s="49" t="s">
        <v>1191</v>
      </c>
      <c r="G44" s="48" t="s">
        <v>1626</v>
      </c>
      <c r="H44" s="50">
        <v>2500</v>
      </c>
      <c r="I44" s="51">
        <v>4000</v>
      </c>
      <c r="J44" s="50">
        <v>7000</v>
      </c>
      <c r="K44" s="51">
        <v>4000</v>
      </c>
      <c r="L44" s="50">
        <v>7000</v>
      </c>
      <c r="M44" s="49" t="s">
        <v>1174</v>
      </c>
      <c r="N44" s="49" t="s">
        <v>1195</v>
      </c>
      <c r="O44" s="52" t="s">
        <v>279</v>
      </c>
    </row>
    <row r="45" spans="1:16" ht="25.5" x14ac:dyDescent="0.2">
      <c r="A45" s="21" t="s">
        <v>292</v>
      </c>
      <c r="B45" s="22" t="s">
        <v>284</v>
      </c>
      <c r="C45" s="22"/>
      <c r="D45" s="23" t="s">
        <v>65</v>
      </c>
      <c r="E45" s="22" t="s">
        <v>1196</v>
      </c>
      <c r="F45" s="22" t="s">
        <v>1197</v>
      </c>
      <c r="G45" s="23" t="s">
        <v>1075</v>
      </c>
      <c r="H45" s="39">
        <v>15</v>
      </c>
      <c r="I45" s="40">
        <v>45</v>
      </c>
      <c r="J45" s="39">
        <v>100</v>
      </c>
      <c r="K45" s="40">
        <v>45</v>
      </c>
      <c r="L45" s="39">
        <v>100</v>
      </c>
      <c r="M45" s="22" t="s">
        <v>1179</v>
      </c>
      <c r="N45" s="22" t="s">
        <v>1198</v>
      </c>
      <c r="O45" s="24" t="s">
        <v>281</v>
      </c>
    </row>
    <row r="46" spans="1:16" ht="25.5" x14ac:dyDescent="0.2">
      <c r="A46" s="21" t="s">
        <v>1199</v>
      </c>
      <c r="B46" s="22" t="s">
        <v>289</v>
      </c>
      <c r="C46" s="22"/>
      <c r="D46" s="23" t="s">
        <v>65</v>
      </c>
      <c r="E46" s="22" t="s">
        <v>1200</v>
      </c>
      <c r="F46" s="22" t="s">
        <v>1201</v>
      </c>
      <c r="G46" s="23" t="s">
        <v>1075</v>
      </c>
      <c r="H46" s="39">
        <v>5</v>
      </c>
      <c r="I46" s="40">
        <v>10</v>
      </c>
      <c r="J46" s="39">
        <v>15</v>
      </c>
      <c r="K46" s="40">
        <v>10</v>
      </c>
      <c r="L46" s="39">
        <v>15</v>
      </c>
      <c r="M46" s="22" t="s">
        <v>1179</v>
      </c>
      <c r="N46" s="22" t="s">
        <v>1202</v>
      </c>
      <c r="O46" s="24" t="s">
        <v>287</v>
      </c>
    </row>
    <row r="47" spans="1:16" ht="25.5" x14ac:dyDescent="0.2">
      <c r="A47" s="21" t="s">
        <v>1203</v>
      </c>
      <c r="B47" s="22" t="s">
        <v>295</v>
      </c>
      <c r="C47" s="22"/>
      <c r="D47" s="23" t="s">
        <v>65</v>
      </c>
      <c r="E47" s="22" t="s">
        <v>1204</v>
      </c>
      <c r="F47" s="22" t="s">
        <v>1205</v>
      </c>
      <c r="G47" s="23" t="s">
        <v>1075</v>
      </c>
      <c r="H47" s="39" t="s">
        <v>1622</v>
      </c>
      <c r="I47" s="40">
        <v>25</v>
      </c>
      <c r="J47" s="39">
        <v>60</v>
      </c>
      <c r="K47" s="40">
        <v>25</v>
      </c>
      <c r="L47" s="39">
        <v>60</v>
      </c>
      <c r="M47" s="22" t="s">
        <v>1179</v>
      </c>
      <c r="N47" s="22"/>
      <c r="O47" s="24" t="s">
        <v>293</v>
      </c>
    </row>
    <row r="48" spans="1:16" ht="25.5" x14ac:dyDescent="0.2">
      <c r="A48" s="23" t="s">
        <v>1206</v>
      </c>
      <c r="B48" s="22" t="s">
        <v>302</v>
      </c>
      <c r="C48" s="22" t="s">
        <v>64</v>
      </c>
      <c r="D48" s="23" t="s">
        <v>65</v>
      </c>
      <c r="E48" s="22" t="s">
        <v>1207</v>
      </c>
      <c r="F48" s="22" t="s">
        <v>1208</v>
      </c>
      <c r="G48" s="23" t="s">
        <v>1075</v>
      </c>
      <c r="H48" s="39">
        <v>55</v>
      </c>
      <c r="I48" s="40">
        <v>110</v>
      </c>
      <c r="J48" s="39">
        <v>240</v>
      </c>
      <c r="K48" s="40">
        <v>110</v>
      </c>
      <c r="L48" s="39">
        <v>240</v>
      </c>
      <c r="M48" s="22" t="s">
        <v>1179</v>
      </c>
      <c r="N48" s="22" t="s">
        <v>1209</v>
      </c>
      <c r="O48" s="24" t="s">
        <v>300</v>
      </c>
    </row>
    <row r="49" spans="1:15" ht="25.5" x14ac:dyDescent="0.2">
      <c r="A49" s="23" t="s">
        <v>1210</v>
      </c>
      <c r="B49" s="22" t="s">
        <v>302</v>
      </c>
      <c r="C49" s="22" t="s">
        <v>64</v>
      </c>
      <c r="D49" s="23" t="s">
        <v>305</v>
      </c>
      <c r="E49" s="22" t="s">
        <v>1211</v>
      </c>
      <c r="F49" s="22" t="s">
        <v>1208</v>
      </c>
      <c r="G49" s="23" t="s">
        <v>1075</v>
      </c>
      <c r="H49" s="39">
        <v>28</v>
      </c>
      <c r="I49" s="40">
        <v>50</v>
      </c>
      <c r="J49" s="39">
        <v>120</v>
      </c>
      <c r="K49" s="40">
        <v>50</v>
      </c>
      <c r="L49" s="39">
        <v>120</v>
      </c>
      <c r="M49" s="22" t="s">
        <v>1179</v>
      </c>
      <c r="N49" s="22"/>
      <c r="O49" s="24" t="s">
        <v>304</v>
      </c>
    </row>
    <row r="50" spans="1:15" ht="25.5" x14ac:dyDescent="0.2">
      <c r="A50" s="23" t="s">
        <v>1212</v>
      </c>
      <c r="B50" s="22" t="s">
        <v>302</v>
      </c>
      <c r="C50" s="22" t="s">
        <v>64</v>
      </c>
      <c r="D50" s="23" t="s">
        <v>308</v>
      </c>
      <c r="E50" s="22" t="s">
        <v>1213</v>
      </c>
      <c r="F50" s="22" t="s">
        <v>1208</v>
      </c>
      <c r="G50" s="23" t="s">
        <v>1075</v>
      </c>
      <c r="H50" s="39">
        <v>48</v>
      </c>
      <c r="I50" s="40">
        <v>88</v>
      </c>
      <c r="J50" s="39">
        <v>180</v>
      </c>
      <c r="K50" s="40">
        <v>88</v>
      </c>
      <c r="L50" s="39">
        <v>180</v>
      </c>
      <c r="M50" s="22" t="s">
        <v>1179</v>
      </c>
      <c r="N50" s="22"/>
      <c r="O50" s="24" t="s">
        <v>307</v>
      </c>
    </row>
    <row r="51" spans="1:15" ht="25.5" x14ac:dyDescent="0.2">
      <c r="A51" s="23" t="s">
        <v>1214</v>
      </c>
      <c r="B51" s="22" t="s">
        <v>302</v>
      </c>
      <c r="C51" s="22" t="s">
        <v>64</v>
      </c>
      <c r="D51" s="23" t="s">
        <v>249</v>
      </c>
      <c r="E51" s="22" t="s">
        <v>1215</v>
      </c>
      <c r="F51" s="22" t="s">
        <v>1208</v>
      </c>
      <c r="G51" s="23" t="s">
        <v>1075</v>
      </c>
      <c r="H51" s="39">
        <v>62</v>
      </c>
      <c r="I51" s="40">
        <v>138</v>
      </c>
      <c r="J51" s="39">
        <v>350</v>
      </c>
      <c r="K51" s="40">
        <v>138</v>
      </c>
      <c r="L51" s="39">
        <v>350</v>
      </c>
      <c r="M51" s="22" t="s">
        <v>1179</v>
      </c>
      <c r="N51" s="22"/>
      <c r="O51" s="24" t="s">
        <v>310</v>
      </c>
    </row>
    <row r="52" spans="1:15" ht="38.25" x14ac:dyDescent="0.2">
      <c r="A52" s="21" t="s">
        <v>1216</v>
      </c>
      <c r="B52" s="22" t="s">
        <v>315</v>
      </c>
      <c r="C52" s="22"/>
      <c r="D52" s="23" t="s">
        <v>65</v>
      </c>
      <c r="E52" s="22" t="s">
        <v>1217</v>
      </c>
      <c r="F52" s="22" t="s">
        <v>1218</v>
      </c>
      <c r="G52" s="23" t="s">
        <v>1219</v>
      </c>
      <c r="H52" s="39">
        <v>373</v>
      </c>
      <c r="I52" s="40">
        <v>690</v>
      </c>
      <c r="J52" s="39">
        <v>1455</v>
      </c>
      <c r="K52" s="40">
        <v>690</v>
      </c>
      <c r="L52" s="39">
        <v>1455</v>
      </c>
      <c r="M52" s="22" t="s">
        <v>1179</v>
      </c>
      <c r="N52" s="22"/>
      <c r="O52" s="24" t="s">
        <v>312</v>
      </c>
    </row>
    <row r="53" spans="1:15" ht="25.5" x14ac:dyDescent="0.2">
      <c r="A53" s="21" t="s">
        <v>1220</v>
      </c>
      <c r="B53" s="22" t="s">
        <v>324</v>
      </c>
      <c r="C53" s="22"/>
      <c r="D53" s="23" t="s">
        <v>65</v>
      </c>
      <c r="E53" s="22" t="s">
        <v>1221</v>
      </c>
      <c r="F53" s="22" t="s">
        <v>1222</v>
      </c>
      <c r="G53" s="23" t="s">
        <v>325</v>
      </c>
      <c r="H53" s="39"/>
      <c r="I53" s="40">
        <v>310</v>
      </c>
      <c r="J53" s="39">
        <v>600</v>
      </c>
      <c r="K53" s="40">
        <v>310</v>
      </c>
      <c r="L53" s="39">
        <v>600</v>
      </c>
      <c r="M53" s="22" t="s">
        <v>1179</v>
      </c>
      <c r="N53" s="22"/>
      <c r="O53" s="24" t="s">
        <v>322</v>
      </c>
    </row>
    <row r="54" spans="1:15" ht="25.5" x14ac:dyDescent="0.2">
      <c r="A54" s="21" t="s">
        <v>1223</v>
      </c>
      <c r="B54" s="22" t="s">
        <v>333</v>
      </c>
      <c r="C54" s="22"/>
      <c r="D54" s="23" t="s">
        <v>65</v>
      </c>
      <c r="E54" s="22" t="s">
        <v>1224</v>
      </c>
      <c r="F54" s="22" t="s">
        <v>1225</v>
      </c>
      <c r="G54" s="23" t="s">
        <v>334</v>
      </c>
      <c r="H54" s="39"/>
      <c r="I54" s="40">
        <v>65</v>
      </c>
      <c r="J54" s="39">
        <v>130</v>
      </c>
      <c r="K54" s="40">
        <v>65</v>
      </c>
      <c r="L54" s="39">
        <v>130</v>
      </c>
      <c r="M54" s="22" t="s">
        <v>1179</v>
      </c>
      <c r="N54" s="22"/>
      <c r="O54" s="24" t="s">
        <v>331</v>
      </c>
    </row>
    <row r="55" spans="1:15" ht="25.5" x14ac:dyDescent="0.2">
      <c r="A55" s="21" t="s">
        <v>1226</v>
      </c>
      <c r="B55" s="22" t="s">
        <v>340</v>
      </c>
      <c r="C55" s="22"/>
      <c r="D55" s="23" t="s">
        <v>65</v>
      </c>
      <c r="E55" s="22" t="s">
        <v>1227</v>
      </c>
      <c r="F55" s="22" t="s">
        <v>1228</v>
      </c>
      <c r="G55" s="23" t="s">
        <v>341</v>
      </c>
      <c r="H55" s="39"/>
      <c r="I55" s="40">
        <v>163</v>
      </c>
      <c r="J55" s="39">
        <v>305</v>
      </c>
      <c r="K55" s="40">
        <v>163</v>
      </c>
      <c r="L55" s="39">
        <v>305</v>
      </c>
      <c r="M55" s="22" t="s">
        <v>1179</v>
      </c>
      <c r="N55" s="22"/>
      <c r="O55" s="24" t="s">
        <v>338</v>
      </c>
    </row>
    <row r="56" spans="1:15" ht="25.5" x14ac:dyDescent="0.2">
      <c r="A56" s="21" t="s">
        <v>1229</v>
      </c>
      <c r="B56" s="22" t="s">
        <v>348</v>
      </c>
      <c r="C56" s="22"/>
      <c r="D56" s="23" t="s">
        <v>65</v>
      </c>
      <c r="E56" s="22" t="s">
        <v>1230</v>
      </c>
      <c r="F56" s="22" t="s">
        <v>1231</v>
      </c>
      <c r="G56" s="23" t="s">
        <v>1232</v>
      </c>
      <c r="H56" s="39">
        <v>22</v>
      </c>
      <c r="I56" s="40">
        <v>24</v>
      </c>
      <c r="J56" s="39">
        <v>51</v>
      </c>
      <c r="K56" s="40">
        <v>24</v>
      </c>
      <c r="L56" s="39">
        <v>51</v>
      </c>
      <c r="M56" s="22" t="s">
        <v>1179</v>
      </c>
      <c r="N56" s="22"/>
      <c r="O56" s="24" t="s">
        <v>346</v>
      </c>
    </row>
    <row r="57" spans="1:15" ht="25.5" x14ac:dyDescent="0.2">
      <c r="A57" s="21" t="s">
        <v>1233</v>
      </c>
      <c r="B57" s="22" t="s">
        <v>355</v>
      </c>
      <c r="C57" s="22"/>
      <c r="D57" s="23" t="s">
        <v>65</v>
      </c>
      <c r="E57" s="22" t="s">
        <v>1234</v>
      </c>
      <c r="F57" s="22" t="s">
        <v>1235</v>
      </c>
      <c r="G57" s="23" t="s">
        <v>356</v>
      </c>
      <c r="H57" s="39"/>
      <c r="I57" s="40">
        <v>152</v>
      </c>
      <c r="J57" s="39">
        <v>352</v>
      </c>
      <c r="K57" s="40">
        <v>152</v>
      </c>
      <c r="L57" s="39">
        <v>352</v>
      </c>
      <c r="M57" s="22" t="s">
        <v>1179</v>
      </c>
      <c r="N57" s="22"/>
      <c r="O57" s="24" t="s">
        <v>353</v>
      </c>
    </row>
    <row r="58" spans="1:15" ht="25.5" x14ac:dyDescent="0.2">
      <c r="A58" s="21" t="s">
        <v>1236</v>
      </c>
      <c r="B58" s="22" t="s">
        <v>362</v>
      </c>
      <c r="C58" s="22"/>
      <c r="D58" s="23" t="s">
        <v>65</v>
      </c>
      <c r="E58" s="22" t="s">
        <v>1237</v>
      </c>
      <c r="F58" s="22" t="s">
        <v>1238</v>
      </c>
      <c r="G58" s="23" t="s">
        <v>363</v>
      </c>
      <c r="H58" s="39"/>
      <c r="I58" s="40">
        <v>380</v>
      </c>
      <c r="J58" s="39">
        <v>860</v>
      </c>
      <c r="K58" s="40">
        <v>380</v>
      </c>
      <c r="L58" s="39">
        <v>860</v>
      </c>
      <c r="M58" s="22" t="s">
        <v>1179</v>
      </c>
      <c r="N58" s="22"/>
      <c r="O58" s="24" t="s">
        <v>360</v>
      </c>
    </row>
    <row r="59" spans="1:15" x14ac:dyDescent="0.2">
      <c r="A59" s="25" t="s">
        <v>1239</v>
      </c>
      <c r="B59" s="26"/>
      <c r="C59" s="26"/>
      <c r="D59" s="25"/>
      <c r="E59" s="26"/>
      <c r="F59" s="26"/>
      <c r="G59" s="25"/>
      <c r="H59" s="41"/>
      <c r="I59" s="42"/>
      <c r="J59" s="41"/>
      <c r="K59" s="42"/>
      <c r="L59" s="41"/>
      <c r="M59" s="26"/>
      <c r="N59" s="26"/>
      <c r="O59" s="27"/>
    </row>
    <row r="60" spans="1:15" ht="25.5" x14ac:dyDescent="0.2">
      <c r="A60" s="55" t="s">
        <v>1240</v>
      </c>
      <c r="B60" s="56" t="s">
        <v>371</v>
      </c>
      <c r="C60" s="56" t="s">
        <v>1241</v>
      </c>
      <c r="D60" s="55" t="s">
        <v>65</v>
      </c>
      <c r="E60" s="56" t="s">
        <v>1242</v>
      </c>
      <c r="F60" s="56" t="s">
        <v>1243</v>
      </c>
      <c r="G60" s="55" t="s">
        <v>1075</v>
      </c>
      <c r="H60" s="57">
        <v>30</v>
      </c>
      <c r="I60" s="58">
        <v>60</v>
      </c>
      <c r="J60" s="57">
        <v>135</v>
      </c>
      <c r="K60" s="58">
        <v>60</v>
      </c>
      <c r="L60" s="57">
        <v>105</v>
      </c>
      <c r="M60" s="56" t="s">
        <v>1179</v>
      </c>
      <c r="N60" s="56" t="s">
        <v>1244</v>
      </c>
      <c r="O60" s="59" t="s">
        <v>367</v>
      </c>
    </row>
    <row r="61" spans="1:15" ht="25.5" x14ac:dyDescent="0.2">
      <c r="A61" s="55" t="s">
        <v>1027</v>
      </c>
      <c r="B61" s="56" t="s">
        <v>371</v>
      </c>
      <c r="C61" s="56" t="s">
        <v>1245</v>
      </c>
      <c r="D61" s="55" t="s">
        <v>65</v>
      </c>
      <c r="E61" s="56" t="s">
        <v>1246</v>
      </c>
      <c r="F61" s="56" t="s">
        <v>1243</v>
      </c>
      <c r="G61" s="55" t="s">
        <v>1075</v>
      </c>
      <c r="H61" s="57">
        <f>H60*1.3</f>
        <v>39</v>
      </c>
      <c r="I61" s="58">
        <f>I60*1.3</f>
        <v>78</v>
      </c>
      <c r="J61" s="57">
        <f>J60*1.3</f>
        <v>175.5</v>
      </c>
      <c r="K61" s="58">
        <f>K60*1.3</f>
        <v>78</v>
      </c>
      <c r="L61" s="57">
        <f>L60*1.3</f>
        <v>136.5</v>
      </c>
      <c r="M61" s="56" t="s">
        <v>1247</v>
      </c>
      <c r="N61" s="56"/>
      <c r="O61" s="59" t="s">
        <v>376</v>
      </c>
    </row>
    <row r="62" spans="1:15" ht="25.5" x14ac:dyDescent="0.2">
      <c r="A62" s="55" t="s">
        <v>1248</v>
      </c>
      <c r="B62" s="56" t="s">
        <v>371</v>
      </c>
      <c r="C62" s="56" t="s">
        <v>1249</v>
      </c>
      <c r="D62" s="55" t="s">
        <v>65</v>
      </c>
      <c r="E62" s="56" t="s">
        <v>1250</v>
      </c>
      <c r="F62" s="56" t="s">
        <v>1243</v>
      </c>
      <c r="G62" s="55" t="s">
        <v>1075</v>
      </c>
      <c r="H62" s="57">
        <f>H60*1.8</f>
        <v>54</v>
      </c>
      <c r="I62" s="58">
        <f>I60*1.8</f>
        <v>108</v>
      </c>
      <c r="J62" s="57">
        <f>J60*1.8</f>
        <v>243</v>
      </c>
      <c r="K62" s="58">
        <f>K60*1.8</f>
        <v>108</v>
      </c>
      <c r="L62" s="57">
        <f>L60*1.8</f>
        <v>189</v>
      </c>
      <c r="M62" s="56" t="s">
        <v>1251</v>
      </c>
      <c r="N62" s="56"/>
      <c r="O62" s="59" t="s">
        <v>380</v>
      </c>
    </row>
    <row r="63" spans="1:15" ht="25.5" x14ac:dyDescent="0.2">
      <c r="A63" s="55" t="s">
        <v>1252</v>
      </c>
      <c r="B63" s="56" t="s">
        <v>371</v>
      </c>
      <c r="C63" s="56" t="s">
        <v>1253</v>
      </c>
      <c r="D63" s="55" t="s">
        <v>65</v>
      </c>
      <c r="E63" s="56" t="s">
        <v>1254</v>
      </c>
      <c r="F63" s="56" t="s">
        <v>1243</v>
      </c>
      <c r="G63" s="55" t="s">
        <v>1075</v>
      </c>
      <c r="H63" s="57">
        <f>H60*0.9</f>
        <v>27</v>
      </c>
      <c r="I63" s="58">
        <f>I60*0.9</f>
        <v>54</v>
      </c>
      <c r="J63" s="57">
        <f>J60*0.9</f>
        <v>121.5</v>
      </c>
      <c r="K63" s="58">
        <f>K60*0.9</f>
        <v>54</v>
      </c>
      <c r="L63" s="57">
        <f>L60*0.9</f>
        <v>94.5</v>
      </c>
      <c r="M63" s="56" t="s">
        <v>1255</v>
      </c>
      <c r="N63" s="56"/>
      <c r="O63" s="59" t="s">
        <v>383</v>
      </c>
    </row>
    <row r="64" spans="1:15" ht="25.5" x14ac:dyDescent="0.2">
      <c r="A64" s="55" t="s">
        <v>1256</v>
      </c>
      <c r="B64" s="56" t="s">
        <v>371</v>
      </c>
      <c r="C64" s="56" t="s">
        <v>1257</v>
      </c>
      <c r="D64" s="55" t="s">
        <v>65</v>
      </c>
      <c r="E64" s="56" t="s">
        <v>1258</v>
      </c>
      <c r="F64" s="56" t="s">
        <v>1243</v>
      </c>
      <c r="G64" s="55" t="s">
        <v>1075</v>
      </c>
      <c r="H64" s="57">
        <f>H60*0.6</f>
        <v>18</v>
      </c>
      <c r="I64" s="58">
        <f>I60*0.6</f>
        <v>36</v>
      </c>
      <c r="J64" s="57">
        <f>J60*0.6</f>
        <v>81</v>
      </c>
      <c r="K64" s="58">
        <f>K60*0.6</f>
        <v>36</v>
      </c>
      <c r="L64" s="57">
        <f>L60*0.6</f>
        <v>63</v>
      </c>
      <c r="M64" s="56" t="s">
        <v>1259</v>
      </c>
      <c r="N64" s="56"/>
      <c r="O64" s="59" t="s">
        <v>386</v>
      </c>
    </row>
    <row r="65" spans="1:15" ht="25.5" x14ac:dyDescent="0.2">
      <c r="A65" s="55" t="s">
        <v>1260</v>
      </c>
      <c r="B65" s="56" t="s">
        <v>371</v>
      </c>
      <c r="C65" s="56" t="s">
        <v>1261</v>
      </c>
      <c r="D65" s="55" t="s">
        <v>65</v>
      </c>
      <c r="E65" s="56" t="s">
        <v>1262</v>
      </c>
      <c r="F65" s="56" t="s">
        <v>1243</v>
      </c>
      <c r="G65" s="55" t="s">
        <v>1075</v>
      </c>
      <c r="H65" s="57">
        <f>H60*0.35</f>
        <v>10.5</v>
      </c>
      <c r="I65" s="58">
        <f>I60*0.35</f>
        <v>21</v>
      </c>
      <c r="J65" s="57">
        <f>J60*0.35</f>
        <v>47.25</v>
      </c>
      <c r="K65" s="58">
        <f>K60*0.35</f>
        <v>21</v>
      </c>
      <c r="L65" s="57">
        <f>L60*0.35</f>
        <v>36.75</v>
      </c>
      <c r="M65" s="56" t="s">
        <v>1263</v>
      </c>
      <c r="N65" s="56"/>
      <c r="O65" s="59" t="s">
        <v>389</v>
      </c>
    </row>
    <row r="66" spans="1:15" ht="25.5" x14ac:dyDescent="0.2">
      <c r="A66" s="55" t="s">
        <v>1264</v>
      </c>
      <c r="B66" s="56" t="s">
        <v>371</v>
      </c>
      <c r="C66" s="56" t="s">
        <v>1265</v>
      </c>
      <c r="D66" s="55" t="s">
        <v>65</v>
      </c>
      <c r="E66" s="56" t="s">
        <v>1266</v>
      </c>
      <c r="F66" s="56" t="s">
        <v>1243</v>
      </c>
      <c r="G66" s="55" t="s">
        <v>1075</v>
      </c>
      <c r="H66" s="57">
        <f>H60*0.3</f>
        <v>9</v>
      </c>
      <c r="I66" s="58">
        <f>I60*0.3</f>
        <v>18</v>
      </c>
      <c r="J66" s="57">
        <f>J60*0.3</f>
        <v>40.5</v>
      </c>
      <c r="K66" s="58">
        <f>K60*0.3</f>
        <v>18</v>
      </c>
      <c r="L66" s="57">
        <f>L60*0.3</f>
        <v>31.5</v>
      </c>
      <c r="M66" s="56" t="s">
        <v>1267</v>
      </c>
      <c r="N66" s="56"/>
      <c r="O66" s="59" t="s">
        <v>392</v>
      </c>
    </row>
    <row r="67" spans="1:15" ht="25.5" x14ac:dyDescent="0.2">
      <c r="A67" s="55" t="s">
        <v>1268</v>
      </c>
      <c r="B67" s="56" t="s">
        <v>371</v>
      </c>
      <c r="C67" s="56" t="s">
        <v>1269</v>
      </c>
      <c r="D67" s="55" t="s">
        <v>65</v>
      </c>
      <c r="E67" s="56" t="s">
        <v>1270</v>
      </c>
      <c r="F67" s="56" t="s">
        <v>1243</v>
      </c>
      <c r="G67" s="55" t="s">
        <v>1075</v>
      </c>
      <c r="H67" s="57">
        <f>H61*0.45</f>
        <v>17.55</v>
      </c>
      <c r="I67" s="58">
        <f>I61*0.45</f>
        <v>35.1</v>
      </c>
      <c r="J67" s="57">
        <f>J61*0.45</f>
        <v>78.975000000000009</v>
      </c>
      <c r="K67" s="58">
        <f>K61*0.45</f>
        <v>35.1</v>
      </c>
      <c r="L67" s="57">
        <f>L61*0.45</f>
        <v>61.425000000000004</v>
      </c>
      <c r="M67" s="56" t="s">
        <v>1271</v>
      </c>
      <c r="N67" s="56"/>
      <c r="O67" s="59" t="s">
        <v>395</v>
      </c>
    </row>
    <row r="68" spans="1:15" ht="25.5" x14ac:dyDescent="0.2">
      <c r="A68" s="55" t="s">
        <v>1272</v>
      </c>
      <c r="B68" s="56" t="s">
        <v>371</v>
      </c>
      <c r="C68" s="56" t="s">
        <v>1273</v>
      </c>
      <c r="D68" s="55" t="s">
        <v>65</v>
      </c>
      <c r="E68" s="56" t="s">
        <v>1274</v>
      </c>
      <c r="F68" s="56" t="s">
        <v>1243</v>
      </c>
      <c r="G68" s="55" t="s">
        <v>1075</v>
      </c>
      <c r="H68" s="57">
        <f>H61*0.3</f>
        <v>11.7</v>
      </c>
      <c r="I68" s="58">
        <f>I61*0.3</f>
        <v>23.4</v>
      </c>
      <c r="J68" s="57">
        <f>J61*0.3</f>
        <v>52.65</v>
      </c>
      <c r="K68" s="58">
        <f>K61*0.3</f>
        <v>23.4</v>
      </c>
      <c r="L68" s="57">
        <f>L61*0.3</f>
        <v>40.949999999999996</v>
      </c>
      <c r="M68" s="56" t="s">
        <v>1275</v>
      </c>
      <c r="N68" s="56"/>
      <c r="O68" s="59" t="s">
        <v>399</v>
      </c>
    </row>
    <row r="69" spans="1:15" ht="25.5" x14ac:dyDescent="0.2">
      <c r="A69" s="55" t="s">
        <v>1276</v>
      </c>
      <c r="B69" s="56" t="s">
        <v>371</v>
      </c>
      <c r="C69" s="56" t="s">
        <v>1277</v>
      </c>
      <c r="D69" s="55" t="s">
        <v>65</v>
      </c>
      <c r="E69" s="56" t="s">
        <v>1278</v>
      </c>
      <c r="F69" s="56" t="s">
        <v>1243</v>
      </c>
      <c r="G69" s="55" t="s">
        <v>1075</v>
      </c>
      <c r="H69" s="57">
        <f>H62*0.45</f>
        <v>24.3</v>
      </c>
      <c r="I69" s="58">
        <f>I62*0.45</f>
        <v>48.6</v>
      </c>
      <c r="J69" s="57">
        <f>J62*0.45</f>
        <v>109.35000000000001</v>
      </c>
      <c r="K69" s="58">
        <f>K62*0.45</f>
        <v>48.6</v>
      </c>
      <c r="L69" s="57">
        <f>L62*0.45</f>
        <v>85.05</v>
      </c>
      <c r="M69" s="56" t="s">
        <v>1279</v>
      </c>
      <c r="N69" s="56"/>
      <c r="O69" s="59" t="s">
        <v>401</v>
      </c>
    </row>
    <row r="70" spans="1:15" ht="25.5" x14ac:dyDescent="0.2">
      <c r="A70" s="55" t="s">
        <v>1280</v>
      </c>
      <c r="B70" s="56" t="s">
        <v>371</v>
      </c>
      <c r="C70" s="56" t="s">
        <v>1281</v>
      </c>
      <c r="D70" s="55" t="s">
        <v>65</v>
      </c>
      <c r="E70" s="56" t="s">
        <v>1282</v>
      </c>
      <c r="F70" s="56" t="s">
        <v>1243</v>
      </c>
      <c r="G70" s="55" t="s">
        <v>1075</v>
      </c>
      <c r="H70" s="57">
        <f t="shared" ref="H70:L71" si="0">H62*0.3</f>
        <v>16.2</v>
      </c>
      <c r="I70" s="58">
        <f t="shared" si="0"/>
        <v>32.4</v>
      </c>
      <c r="J70" s="57">
        <f t="shared" si="0"/>
        <v>72.899999999999991</v>
      </c>
      <c r="K70" s="58">
        <f t="shared" si="0"/>
        <v>32.4</v>
      </c>
      <c r="L70" s="57">
        <f t="shared" si="0"/>
        <v>56.699999999999996</v>
      </c>
      <c r="M70" s="56" t="s">
        <v>1283</v>
      </c>
      <c r="N70" s="56"/>
      <c r="O70" s="59" t="s">
        <v>403</v>
      </c>
    </row>
    <row r="71" spans="1:15" ht="25.5" x14ac:dyDescent="0.2">
      <c r="A71" s="55" t="s">
        <v>1284</v>
      </c>
      <c r="B71" s="56" t="s">
        <v>371</v>
      </c>
      <c r="C71" s="56" t="s">
        <v>1285</v>
      </c>
      <c r="D71" s="55" t="s">
        <v>65</v>
      </c>
      <c r="E71" s="56" t="s">
        <v>1286</v>
      </c>
      <c r="F71" s="56" t="s">
        <v>1243</v>
      </c>
      <c r="G71" s="55" t="s">
        <v>1075</v>
      </c>
      <c r="H71" s="57">
        <f t="shared" si="0"/>
        <v>8.1</v>
      </c>
      <c r="I71" s="58">
        <f t="shared" si="0"/>
        <v>16.2</v>
      </c>
      <c r="J71" s="57">
        <f t="shared" si="0"/>
        <v>36.449999999999996</v>
      </c>
      <c r="K71" s="58">
        <f t="shared" si="0"/>
        <v>16.2</v>
      </c>
      <c r="L71" s="57">
        <f t="shared" si="0"/>
        <v>28.349999999999998</v>
      </c>
      <c r="M71" s="56" t="s">
        <v>1287</v>
      </c>
      <c r="N71" s="56"/>
      <c r="O71" s="59" t="s">
        <v>405</v>
      </c>
    </row>
    <row r="72" spans="1:15" ht="25.5" x14ac:dyDescent="0.2">
      <c r="A72" s="55" t="s">
        <v>1288</v>
      </c>
      <c r="B72" s="56" t="s">
        <v>371</v>
      </c>
      <c r="C72" s="56" t="s">
        <v>1289</v>
      </c>
      <c r="D72" s="55" t="s">
        <v>65</v>
      </c>
      <c r="E72" s="56" t="s">
        <v>1290</v>
      </c>
      <c r="F72" s="56" t="s">
        <v>1243</v>
      </c>
      <c r="G72" s="55" t="s">
        <v>1075</v>
      </c>
      <c r="H72" s="57">
        <f>H63*0.3</f>
        <v>8.1</v>
      </c>
      <c r="I72" s="58">
        <f>I63*0.3</f>
        <v>16.2</v>
      </c>
      <c r="J72" s="57">
        <f>J63*0.3</f>
        <v>36.449999999999996</v>
      </c>
      <c r="K72" s="58">
        <f>K63*0.3</f>
        <v>16.2</v>
      </c>
      <c r="L72" s="57">
        <f>L63*0.3</f>
        <v>28.349999999999998</v>
      </c>
      <c r="M72" s="56" t="s">
        <v>1287</v>
      </c>
      <c r="N72" s="56"/>
      <c r="O72" s="59" t="s">
        <v>408</v>
      </c>
    </row>
    <row r="73" spans="1:15" ht="25.5" x14ac:dyDescent="0.2">
      <c r="A73" s="55" t="s">
        <v>1291</v>
      </c>
      <c r="B73" s="56" t="s">
        <v>371</v>
      </c>
      <c r="C73" s="56" t="s">
        <v>1292</v>
      </c>
      <c r="D73" s="55" t="s">
        <v>65</v>
      </c>
      <c r="E73" s="56" t="s">
        <v>1293</v>
      </c>
      <c r="F73" s="56" t="s">
        <v>1243</v>
      </c>
      <c r="G73" s="55" t="s">
        <v>1075</v>
      </c>
      <c r="H73" s="57">
        <f>H64*0.5</f>
        <v>9</v>
      </c>
      <c r="I73" s="58">
        <f>I64*0.5</f>
        <v>18</v>
      </c>
      <c r="J73" s="57">
        <f>J64*0.5</f>
        <v>40.5</v>
      </c>
      <c r="K73" s="58">
        <f>K64*0.5</f>
        <v>18</v>
      </c>
      <c r="L73" s="57">
        <f>L64*0.5</f>
        <v>31.5</v>
      </c>
      <c r="M73" s="56" t="s">
        <v>1294</v>
      </c>
      <c r="N73" s="56"/>
      <c r="O73" s="59" t="s">
        <v>410</v>
      </c>
    </row>
    <row r="74" spans="1:15" ht="25.5" x14ac:dyDescent="0.2">
      <c r="A74" s="55" t="s">
        <v>1295</v>
      </c>
      <c r="B74" s="56" t="s">
        <v>371</v>
      </c>
      <c r="C74" s="56" t="s">
        <v>1296</v>
      </c>
      <c r="D74" s="55" t="s">
        <v>65</v>
      </c>
      <c r="E74" s="56" t="s">
        <v>1297</v>
      </c>
      <c r="F74" s="56" t="s">
        <v>1243</v>
      </c>
      <c r="G74" s="55" t="s">
        <v>1075</v>
      </c>
      <c r="H74" s="57">
        <f>H64*0.3</f>
        <v>5.3999999999999995</v>
      </c>
      <c r="I74" s="58">
        <f>I64*0.3</f>
        <v>10.799999999999999</v>
      </c>
      <c r="J74" s="57">
        <f>J64*0.3</f>
        <v>24.3</v>
      </c>
      <c r="K74" s="58">
        <f>K64*0.3</f>
        <v>10.799999999999999</v>
      </c>
      <c r="L74" s="57">
        <f>L64*0.3</f>
        <v>18.899999999999999</v>
      </c>
      <c r="M74" s="56" t="s">
        <v>1298</v>
      </c>
      <c r="N74" s="56"/>
      <c r="O74" s="59" t="s">
        <v>413</v>
      </c>
    </row>
    <row r="75" spans="1:15" ht="38.25" x14ac:dyDescent="0.2">
      <c r="A75" s="23" t="s">
        <v>1299</v>
      </c>
      <c r="B75" s="22" t="s">
        <v>417</v>
      </c>
      <c r="C75" s="22" t="s">
        <v>1300</v>
      </c>
      <c r="D75" s="23" t="s">
        <v>65</v>
      </c>
      <c r="E75" s="22" t="s">
        <v>1301</v>
      </c>
      <c r="F75" s="22" t="s">
        <v>1302</v>
      </c>
      <c r="G75" s="23" t="s">
        <v>1075</v>
      </c>
      <c r="H75" s="39">
        <v>30</v>
      </c>
      <c r="I75" s="40">
        <v>65</v>
      </c>
      <c r="J75" s="39">
        <v>180</v>
      </c>
      <c r="K75" s="40">
        <v>30</v>
      </c>
      <c r="L75" s="39">
        <v>90</v>
      </c>
      <c r="M75" s="22" t="s">
        <v>1179</v>
      </c>
      <c r="N75" s="22" t="s">
        <v>1303</v>
      </c>
      <c r="O75" s="24" t="s">
        <v>415</v>
      </c>
    </row>
    <row r="76" spans="1:15" ht="25.5" x14ac:dyDescent="0.2">
      <c r="A76" s="23" t="s">
        <v>1304</v>
      </c>
      <c r="B76" s="22" t="s">
        <v>417</v>
      </c>
      <c r="C76" s="22" t="s">
        <v>1305</v>
      </c>
      <c r="D76" s="23" t="s">
        <v>65</v>
      </c>
      <c r="E76" s="22" t="s">
        <v>1306</v>
      </c>
      <c r="F76" s="22" t="s">
        <v>1302</v>
      </c>
      <c r="G76" s="23" t="s">
        <v>1075</v>
      </c>
      <c r="H76" s="39">
        <f>H75*0.3</f>
        <v>9</v>
      </c>
      <c r="I76" s="40">
        <f>I75*0.3</f>
        <v>19.5</v>
      </c>
      <c r="J76" s="39">
        <f>J75*0.3</f>
        <v>54</v>
      </c>
      <c r="K76" s="40">
        <f>K75*0.3</f>
        <v>9</v>
      </c>
      <c r="L76" s="39">
        <f>L75*0.3</f>
        <v>27</v>
      </c>
      <c r="M76" s="22" t="s">
        <v>1307</v>
      </c>
      <c r="N76" s="22"/>
      <c r="O76" s="24" t="s">
        <v>421</v>
      </c>
    </row>
    <row r="77" spans="1:15" ht="25.5" x14ac:dyDescent="0.2">
      <c r="A77" s="21" t="s">
        <v>419</v>
      </c>
      <c r="B77" s="22" t="s">
        <v>426</v>
      </c>
      <c r="C77" s="22"/>
      <c r="D77" s="23" t="s">
        <v>65</v>
      </c>
      <c r="E77" s="22" t="s">
        <v>1308</v>
      </c>
      <c r="F77" s="22" t="s">
        <v>1309</v>
      </c>
      <c r="G77" s="23" t="s">
        <v>1075</v>
      </c>
      <c r="H77" s="39">
        <v>20</v>
      </c>
      <c r="I77" s="40">
        <v>45</v>
      </c>
      <c r="J77" s="39">
        <v>90</v>
      </c>
      <c r="K77" s="40">
        <v>40</v>
      </c>
      <c r="L77" s="39">
        <v>70</v>
      </c>
      <c r="M77" s="22" t="s">
        <v>1179</v>
      </c>
      <c r="N77" s="22" t="s">
        <v>1310</v>
      </c>
      <c r="O77" s="24" t="s">
        <v>424</v>
      </c>
    </row>
    <row r="78" spans="1:15" ht="25.5" x14ac:dyDescent="0.2">
      <c r="A78" s="21" t="s">
        <v>420</v>
      </c>
      <c r="B78" s="22" t="s">
        <v>431</v>
      </c>
      <c r="C78" s="22"/>
      <c r="D78" s="23" t="s">
        <v>65</v>
      </c>
      <c r="E78" s="22" t="s">
        <v>1311</v>
      </c>
      <c r="F78" s="22" t="s">
        <v>1312</v>
      </c>
      <c r="G78" s="23" t="s">
        <v>1075</v>
      </c>
      <c r="H78" s="39">
        <v>30</v>
      </c>
      <c r="I78" s="40">
        <v>75</v>
      </c>
      <c r="J78" s="39">
        <v>150</v>
      </c>
      <c r="K78" s="40">
        <v>75</v>
      </c>
      <c r="L78" s="39">
        <v>150</v>
      </c>
      <c r="M78" s="22" t="s">
        <v>1179</v>
      </c>
      <c r="N78" s="22" t="s">
        <v>1313</v>
      </c>
      <c r="O78" s="24" t="s">
        <v>429</v>
      </c>
    </row>
    <row r="79" spans="1:15" ht="25.5" x14ac:dyDescent="0.2">
      <c r="A79" s="21" t="s">
        <v>373</v>
      </c>
      <c r="B79" s="22" t="s">
        <v>435</v>
      </c>
      <c r="C79" s="22"/>
      <c r="D79" s="23" t="s">
        <v>65</v>
      </c>
      <c r="E79" s="22" t="s">
        <v>1314</v>
      </c>
      <c r="F79" s="22" t="s">
        <v>1315</v>
      </c>
      <c r="G79" s="23" t="s">
        <v>1075</v>
      </c>
      <c r="H79" s="39">
        <v>8</v>
      </c>
      <c r="I79" s="40">
        <v>15</v>
      </c>
      <c r="J79" s="39">
        <v>22</v>
      </c>
      <c r="K79" s="40">
        <v>15</v>
      </c>
      <c r="L79" s="39">
        <v>22</v>
      </c>
      <c r="M79" s="22" t="s">
        <v>1179</v>
      </c>
      <c r="N79" s="22" t="s">
        <v>1316</v>
      </c>
      <c r="O79" s="24" t="s">
        <v>433</v>
      </c>
    </row>
    <row r="80" spans="1:15" ht="51" x14ac:dyDescent="0.2">
      <c r="A80" s="55" t="s">
        <v>1317</v>
      </c>
      <c r="B80" s="56" t="s">
        <v>441</v>
      </c>
      <c r="C80" s="56" t="s">
        <v>1318</v>
      </c>
      <c r="D80" s="55" t="s">
        <v>65</v>
      </c>
      <c r="E80" s="56" t="s">
        <v>1319</v>
      </c>
      <c r="F80" s="56" t="s">
        <v>1320</v>
      </c>
      <c r="G80" s="55" t="s">
        <v>117</v>
      </c>
      <c r="H80" s="57"/>
      <c r="I80" s="58">
        <v>10000</v>
      </c>
      <c r="J80" s="57"/>
      <c r="K80" s="58">
        <v>10000</v>
      </c>
      <c r="L80" s="57"/>
      <c r="M80" s="56" t="s">
        <v>1179</v>
      </c>
      <c r="N80" s="56"/>
      <c r="O80" s="59" t="s">
        <v>438</v>
      </c>
    </row>
    <row r="81" spans="1:15" ht="25.5" x14ac:dyDescent="0.2">
      <c r="A81" s="55" t="s">
        <v>1321</v>
      </c>
      <c r="B81" s="56" t="s">
        <v>441</v>
      </c>
      <c r="C81" s="56" t="s">
        <v>1322</v>
      </c>
      <c r="D81" s="55" t="s">
        <v>65</v>
      </c>
      <c r="E81" s="56" t="s">
        <v>1323</v>
      </c>
      <c r="F81" s="56" t="s">
        <v>1320</v>
      </c>
      <c r="G81" s="55" t="s">
        <v>117</v>
      </c>
      <c r="H81" s="57"/>
      <c r="I81" s="58">
        <v>40000</v>
      </c>
      <c r="J81" s="57"/>
      <c r="K81" s="58">
        <v>40000</v>
      </c>
      <c r="L81" s="57"/>
      <c r="M81" s="56" t="s">
        <v>1179</v>
      </c>
      <c r="N81" s="56" t="s">
        <v>1324</v>
      </c>
      <c r="O81" s="59" t="s">
        <v>445</v>
      </c>
    </row>
    <row r="82" spans="1:15" ht="25.5" x14ac:dyDescent="0.2">
      <c r="A82" s="55" t="s">
        <v>1325</v>
      </c>
      <c r="B82" s="56" t="s">
        <v>441</v>
      </c>
      <c r="C82" s="56" t="s">
        <v>1326</v>
      </c>
      <c r="D82" s="55" t="s">
        <v>65</v>
      </c>
      <c r="E82" s="56" t="s">
        <v>1327</v>
      </c>
      <c r="F82" s="56" t="s">
        <v>1320</v>
      </c>
      <c r="G82" s="55" t="s">
        <v>117</v>
      </c>
      <c r="H82" s="57"/>
      <c r="I82" s="58">
        <v>250000</v>
      </c>
      <c r="J82" s="57"/>
      <c r="K82" s="58">
        <v>250000</v>
      </c>
      <c r="L82" s="57"/>
      <c r="M82" s="56" t="s">
        <v>1179</v>
      </c>
      <c r="N82" s="56" t="s">
        <v>1324</v>
      </c>
      <c r="O82" s="59" t="s">
        <v>447</v>
      </c>
    </row>
    <row r="83" spans="1:15" ht="38.25" x14ac:dyDescent="0.2">
      <c r="A83" s="23" t="s">
        <v>1328</v>
      </c>
      <c r="B83" s="22" t="s">
        <v>451</v>
      </c>
      <c r="C83" s="22" t="s">
        <v>1300</v>
      </c>
      <c r="D83" s="23" t="s">
        <v>65</v>
      </c>
      <c r="E83" s="22" t="s">
        <v>1329</v>
      </c>
      <c r="F83" s="22" t="s">
        <v>1330</v>
      </c>
      <c r="G83" s="23" t="s">
        <v>1075</v>
      </c>
      <c r="H83" s="39">
        <v>80</v>
      </c>
      <c r="I83" s="40">
        <v>126</v>
      </c>
      <c r="J83" s="39">
        <v>215</v>
      </c>
      <c r="K83" s="40">
        <v>109</v>
      </c>
      <c r="L83" s="39">
        <v>174</v>
      </c>
      <c r="M83" s="22" t="s">
        <v>1179</v>
      </c>
      <c r="N83" s="22" t="s">
        <v>1331</v>
      </c>
      <c r="O83" s="24" t="s">
        <v>449</v>
      </c>
    </row>
    <row r="84" spans="1:15" ht="25.5" x14ac:dyDescent="0.2">
      <c r="A84" s="23" t="s">
        <v>1332</v>
      </c>
      <c r="B84" s="22" t="s">
        <v>451</v>
      </c>
      <c r="C84" s="22" t="s">
        <v>1300</v>
      </c>
      <c r="D84" s="23" t="s">
        <v>456</v>
      </c>
      <c r="E84" s="22" t="s">
        <v>1333</v>
      </c>
      <c r="F84" s="22" t="s">
        <v>1330</v>
      </c>
      <c r="G84" s="23" t="s">
        <v>1075</v>
      </c>
      <c r="H84" s="39">
        <v>70</v>
      </c>
      <c r="I84" s="40">
        <v>108</v>
      </c>
      <c r="J84" s="39">
        <v>185</v>
      </c>
      <c r="K84" s="40">
        <v>93</v>
      </c>
      <c r="L84" s="39">
        <v>148</v>
      </c>
      <c r="M84" s="22" t="s">
        <v>1179</v>
      </c>
      <c r="N84" s="22" t="s">
        <v>1334</v>
      </c>
      <c r="O84" s="24" t="s">
        <v>455</v>
      </c>
    </row>
    <row r="85" spans="1:15" ht="25.5" x14ac:dyDescent="0.2">
      <c r="A85" s="23" t="s">
        <v>1335</v>
      </c>
      <c r="B85" s="22" t="s">
        <v>451</v>
      </c>
      <c r="C85" s="22" t="s">
        <v>1336</v>
      </c>
      <c r="D85" s="23" t="s">
        <v>65</v>
      </c>
      <c r="E85" s="22" t="s">
        <v>1337</v>
      </c>
      <c r="F85" s="22" t="s">
        <v>1330</v>
      </c>
      <c r="G85" s="23" t="s">
        <v>1075</v>
      </c>
      <c r="H85" s="39">
        <v>13</v>
      </c>
      <c r="I85" s="40">
        <v>15</v>
      </c>
      <c r="J85" s="39">
        <v>30</v>
      </c>
      <c r="K85" s="40">
        <v>0</v>
      </c>
      <c r="L85" s="39"/>
      <c r="M85" s="22" t="s">
        <v>1179</v>
      </c>
      <c r="N85" s="22"/>
      <c r="O85" s="24" t="s">
        <v>458</v>
      </c>
    </row>
    <row r="86" spans="1:15" ht="25.5" x14ac:dyDescent="0.2">
      <c r="A86" s="23" t="s">
        <v>1338</v>
      </c>
      <c r="B86" s="22" t="s">
        <v>463</v>
      </c>
      <c r="C86" s="22" t="s">
        <v>1300</v>
      </c>
      <c r="D86" s="23" t="s">
        <v>65</v>
      </c>
      <c r="E86" s="22" t="s">
        <v>1339</v>
      </c>
      <c r="F86" s="22" t="s">
        <v>1340</v>
      </c>
      <c r="G86" s="23" t="s">
        <v>1075</v>
      </c>
      <c r="H86" s="39">
        <v>20</v>
      </c>
      <c r="I86" s="40">
        <v>33</v>
      </c>
      <c r="J86" s="39">
        <v>52</v>
      </c>
      <c r="K86" s="40">
        <v>33</v>
      </c>
      <c r="L86" s="39">
        <v>52</v>
      </c>
      <c r="M86" s="22" t="s">
        <v>1179</v>
      </c>
      <c r="N86" s="22" t="s">
        <v>1341</v>
      </c>
      <c r="O86" s="24" t="s">
        <v>461</v>
      </c>
    </row>
    <row r="87" spans="1:15" ht="25.5" x14ac:dyDescent="0.2">
      <c r="A87" s="23" t="s">
        <v>1342</v>
      </c>
      <c r="B87" s="22" t="s">
        <v>463</v>
      </c>
      <c r="C87" s="22" t="s">
        <v>1343</v>
      </c>
      <c r="D87" s="23" t="s">
        <v>65</v>
      </c>
      <c r="E87" s="22" t="s">
        <v>1344</v>
      </c>
      <c r="F87" s="22" t="s">
        <v>1340</v>
      </c>
      <c r="G87" s="23" t="s">
        <v>1075</v>
      </c>
      <c r="H87" s="39">
        <f>H86*0.75</f>
        <v>15</v>
      </c>
      <c r="I87" s="40">
        <f>I86*0.75</f>
        <v>24.75</v>
      </c>
      <c r="J87" s="39">
        <f>J86*0.75</f>
        <v>39</v>
      </c>
      <c r="K87" s="40">
        <f>K86*0.75</f>
        <v>24.75</v>
      </c>
      <c r="L87" s="39">
        <f>L86*0.75</f>
        <v>39</v>
      </c>
      <c r="M87" s="22" t="s">
        <v>1345</v>
      </c>
      <c r="N87" s="22"/>
      <c r="O87" s="24" t="s">
        <v>466</v>
      </c>
    </row>
    <row r="88" spans="1:15" x14ac:dyDescent="0.2">
      <c r="A88" s="21" t="s">
        <v>1346</v>
      </c>
      <c r="B88" s="22" t="s">
        <v>471</v>
      </c>
      <c r="C88" s="22"/>
      <c r="D88" s="23" t="s">
        <v>65</v>
      </c>
      <c r="E88" s="22" t="s">
        <v>1347</v>
      </c>
      <c r="F88" s="22" t="s">
        <v>1348</v>
      </c>
      <c r="G88" s="23" t="s">
        <v>1075</v>
      </c>
      <c r="H88" s="39">
        <v>5</v>
      </c>
      <c r="I88" s="40">
        <v>10</v>
      </c>
      <c r="J88" s="39">
        <v>18</v>
      </c>
      <c r="K88" s="40">
        <v>8</v>
      </c>
      <c r="L88" s="39">
        <v>12</v>
      </c>
      <c r="M88" s="22" t="s">
        <v>1179</v>
      </c>
      <c r="N88" s="22"/>
      <c r="O88" s="24" t="s">
        <v>469</v>
      </c>
    </row>
    <row r="89" spans="1:15" ht="38.25" x14ac:dyDescent="0.2">
      <c r="A89" s="23" t="s">
        <v>1349</v>
      </c>
      <c r="B89" s="22" t="s">
        <v>476</v>
      </c>
      <c r="C89" s="22" t="s">
        <v>1350</v>
      </c>
      <c r="D89" s="23" t="s">
        <v>65</v>
      </c>
      <c r="E89" s="22" t="s">
        <v>1351</v>
      </c>
      <c r="F89" s="22" t="s">
        <v>1352</v>
      </c>
      <c r="G89" s="23" t="s">
        <v>117</v>
      </c>
      <c r="H89" s="39"/>
      <c r="I89" s="40">
        <v>25000</v>
      </c>
      <c r="J89" s="39"/>
      <c r="K89" s="40">
        <v>25000</v>
      </c>
      <c r="L89" s="39"/>
      <c r="M89" s="22" t="s">
        <v>1174</v>
      </c>
      <c r="N89" s="22"/>
      <c r="O89" s="24" t="s">
        <v>474</v>
      </c>
    </row>
    <row r="90" spans="1:15" x14ac:dyDescent="0.2">
      <c r="A90" s="23" t="s">
        <v>1353</v>
      </c>
      <c r="B90" s="22" t="s">
        <v>476</v>
      </c>
      <c r="C90" s="22" t="s">
        <v>1354</v>
      </c>
      <c r="D90" s="23" t="s">
        <v>65</v>
      </c>
      <c r="E90" s="22" t="s">
        <v>1355</v>
      </c>
      <c r="F90" s="22" t="s">
        <v>1352</v>
      </c>
      <c r="G90" s="23" t="s">
        <v>117</v>
      </c>
      <c r="H90" s="39"/>
      <c r="I90" s="40">
        <v>17000</v>
      </c>
      <c r="J90" s="39"/>
      <c r="K90" s="40">
        <v>17000</v>
      </c>
      <c r="L90" s="39"/>
      <c r="M90" s="22" t="s">
        <v>1179</v>
      </c>
      <c r="N90" s="22"/>
      <c r="O90" s="24" t="s">
        <v>481</v>
      </c>
    </row>
    <row r="91" spans="1:15" ht="25.5" x14ac:dyDescent="0.2">
      <c r="A91" s="23" t="s">
        <v>1356</v>
      </c>
      <c r="B91" s="22" t="s">
        <v>476</v>
      </c>
      <c r="C91" s="22" t="s">
        <v>1357</v>
      </c>
      <c r="D91" s="23" t="s">
        <v>65</v>
      </c>
      <c r="E91" s="22" t="s">
        <v>1358</v>
      </c>
      <c r="F91" s="22" t="s">
        <v>1352</v>
      </c>
      <c r="G91" s="23" t="s">
        <v>117</v>
      </c>
      <c r="H91" s="39"/>
      <c r="I91" s="40">
        <v>42000</v>
      </c>
      <c r="J91" s="39"/>
      <c r="K91" s="40">
        <v>42000</v>
      </c>
      <c r="L91" s="39"/>
      <c r="M91" s="22" t="s">
        <v>1179</v>
      </c>
      <c r="N91" s="22"/>
      <c r="O91" s="24" t="s">
        <v>484</v>
      </c>
    </row>
    <row r="92" spans="1:15" x14ac:dyDescent="0.2">
      <c r="A92" s="23" t="s">
        <v>1359</v>
      </c>
      <c r="B92" s="22" t="s">
        <v>476</v>
      </c>
      <c r="C92" s="22" t="s">
        <v>1360</v>
      </c>
      <c r="D92" s="23" t="s">
        <v>65</v>
      </c>
      <c r="E92" s="22" t="s">
        <v>1361</v>
      </c>
      <c r="F92" s="22" t="s">
        <v>1352</v>
      </c>
      <c r="G92" s="23" t="s">
        <v>117</v>
      </c>
      <c r="H92" s="39"/>
      <c r="I92" s="40">
        <v>30000</v>
      </c>
      <c r="J92" s="39"/>
      <c r="K92" s="40">
        <v>30000</v>
      </c>
      <c r="L92" s="39"/>
      <c r="M92" s="22" t="s">
        <v>1174</v>
      </c>
      <c r="N92" s="22"/>
      <c r="O92" s="24" t="s">
        <v>487</v>
      </c>
    </row>
    <row r="93" spans="1:15" ht="25.5" x14ac:dyDescent="0.2">
      <c r="A93" s="23" t="s">
        <v>1362</v>
      </c>
      <c r="B93" s="22" t="s">
        <v>476</v>
      </c>
      <c r="C93" s="22" t="s">
        <v>1363</v>
      </c>
      <c r="D93" s="23" t="s">
        <v>65</v>
      </c>
      <c r="E93" s="22" t="s">
        <v>1364</v>
      </c>
      <c r="F93" s="22" t="s">
        <v>1352</v>
      </c>
      <c r="G93" s="23" t="s">
        <v>117</v>
      </c>
      <c r="H93" s="39"/>
      <c r="I93" s="40">
        <v>115000</v>
      </c>
      <c r="J93" s="39"/>
      <c r="K93" s="40">
        <v>115000</v>
      </c>
      <c r="L93" s="39"/>
      <c r="M93" s="22" t="s">
        <v>1179</v>
      </c>
      <c r="N93" s="22" t="s">
        <v>1365</v>
      </c>
      <c r="O93" s="24" t="s">
        <v>490</v>
      </c>
    </row>
    <row r="94" spans="1:15" x14ac:dyDescent="0.2">
      <c r="A94" s="23" t="s">
        <v>1366</v>
      </c>
      <c r="B94" s="22" t="s">
        <v>476</v>
      </c>
      <c r="C94" s="22" t="s">
        <v>1367</v>
      </c>
      <c r="D94" s="23" t="s">
        <v>65</v>
      </c>
      <c r="E94" s="22" t="s">
        <v>1368</v>
      </c>
      <c r="F94" s="22" t="s">
        <v>1352</v>
      </c>
      <c r="G94" s="23" t="s">
        <v>117</v>
      </c>
      <c r="H94" s="39"/>
      <c r="I94" s="40">
        <v>52000</v>
      </c>
      <c r="J94" s="39"/>
      <c r="K94" s="40">
        <v>52000</v>
      </c>
      <c r="L94" s="39"/>
      <c r="M94" s="22" t="s">
        <v>1179</v>
      </c>
      <c r="N94" s="22"/>
      <c r="O94" s="24" t="s">
        <v>493</v>
      </c>
    </row>
    <row r="95" spans="1:15" ht="25.5" x14ac:dyDescent="0.2">
      <c r="A95" s="21" t="s">
        <v>507</v>
      </c>
      <c r="B95" s="22" t="s">
        <v>499</v>
      </c>
      <c r="C95" s="22"/>
      <c r="D95" s="23" t="s">
        <v>65</v>
      </c>
      <c r="E95" s="22" t="s">
        <v>1369</v>
      </c>
      <c r="F95" s="22" t="s">
        <v>1370</v>
      </c>
      <c r="G95" s="23" t="s">
        <v>1075</v>
      </c>
      <c r="H95" s="39">
        <v>10</v>
      </c>
      <c r="I95" s="40">
        <v>18</v>
      </c>
      <c r="J95" s="39">
        <v>30</v>
      </c>
      <c r="K95" s="40">
        <v>14</v>
      </c>
      <c r="L95" s="39">
        <v>25</v>
      </c>
      <c r="M95" s="22" t="s">
        <v>1179</v>
      </c>
      <c r="N95" s="22" t="s">
        <v>1371</v>
      </c>
      <c r="O95" s="24" t="s">
        <v>496</v>
      </c>
    </row>
    <row r="96" spans="1:15" ht="25.5" x14ac:dyDescent="0.2">
      <c r="A96" s="21" t="s">
        <v>298</v>
      </c>
      <c r="B96" s="22" t="s">
        <v>504</v>
      </c>
      <c r="C96" s="22"/>
      <c r="D96" s="23" t="s">
        <v>65</v>
      </c>
      <c r="E96" s="22" t="s">
        <v>1372</v>
      </c>
      <c r="F96" s="22" t="s">
        <v>1373</v>
      </c>
      <c r="G96" s="23" t="s">
        <v>1075</v>
      </c>
      <c r="H96" s="39"/>
      <c r="I96" s="40">
        <v>15</v>
      </c>
      <c r="J96" s="39">
        <v>50</v>
      </c>
      <c r="K96" s="40">
        <v>15</v>
      </c>
      <c r="L96" s="39">
        <v>50</v>
      </c>
      <c r="M96" s="22" t="s">
        <v>1179</v>
      </c>
      <c r="N96" s="22" t="s">
        <v>1374</v>
      </c>
      <c r="O96" s="24" t="s">
        <v>502</v>
      </c>
    </row>
    <row r="97" spans="1:15" ht="38.25" x14ac:dyDescent="0.2">
      <c r="A97" s="21" t="s">
        <v>365</v>
      </c>
      <c r="B97" s="22" t="s">
        <v>510</v>
      </c>
      <c r="C97" s="22"/>
      <c r="D97" s="23" t="s">
        <v>65</v>
      </c>
      <c r="E97" s="22" t="s">
        <v>1375</v>
      </c>
      <c r="F97" s="22" t="s">
        <v>1376</v>
      </c>
      <c r="G97" s="23" t="s">
        <v>511</v>
      </c>
      <c r="H97" s="39">
        <v>4000</v>
      </c>
      <c r="I97" s="40">
        <v>6000</v>
      </c>
      <c r="J97" s="39">
        <v>9000</v>
      </c>
      <c r="K97" s="40">
        <v>6000</v>
      </c>
      <c r="L97" s="39">
        <v>9000</v>
      </c>
      <c r="M97" s="22" t="s">
        <v>1174</v>
      </c>
      <c r="N97" s="22"/>
      <c r="O97" s="24" t="s">
        <v>508</v>
      </c>
    </row>
    <row r="98" spans="1:15" ht="25.5" x14ac:dyDescent="0.2">
      <c r="A98" s="21" t="s">
        <v>437</v>
      </c>
      <c r="B98" s="22" t="s">
        <v>520</v>
      </c>
      <c r="C98" s="22"/>
      <c r="D98" s="23" t="s">
        <v>65</v>
      </c>
      <c r="E98" s="22" t="s">
        <v>1377</v>
      </c>
      <c r="F98" s="22" t="s">
        <v>1378</v>
      </c>
      <c r="G98" s="23" t="s">
        <v>1075</v>
      </c>
      <c r="H98" s="39">
        <v>8</v>
      </c>
      <c r="I98" s="40">
        <v>18</v>
      </c>
      <c r="J98" s="39">
        <v>35</v>
      </c>
      <c r="K98" s="40">
        <v>15</v>
      </c>
      <c r="L98" s="39">
        <v>30</v>
      </c>
      <c r="M98" s="22" t="s">
        <v>1179</v>
      </c>
      <c r="N98" s="22" t="s">
        <v>1379</v>
      </c>
      <c r="O98" s="24" t="s">
        <v>517</v>
      </c>
    </row>
    <row r="99" spans="1:15" x14ac:dyDescent="0.2">
      <c r="A99" s="21" t="s">
        <v>563</v>
      </c>
      <c r="B99" s="22" t="s">
        <v>526</v>
      </c>
      <c r="C99" s="22"/>
      <c r="D99" s="23" t="s">
        <v>65</v>
      </c>
      <c r="E99" s="22" t="s">
        <v>1380</v>
      </c>
      <c r="F99" s="22" t="s">
        <v>1373</v>
      </c>
      <c r="G99" s="23" t="s">
        <v>1075</v>
      </c>
      <c r="H99" s="39">
        <v>5</v>
      </c>
      <c r="I99" s="40">
        <v>15</v>
      </c>
      <c r="J99" s="39">
        <v>30</v>
      </c>
      <c r="K99" s="40">
        <v>8</v>
      </c>
      <c r="L99" s="39">
        <v>20</v>
      </c>
      <c r="M99" s="22" t="s">
        <v>1179</v>
      </c>
      <c r="N99" s="22" t="s">
        <v>1316</v>
      </c>
      <c r="O99" s="24" t="s">
        <v>524</v>
      </c>
    </row>
    <row r="100" spans="1:15" ht="25.5" x14ac:dyDescent="0.2">
      <c r="A100" s="23" t="s">
        <v>1381</v>
      </c>
      <c r="B100" s="22" t="s">
        <v>531</v>
      </c>
      <c r="C100" s="22" t="s">
        <v>1382</v>
      </c>
      <c r="D100" s="23" t="s">
        <v>65</v>
      </c>
      <c r="E100" s="22" t="s">
        <v>1383</v>
      </c>
      <c r="F100" s="22" t="s">
        <v>1384</v>
      </c>
      <c r="G100" s="23" t="s">
        <v>1385</v>
      </c>
      <c r="H100" s="39">
        <v>25000</v>
      </c>
      <c r="I100" s="40">
        <v>40000</v>
      </c>
      <c r="J100" s="39">
        <v>60000</v>
      </c>
      <c r="K100" s="40">
        <v>40000</v>
      </c>
      <c r="L100" s="39">
        <v>60000</v>
      </c>
      <c r="M100" s="22" t="s">
        <v>1179</v>
      </c>
      <c r="N100" s="22" t="s">
        <v>1386</v>
      </c>
      <c r="O100" s="24" t="s">
        <v>529</v>
      </c>
    </row>
    <row r="101" spans="1:15" ht="25.5" x14ac:dyDescent="0.2">
      <c r="A101" s="23" t="s">
        <v>1387</v>
      </c>
      <c r="B101" s="22" t="s">
        <v>531</v>
      </c>
      <c r="C101" s="22" t="s">
        <v>1388</v>
      </c>
      <c r="D101" s="23" t="s">
        <v>65</v>
      </c>
      <c r="E101" s="22" t="s">
        <v>1389</v>
      </c>
      <c r="F101" s="22" t="s">
        <v>1384</v>
      </c>
      <c r="G101" s="23" t="s">
        <v>1385</v>
      </c>
      <c r="H101" s="39">
        <v>15000</v>
      </c>
      <c r="I101" s="40">
        <v>20000</v>
      </c>
      <c r="J101" s="39">
        <v>30000</v>
      </c>
      <c r="K101" s="40">
        <v>20000</v>
      </c>
      <c r="L101" s="39">
        <v>30000</v>
      </c>
      <c r="M101" s="22" t="s">
        <v>1174</v>
      </c>
      <c r="N101" s="22" t="s">
        <v>1390</v>
      </c>
      <c r="O101" s="24" t="s">
        <v>537</v>
      </c>
    </row>
    <row r="102" spans="1:15" ht="25.5" x14ac:dyDescent="0.2">
      <c r="A102" s="23" t="s">
        <v>1391</v>
      </c>
      <c r="B102" s="22" t="s">
        <v>531</v>
      </c>
      <c r="C102" s="22" t="s">
        <v>1392</v>
      </c>
      <c r="D102" s="23" t="s">
        <v>65</v>
      </c>
      <c r="E102" s="22" t="s">
        <v>1393</v>
      </c>
      <c r="F102" s="22" t="s">
        <v>1384</v>
      </c>
      <c r="G102" s="23" t="s">
        <v>1385</v>
      </c>
      <c r="H102" s="39">
        <v>50000</v>
      </c>
      <c r="I102" s="40">
        <v>70000</v>
      </c>
      <c r="J102" s="39">
        <v>100000</v>
      </c>
      <c r="K102" s="40">
        <v>70000</v>
      </c>
      <c r="L102" s="39">
        <v>100000</v>
      </c>
      <c r="M102" s="22" t="s">
        <v>1174</v>
      </c>
      <c r="N102" s="22" t="s">
        <v>1394</v>
      </c>
      <c r="O102" s="24" t="s">
        <v>540</v>
      </c>
    </row>
    <row r="103" spans="1:15" ht="25.5" x14ac:dyDescent="0.2">
      <c r="A103" s="21" t="s">
        <v>1395</v>
      </c>
      <c r="B103" s="22" t="s">
        <v>546</v>
      </c>
      <c r="C103" s="22"/>
      <c r="D103" s="23" t="s">
        <v>65</v>
      </c>
      <c r="E103" s="22" t="s">
        <v>1396</v>
      </c>
      <c r="F103" s="22" t="s">
        <v>1397</v>
      </c>
      <c r="G103" s="23" t="s">
        <v>547</v>
      </c>
      <c r="H103" s="39">
        <v>800</v>
      </c>
      <c r="I103" s="40">
        <v>1200</v>
      </c>
      <c r="J103" s="39">
        <v>2000</v>
      </c>
      <c r="K103" s="40">
        <v>1200</v>
      </c>
      <c r="L103" s="39">
        <v>2000</v>
      </c>
      <c r="M103" s="22" t="s">
        <v>1179</v>
      </c>
      <c r="N103" s="22" t="s">
        <v>1398</v>
      </c>
      <c r="O103" s="24" t="s">
        <v>543</v>
      </c>
    </row>
    <row r="104" spans="1:15" x14ac:dyDescent="0.2">
      <c r="A104" s="21" t="s">
        <v>528</v>
      </c>
      <c r="B104" s="22" t="s">
        <v>553</v>
      </c>
      <c r="C104" s="22"/>
      <c r="D104" s="23" t="s">
        <v>65</v>
      </c>
      <c r="E104" s="22" t="s">
        <v>1399</v>
      </c>
      <c r="F104" s="22" t="s">
        <v>1400</v>
      </c>
      <c r="G104" s="23" t="s">
        <v>554</v>
      </c>
      <c r="H104" s="39">
        <v>300</v>
      </c>
      <c r="I104" s="40">
        <v>400</v>
      </c>
      <c r="J104" s="39">
        <v>650</v>
      </c>
      <c r="K104" s="40">
        <v>400</v>
      </c>
      <c r="L104" s="39">
        <v>650</v>
      </c>
      <c r="M104" s="22" t="s">
        <v>1179</v>
      </c>
      <c r="N104" s="22"/>
      <c r="O104" s="24" t="s">
        <v>551</v>
      </c>
    </row>
    <row r="105" spans="1:15" ht="25.5" x14ac:dyDescent="0.2">
      <c r="A105" s="21" t="s">
        <v>536</v>
      </c>
      <c r="B105" s="22" t="s">
        <v>558</v>
      </c>
      <c r="C105" s="22"/>
      <c r="D105" s="23" t="s">
        <v>65</v>
      </c>
      <c r="E105" s="22" t="s">
        <v>1401</v>
      </c>
      <c r="F105" s="22" t="s">
        <v>1402</v>
      </c>
      <c r="G105" s="23" t="s">
        <v>559</v>
      </c>
      <c r="H105" s="39"/>
      <c r="I105" s="40">
        <v>1500</v>
      </c>
      <c r="J105" s="39">
        <v>2500</v>
      </c>
      <c r="K105" s="40">
        <v>1500</v>
      </c>
      <c r="L105" s="39">
        <v>2500</v>
      </c>
      <c r="M105" s="22" t="s">
        <v>1179</v>
      </c>
      <c r="N105" s="22"/>
      <c r="O105" s="24" t="s">
        <v>556</v>
      </c>
    </row>
    <row r="106" spans="1:15" ht="38.25" x14ac:dyDescent="0.2">
      <c r="A106" s="23" t="s">
        <v>1403</v>
      </c>
      <c r="B106" s="22" t="s">
        <v>567</v>
      </c>
      <c r="C106" s="22" t="s">
        <v>1318</v>
      </c>
      <c r="D106" s="23" t="s">
        <v>65</v>
      </c>
      <c r="E106" s="22" t="s">
        <v>1404</v>
      </c>
      <c r="F106" s="22"/>
      <c r="G106" s="23" t="s">
        <v>117</v>
      </c>
      <c r="H106" s="39"/>
      <c r="I106" s="40">
        <v>6000</v>
      </c>
      <c r="J106" s="39"/>
      <c r="K106" s="40">
        <v>6000</v>
      </c>
      <c r="L106" s="39"/>
      <c r="M106" s="22" t="s">
        <v>1174</v>
      </c>
      <c r="N106" s="22"/>
      <c r="O106" s="24" t="s">
        <v>564</v>
      </c>
    </row>
    <row r="107" spans="1:15" ht="25.5" x14ac:dyDescent="0.2">
      <c r="A107" s="23" t="s">
        <v>1405</v>
      </c>
      <c r="B107" s="22" t="s">
        <v>567</v>
      </c>
      <c r="C107" s="22" t="s">
        <v>1322</v>
      </c>
      <c r="D107" s="23" t="s">
        <v>65</v>
      </c>
      <c r="E107" s="22" t="s">
        <v>1406</v>
      </c>
      <c r="F107" s="22"/>
      <c r="G107" s="23" t="s">
        <v>117</v>
      </c>
      <c r="H107" s="39"/>
      <c r="I107" s="40">
        <v>11000</v>
      </c>
      <c r="J107" s="39"/>
      <c r="K107" s="40">
        <v>11000</v>
      </c>
      <c r="L107" s="39"/>
      <c r="M107" s="22" t="s">
        <v>1179</v>
      </c>
      <c r="N107" s="22"/>
      <c r="O107" s="24" t="s">
        <v>571</v>
      </c>
    </row>
    <row r="108" spans="1:15" ht="25.5" x14ac:dyDescent="0.2">
      <c r="A108" s="23" t="s">
        <v>1407</v>
      </c>
      <c r="B108" s="22" t="s">
        <v>567</v>
      </c>
      <c r="C108" s="22" t="s">
        <v>1326</v>
      </c>
      <c r="D108" s="23" t="s">
        <v>65</v>
      </c>
      <c r="E108" s="22" t="s">
        <v>1408</v>
      </c>
      <c r="F108" s="22"/>
      <c r="G108" s="23" t="s">
        <v>117</v>
      </c>
      <c r="H108" s="39"/>
      <c r="I108" s="40">
        <v>21000</v>
      </c>
      <c r="J108" s="39"/>
      <c r="K108" s="40">
        <v>21000</v>
      </c>
      <c r="L108" s="39"/>
      <c r="M108" s="22" t="s">
        <v>1179</v>
      </c>
      <c r="N108" s="22"/>
      <c r="O108" s="24" t="s">
        <v>573</v>
      </c>
    </row>
    <row r="109" spans="1:15" ht="38.25" x14ac:dyDescent="0.2">
      <c r="A109" s="23" t="s">
        <v>1409</v>
      </c>
      <c r="B109" s="22" t="s">
        <v>577</v>
      </c>
      <c r="C109" s="22" t="s">
        <v>1318</v>
      </c>
      <c r="D109" s="23" t="s">
        <v>65</v>
      </c>
      <c r="E109" s="22" t="s">
        <v>1410</v>
      </c>
      <c r="F109" s="22" t="s">
        <v>1411</v>
      </c>
      <c r="G109" s="23" t="s">
        <v>117</v>
      </c>
      <c r="H109" s="39"/>
      <c r="I109" s="40">
        <v>8000</v>
      </c>
      <c r="J109" s="39"/>
      <c r="K109" s="40">
        <v>8000</v>
      </c>
      <c r="L109" s="39"/>
      <c r="M109" s="22" t="s">
        <v>1174</v>
      </c>
      <c r="N109" s="22"/>
      <c r="O109" s="24" t="s">
        <v>575</v>
      </c>
    </row>
    <row r="110" spans="1:15" ht="25.5" x14ac:dyDescent="0.2">
      <c r="A110" s="23" t="s">
        <v>1412</v>
      </c>
      <c r="B110" s="22" t="s">
        <v>577</v>
      </c>
      <c r="C110" s="22" t="s">
        <v>1322</v>
      </c>
      <c r="D110" s="23" t="s">
        <v>65</v>
      </c>
      <c r="E110" s="22" t="s">
        <v>1413</v>
      </c>
      <c r="F110" s="22" t="s">
        <v>1411</v>
      </c>
      <c r="G110" s="23" t="s">
        <v>117</v>
      </c>
      <c r="H110" s="39"/>
      <c r="I110" s="40">
        <v>16000</v>
      </c>
      <c r="J110" s="39"/>
      <c r="K110" s="40">
        <v>16000</v>
      </c>
      <c r="L110" s="39"/>
      <c r="M110" s="22" t="s">
        <v>1179</v>
      </c>
      <c r="N110" s="22"/>
      <c r="O110" s="24" t="s">
        <v>580</v>
      </c>
    </row>
    <row r="111" spans="1:15" x14ac:dyDescent="0.2">
      <c r="A111" s="23" t="s">
        <v>1414</v>
      </c>
      <c r="B111" s="22" t="s">
        <v>577</v>
      </c>
      <c r="C111" s="22" t="s">
        <v>1326</v>
      </c>
      <c r="D111" s="23" t="s">
        <v>65</v>
      </c>
      <c r="E111" s="22" t="s">
        <v>1415</v>
      </c>
      <c r="F111" s="22" t="s">
        <v>1411</v>
      </c>
      <c r="G111" s="23" t="s">
        <v>117</v>
      </c>
      <c r="H111" s="39"/>
      <c r="I111" s="40">
        <v>38000</v>
      </c>
      <c r="J111" s="39"/>
      <c r="K111" s="40">
        <v>38000</v>
      </c>
      <c r="L111" s="39"/>
      <c r="M111" s="22" t="s">
        <v>1179</v>
      </c>
      <c r="N111" s="22"/>
      <c r="O111" s="24" t="s">
        <v>582</v>
      </c>
    </row>
    <row r="112" spans="1:15" ht="25.5" x14ac:dyDescent="0.2">
      <c r="A112" s="21" t="s">
        <v>1416</v>
      </c>
      <c r="B112" s="22" t="s">
        <v>586</v>
      </c>
      <c r="C112" s="22"/>
      <c r="D112" s="23" t="s">
        <v>65</v>
      </c>
      <c r="E112" s="22" t="s">
        <v>1417</v>
      </c>
      <c r="F112" s="22" t="s">
        <v>1418</v>
      </c>
      <c r="G112" s="23" t="s">
        <v>587</v>
      </c>
      <c r="H112" s="39"/>
      <c r="I112" s="40">
        <v>90</v>
      </c>
      <c r="J112" s="39">
        <v>155</v>
      </c>
      <c r="K112" s="40">
        <v>90</v>
      </c>
      <c r="L112" s="39">
        <v>155</v>
      </c>
      <c r="M112" s="22" t="s">
        <v>1179</v>
      </c>
      <c r="N112" s="22"/>
      <c r="O112" s="24" t="s">
        <v>584</v>
      </c>
    </row>
    <row r="113" spans="1:15" ht="25.5" x14ac:dyDescent="0.2">
      <c r="A113" s="21" t="s">
        <v>589</v>
      </c>
      <c r="B113" s="22" t="s">
        <v>592</v>
      </c>
      <c r="C113" s="22"/>
      <c r="D113" s="23" t="s">
        <v>65</v>
      </c>
      <c r="E113" s="22" t="s">
        <v>1419</v>
      </c>
      <c r="F113" s="22" t="s">
        <v>1420</v>
      </c>
      <c r="G113" s="23" t="s">
        <v>593</v>
      </c>
      <c r="H113" s="39"/>
      <c r="I113" s="40">
        <v>1000</v>
      </c>
      <c r="J113" s="39">
        <v>1650</v>
      </c>
      <c r="K113" s="40">
        <v>1000</v>
      </c>
      <c r="L113" s="39">
        <v>1650</v>
      </c>
      <c r="M113" s="22" t="s">
        <v>1179</v>
      </c>
      <c r="N113" s="22"/>
      <c r="O113" s="24" t="s">
        <v>590</v>
      </c>
    </row>
    <row r="114" spans="1:15" ht="25.5" x14ac:dyDescent="0.2">
      <c r="A114" s="21" t="s">
        <v>579</v>
      </c>
      <c r="B114" s="22" t="s">
        <v>599</v>
      </c>
      <c r="C114" s="22"/>
      <c r="D114" s="23" t="s">
        <v>65</v>
      </c>
      <c r="E114" s="22" t="s">
        <v>1421</v>
      </c>
      <c r="F114" s="22" t="s">
        <v>1422</v>
      </c>
      <c r="G114" s="23" t="s">
        <v>1423</v>
      </c>
      <c r="H114" s="39"/>
      <c r="I114" s="40">
        <v>620</v>
      </c>
      <c r="J114" s="39">
        <v>1050</v>
      </c>
      <c r="K114" s="40">
        <v>620</v>
      </c>
      <c r="L114" s="39">
        <v>1050</v>
      </c>
      <c r="M114" s="22" t="s">
        <v>1179</v>
      </c>
      <c r="N114" s="22"/>
      <c r="O114" s="24" t="s">
        <v>597</v>
      </c>
    </row>
    <row r="115" spans="1:15" ht="38.25" x14ac:dyDescent="0.2">
      <c r="A115" s="23" t="s">
        <v>1424</v>
      </c>
      <c r="B115" s="22" t="s">
        <v>606</v>
      </c>
      <c r="C115" s="22" t="s">
        <v>1318</v>
      </c>
      <c r="D115" s="23" t="s">
        <v>65</v>
      </c>
      <c r="E115" s="22" t="s">
        <v>1425</v>
      </c>
      <c r="F115" s="22" t="s">
        <v>1426</v>
      </c>
      <c r="G115" s="23" t="s">
        <v>117</v>
      </c>
      <c r="H115" s="39"/>
      <c r="I115" s="40">
        <v>18000</v>
      </c>
      <c r="J115" s="39"/>
      <c r="K115" s="40">
        <v>18000</v>
      </c>
      <c r="L115" s="39"/>
      <c r="M115" s="22" t="s">
        <v>1174</v>
      </c>
      <c r="N115" s="22"/>
      <c r="O115" s="24" t="s">
        <v>604</v>
      </c>
    </row>
    <row r="116" spans="1:15" ht="25.5" x14ac:dyDescent="0.2">
      <c r="A116" s="23" t="s">
        <v>1427</v>
      </c>
      <c r="B116" s="22" t="s">
        <v>606</v>
      </c>
      <c r="C116" s="22" t="s">
        <v>1322</v>
      </c>
      <c r="D116" s="23" t="s">
        <v>65</v>
      </c>
      <c r="E116" s="22" t="s">
        <v>1428</v>
      </c>
      <c r="F116" s="22" t="s">
        <v>1426</v>
      </c>
      <c r="G116" s="23" t="s">
        <v>117</v>
      </c>
      <c r="H116" s="39"/>
      <c r="I116" s="40">
        <v>32000</v>
      </c>
      <c r="J116" s="39"/>
      <c r="K116" s="40">
        <v>32000</v>
      </c>
      <c r="L116" s="39"/>
      <c r="M116" s="22" t="s">
        <v>1179</v>
      </c>
      <c r="N116" s="22"/>
      <c r="O116" s="24" t="s">
        <v>609</v>
      </c>
    </row>
    <row r="117" spans="1:15" x14ac:dyDescent="0.2">
      <c r="A117" s="23" t="s">
        <v>1429</v>
      </c>
      <c r="B117" s="22" t="s">
        <v>606</v>
      </c>
      <c r="C117" s="22" t="s">
        <v>1326</v>
      </c>
      <c r="D117" s="23" t="s">
        <v>65</v>
      </c>
      <c r="E117" s="22" t="s">
        <v>1430</v>
      </c>
      <c r="F117" s="22" t="s">
        <v>1426</v>
      </c>
      <c r="G117" s="23" t="s">
        <v>117</v>
      </c>
      <c r="H117" s="39"/>
      <c r="I117" s="40">
        <v>88000</v>
      </c>
      <c r="J117" s="39"/>
      <c r="K117" s="40">
        <v>88000</v>
      </c>
      <c r="L117" s="39"/>
      <c r="M117" s="22" t="s">
        <v>1179</v>
      </c>
      <c r="N117" s="22"/>
      <c r="O117" s="24" t="s">
        <v>611</v>
      </c>
    </row>
    <row r="118" spans="1:15" ht="38.25" x14ac:dyDescent="0.2">
      <c r="A118" s="21" t="s">
        <v>1431</v>
      </c>
      <c r="B118" s="22" t="s">
        <v>739</v>
      </c>
      <c r="C118" s="22"/>
      <c r="D118" s="23" t="s">
        <v>65</v>
      </c>
      <c r="E118" s="22" t="s">
        <v>1432</v>
      </c>
      <c r="F118" s="22"/>
      <c r="G118" s="23" t="s">
        <v>1075</v>
      </c>
      <c r="H118" s="39">
        <v>8</v>
      </c>
      <c r="I118" s="40">
        <v>18</v>
      </c>
      <c r="J118" s="39">
        <v>30</v>
      </c>
      <c r="K118" s="40">
        <v>12</v>
      </c>
      <c r="L118" s="39">
        <v>24</v>
      </c>
      <c r="M118" s="22" t="s">
        <v>1179</v>
      </c>
      <c r="N118" s="22" t="s">
        <v>1433</v>
      </c>
      <c r="O118" s="24" t="s">
        <v>736</v>
      </c>
    </row>
    <row r="119" spans="1:15" x14ac:dyDescent="0.2">
      <c r="A119" s="25" t="s">
        <v>1434</v>
      </c>
      <c r="B119" s="26"/>
      <c r="C119" s="26"/>
      <c r="D119" s="25"/>
      <c r="E119" s="26"/>
      <c r="F119" s="26"/>
      <c r="G119" s="25"/>
      <c r="H119" s="41"/>
      <c r="I119" s="42"/>
      <c r="J119" s="41"/>
      <c r="K119" s="42"/>
      <c r="L119" s="41"/>
      <c r="M119" s="26"/>
      <c r="N119" s="26"/>
      <c r="O119" s="27"/>
    </row>
    <row r="120" spans="1:15" ht="38.25" x14ac:dyDescent="0.2">
      <c r="A120" s="23" t="s">
        <v>1435</v>
      </c>
      <c r="B120" s="22" t="s">
        <v>616</v>
      </c>
      <c r="C120" s="22" t="s">
        <v>1436</v>
      </c>
      <c r="D120" s="23" t="s">
        <v>65</v>
      </c>
      <c r="E120" s="22" t="s">
        <v>1437</v>
      </c>
      <c r="F120" s="22" t="s">
        <v>1438</v>
      </c>
      <c r="G120" s="23" t="s">
        <v>1075</v>
      </c>
      <c r="H120" s="39">
        <v>20</v>
      </c>
      <c r="I120" s="40">
        <v>45</v>
      </c>
      <c r="J120" s="39">
        <v>100</v>
      </c>
      <c r="K120" s="40">
        <v>27</v>
      </c>
      <c r="L120" s="39">
        <v>63</v>
      </c>
      <c r="M120" s="22" t="s">
        <v>1179</v>
      </c>
      <c r="N120" s="22"/>
      <c r="O120" s="24" t="s">
        <v>613</v>
      </c>
    </row>
    <row r="121" spans="1:15" x14ac:dyDescent="0.2">
      <c r="A121" s="23" t="s">
        <v>1439</v>
      </c>
      <c r="B121" s="22" t="s">
        <v>616</v>
      </c>
      <c r="C121" s="22" t="s">
        <v>1440</v>
      </c>
      <c r="D121" s="23" t="s">
        <v>65</v>
      </c>
      <c r="E121" s="22" t="s">
        <v>1441</v>
      </c>
      <c r="F121" s="22" t="s">
        <v>1438</v>
      </c>
      <c r="G121" s="23" t="s">
        <v>1075</v>
      </c>
      <c r="H121" s="39">
        <f>H120*0.5</f>
        <v>10</v>
      </c>
      <c r="I121" s="40">
        <f>I120*0.5</f>
        <v>22.5</v>
      </c>
      <c r="J121" s="39">
        <f>J120*0.5</f>
        <v>50</v>
      </c>
      <c r="K121" s="40">
        <f>K120*0.5</f>
        <v>13.5</v>
      </c>
      <c r="L121" s="39">
        <f>L120*0.5</f>
        <v>31.5</v>
      </c>
      <c r="M121" s="22" t="s">
        <v>1442</v>
      </c>
      <c r="N121" s="22"/>
      <c r="O121" s="24" t="s">
        <v>622</v>
      </c>
    </row>
    <row r="122" spans="1:15" ht="25.5" x14ac:dyDescent="0.2">
      <c r="A122" s="23" t="s">
        <v>1443</v>
      </c>
      <c r="B122" s="22" t="s">
        <v>616</v>
      </c>
      <c r="C122" s="22" t="s">
        <v>1444</v>
      </c>
      <c r="D122" s="23" t="s">
        <v>65</v>
      </c>
      <c r="E122" s="22" t="s">
        <v>1445</v>
      </c>
      <c r="F122" s="22" t="s">
        <v>1438</v>
      </c>
      <c r="G122" s="23" t="s">
        <v>1075</v>
      </c>
      <c r="H122" s="39">
        <f>H120*2</f>
        <v>40</v>
      </c>
      <c r="I122" s="40">
        <f>I120*2</f>
        <v>90</v>
      </c>
      <c r="J122" s="39">
        <f>J120*2</f>
        <v>200</v>
      </c>
      <c r="K122" s="40">
        <f>K120*2</f>
        <v>54</v>
      </c>
      <c r="L122" s="39">
        <f>L120*2</f>
        <v>126</v>
      </c>
      <c r="M122" s="22" t="s">
        <v>1446</v>
      </c>
      <c r="N122" s="22"/>
      <c r="O122" s="24" t="s">
        <v>625</v>
      </c>
    </row>
    <row r="123" spans="1:15" ht="38.25" x14ac:dyDescent="0.2">
      <c r="A123" s="21" t="s">
        <v>1447</v>
      </c>
      <c r="B123" s="22" t="s">
        <v>630</v>
      </c>
      <c r="C123" s="22"/>
      <c r="D123" s="23" t="s">
        <v>65</v>
      </c>
      <c r="E123" s="22" t="s">
        <v>1448</v>
      </c>
      <c r="F123" s="22" t="s">
        <v>1449</v>
      </c>
      <c r="G123" s="23" t="s">
        <v>1075</v>
      </c>
      <c r="H123" s="39">
        <v>30</v>
      </c>
      <c r="I123" s="40">
        <v>60</v>
      </c>
      <c r="J123" s="39">
        <v>110</v>
      </c>
      <c r="K123" s="40">
        <v>20</v>
      </c>
      <c r="L123" s="39">
        <v>40</v>
      </c>
      <c r="M123" s="22" t="s">
        <v>1174</v>
      </c>
      <c r="N123" s="22" t="s">
        <v>1450</v>
      </c>
      <c r="O123" s="24" t="s">
        <v>628</v>
      </c>
    </row>
    <row r="124" spans="1:15" ht="25.5" x14ac:dyDescent="0.2">
      <c r="A124" s="21" t="s">
        <v>639</v>
      </c>
      <c r="B124" s="22" t="s">
        <v>636</v>
      </c>
      <c r="C124" s="22"/>
      <c r="D124" s="23" t="s">
        <v>65</v>
      </c>
      <c r="E124" s="22" t="s">
        <v>1451</v>
      </c>
      <c r="F124" s="22" t="s">
        <v>1452</v>
      </c>
      <c r="G124" s="23" t="s">
        <v>637</v>
      </c>
      <c r="H124" s="39">
        <v>12</v>
      </c>
      <c r="I124" s="40">
        <v>25</v>
      </c>
      <c r="J124" s="39">
        <v>50</v>
      </c>
      <c r="K124" s="40">
        <v>12</v>
      </c>
      <c r="L124" s="39">
        <v>38</v>
      </c>
      <c r="M124" s="22" t="s">
        <v>1179</v>
      </c>
      <c r="N124" s="22"/>
      <c r="O124" s="24" t="s">
        <v>634</v>
      </c>
    </row>
    <row r="125" spans="1:15" x14ac:dyDescent="0.2">
      <c r="A125" s="25" t="s">
        <v>1453</v>
      </c>
      <c r="B125" s="26"/>
      <c r="C125" s="26"/>
      <c r="D125" s="25"/>
      <c r="E125" s="26"/>
      <c r="F125" s="26"/>
      <c r="G125" s="25"/>
      <c r="H125" s="41"/>
      <c r="I125" s="42"/>
      <c r="J125" s="41"/>
      <c r="K125" s="42"/>
      <c r="L125" s="41"/>
      <c r="M125" s="26"/>
      <c r="N125" s="26"/>
      <c r="O125" s="27"/>
    </row>
    <row r="126" spans="1:15" ht="25.5" x14ac:dyDescent="0.2">
      <c r="A126" s="21" t="s">
        <v>111</v>
      </c>
      <c r="B126" s="22" t="s">
        <v>644</v>
      </c>
      <c r="C126" s="22"/>
      <c r="D126" s="23" t="s">
        <v>65</v>
      </c>
      <c r="E126" s="22" t="s">
        <v>1454</v>
      </c>
      <c r="F126" s="22" t="s">
        <v>1455</v>
      </c>
      <c r="G126" s="23" t="s">
        <v>645</v>
      </c>
      <c r="H126" s="39">
        <v>7</v>
      </c>
      <c r="I126" s="40">
        <v>10</v>
      </c>
      <c r="J126" s="39">
        <v>16</v>
      </c>
      <c r="K126" s="40">
        <v>10</v>
      </c>
      <c r="L126" s="39">
        <v>16</v>
      </c>
      <c r="M126" s="22" t="s">
        <v>1179</v>
      </c>
      <c r="N126" s="22" t="s">
        <v>1456</v>
      </c>
      <c r="O126" s="24" t="s">
        <v>640</v>
      </c>
    </row>
    <row r="127" spans="1:15" ht="25.5" x14ac:dyDescent="0.2">
      <c r="A127" s="21" t="s">
        <v>670</v>
      </c>
      <c r="B127" s="22" t="s">
        <v>652</v>
      </c>
      <c r="C127" s="22"/>
      <c r="D127" s="23" t="s">
        <v>65</v>
      </c>
      <c r="E127" s="22" t="s">
        <v>1457</v>
      </c>
      <c r="F127" s="22" t="s">
        <v>1458</v>
      </c>
      <c r="G127" s="23" t="s">
        <v>645</v>
      </c>
      <c r="H127" s="39">
        <v>18</v>
      </c>
      <c r="I127" s="40">
        <v>25</v>
      </c>
      <c r="J127" s="39">
        <v>40</v>
      </c>
      <c r="K127" s="40">
        <v>25</v>
      </c>
      <c r="L127" s="39">
        <v>40</v>
      </c>
      <c r="M127" s="22" t="s">
        <v>1179</v>
      </c>
      <c r="N127" s="22" t="s">
        <v>1459</v>
      </c>
      <c r="O127" s="24" t="s">
        <v>650</v>
      </c>
    </row>
    <row r="128" spans="1:15" ht="25.5" x14ac:dyDescent="0.2">
      <c r="A128" s="21" t="s">
        <v>691</v>
      </c>
      <c r="B128" s="22" t="s">
        <v>659</v>
      </c>
      <c r="C128" s="22"/>
      <c r="D128" s="23" t="s">
        <v>65</v>
      </c>
      <c r="E128" s="22" t="s">
        <v>1460</v>
      </c>
      <c r="F128" s="22" t="s">
        <v>1461</v>
      </c>
      <c r="G128" s="23" t="s">
        <v>1075</v>
      </c>
      <c r="H128" s="39">
        <v>3</v>
      </c>
      <c r="I128" s="40">
        <v>6</v>
      </c>
      <c r="J128" s="39">
        <v>12</v>
      </c>
      <c r="K128" s="40">
        <v>8</v>
      </c>
      <c r="L128" s="39">
        <v>15</v>
      </c>
      <c r="M128" s="22" t="s">
        <v>1179</v>
      </c>
      <c r="N128" s="22" t="s">
        <v>1462</v>
      </c>
      <c r="O128" s="24" t="s">
        <v>657</v>
      </c>
    </row>
    <row r="129" spans="1:15" ht="25.5" x14ac:dyDescent="0.2">
      <c r="A129" s="21" t="s">
        <v>656</v>
      </c>
      <c r="B129" s="22" t="s">
        <v>664</v>
      </c>
      <c r="C129" s="22"/>
      <c r="D129" s="23" t="s">
        <v>65</v>
      </c>
      <c r="E129" s="22" t="s">
        <v>1463</v>
      </c>
      <c r="F129" s="22" t="s">
        <v>1464</v>
      </c>
      <c r="G129" s="23" t="s">
        <v>1075</v>
      </c>
      <c r="H129" s="39">
        <v>8</v>
      </c>
      <c r="I129" s="40">
        <v>10</v>
      </c>
      <c r="J129" s="39">
        <v>20</v>
      </c>
      <c r="K129" s="40">
        <v>10</v>
      </c>
      <c r="L129" s="39">
        <v>20</v>
      </c>
      <c r="M129" s="22" t="s">
        <v>1179</v>
      </c>
      <c r="N129" s="22" t="s">
        <v>1465</v>
      </c>
      <c r="O129" s="24" t="s">
        <v>662</v>
      </c>
    </row>
    <row r="130" spans="1:15" ht="38.25" x14ac:dyDescent="0.2">
      <c r="A130" s="23" t="s">
        <v>1466</v>
      </c>
      <c r="B130" s="22" t="s">
        <v>668</v>
      </c>
      <c r="C130" s="22" t="s">
        <v>1318</v>
      </c>
      <c r="D130" s="23" t="s">
        <v>65</v>
      </c>
      <c r="E130" s="22" t="s">
        <v>1467</v>
      </c>
      <c r="F130" s="22" t="s">
        <v>1468</v>
      </c>
      <c r="G130" s="23" t="s">
        <v>117</v>
      </c>
      <c r="H130" s="39"/>
      <c r="I130" s="40">
        <v>25000</v>
      </c>
      <c r="J130" s="39"/>
      <c r="K130" s="40">
        <v>25000</v>
      </c>
      <c r="L130" s="39"/>
      <c r="M130" s="22" t="s">
        <v>1174</v>
      </c>
      <c r="N130" s="22"/>
      <c r="O130" s="24" t="s">
        <v>666</v>
      </c>
    </row>
    <row r="131" spans="1:15" ht="25.5" x14ac:dyDescent="0.2">
      <c r="A131" s="23" t="s">
        <v>1469</v>
      </c>
      <c r="B131" s="22" t="s">
        <v>668</v>
      </c>
      <c r="C131" s="22" t="s">
        <v>1322</v>
      </c>
      <c r="D131" s="23" t="s">
        <v>65</v>
      </c>
      <c r="E131" s="22" t="s">
        <v>1470</v>
      </c>
      <c r="F131" s="22" t="s">
        <v>1468</v>
      </c>
      <c r="G131" s="23" t="s">
        <v>117</v>
      </c>
      <c r="H131" s="39"/>
      <c r="I131" s="40">
        <v>75000</v>
      </c>
      <c r="J131" s="39"/>
      <c r="K131" s="40">
        <v>75000</v>
      </c>
      <c r="L131" s="39"/>
      <c r="M131" s="22" t="s">
        <v>1174</v>
      </c>
      <c r="N131" s="22"/>
      <c r="O131" s="24" t="s">
        <v>672</v>
      </c>
    </row>
    <row r="132" spans="1:15" ht="25.5" x14ac:dyDescent="0.2">
      <c r="A132" s="23" t="s">
        <v>1471</v>
      </c>
      <c r="B132" s="22" t="s">
        <v>668</v>
      </c>
      <c r="C132" s="22" t="s">
        <v>1326</v>
      </c>
      <c r="D132" s="23" t="s">
        <v>65</v>
      </c>
      <c r="E132" s="22" t="s">
        <v>1472</v>
      </c>
      <c r="F132" s="22" t="s">
        <v>1468</v>
      </c>
      <c r="G132" s="23" t="s">
        <v>117</v>
      </c>
      <c r="H132" s="39"/>
      <c r="I132" s="40">
        <v>200000</v>
      </c>
      <c r="J132" s="39"/>
      <c r="K132" s="40">
        <v>200000</v>
      </c>
      <c r="L132" s="39"/>
      <c r="M132" s="22" t="s">
        <v>1174</v>
      </c>
      <c r="N132" s="22"/>
      <c r="O132" s="24" t="s">
        <v>673</v>
      </c>
    </row>
    <row r="133" spans="1:15" ht="38.25" x14ac:dyDescent="0.2">
      <c r="A133" s="23" t="s">
        <v>1473</v>
      </c>
      <c r="B133" s="22" t="s">
        <v>676</v>
      </c>
      <c r="C133" s="22" t="s">
        <v>1318</v>
      </c>
      <c r="D133" s="23" t="s">
        <v>65</v>
      </c>
      <c r="E133" s="22" t="s">
        <v>1474</v>
      </c>
      <c r="F133" s="22" t="s">
        <v>1475</v>
      </c>
      <c r="G133" s="23" t="s">
        <v>117</v>
      </c>
      <c r="H133" s="39"/>
      <c r="I133" s="40">
        <v>20000</v>
      </c>
      <c r="J133" s="39"/>
      <c r="K133" s="40">
        <v>20000</v>
      </c>
      <c r="L133" s="39"/>
      <c r="M133" s="22" t="s">
        <v>1174</v>
      </c>
      <c r="N133" s="22"/>
      <c r="O133" s="24" t="s">
        <v>674</v>
      </c>
    </row>
    <row r="134" spans="1:15" ht="25.5" x14ac:dyDescent="0.2">
      <c r="A134" s="23" t="s">
        <v>1476</v>
      </c>
      <c r="B134" s="22" t="s">
        <v>676</v>
      </c>
      <c r="C134" s="22" t="s">
        <v>1322</v>
      </c>
      <c r="D134" s="23" t="s">
        <v>65</v>
      </c>
      <c r="E134" s="22" t="s">
        <v>1477</v>
      </c>
      <c r="F134" s="22" t="s">
        <v>1475</v>
      </c>
      <c r="G134" s="23" t="s">
        <v>117</v>
      </c>
      <c r="H134" s="39"/>
      <c r="I134" s="40">
        <v>60000</v>
      </c>
      <c r="J134" s="39"/>
      <c r="K134" s="40">
        <v>60000</v>
      </c>
      <c r="L134" s="39"/>
      <c r="M134" s="22" t="s">
        <v>1174</v>
      </c>
      <c r="N134" s="22"/>
      <c r="O134" s="24" t="s">
        <v>678</v>
      </c>
    </row>
    <row r="135" spans="1:15" ht="25.5" x14ac:dyDescent="0.2">
      <c r="A135" s="23" t="s">
        <v>1478</v>
      </c>
      <c r="B135" s="22" t="s">
        <v>676</v>
      </c>
      <c r="C135" s="22" t="s">
        <v>1326</v>
      </c>
      <c r="D135" s="23" t="s">
        <v>65</v>
      </c>
      <c r="E135" s="22" t="s">
        <v>1479</v>
      </c>
      <c r="F135" s="22" t="s">
        <v>1475</v>
      </c>
      <c r="G135" s="23" t="s">
        <v>117</v>
      </c>
      <c r="H135" s="39"/>
      <c r="I135" s="40">
        <v>150000</v>
      </c>
      <c r="J135" s="39"/>
      <c r="K135" s="40">
        <v>150000</v>
      </c>
      <c r="L135" s="39"/>
      <c r="M135" s="22" t="s">
        <v>1174</v>
      </c>
      <c r="N135" s="22"/>
      <c r="O135" s="24" t="s">
        <v>679</v>
      </c>
    </row>
    <row r="136" spans="1:15" ht="25.5" x14ac:dyDescent="0.2">
      <c r="A136" s="21" t="s">
        <v>444</v>
      </c>
      <c r="B136" s="22" t="s">
        <v>683</v>
      </c>
      <c r="C136" s="22"/>
      <c r="D136" s="23" t="s">
        <v>65</v>
      </c>
      <c r="E136" s="22" t="s">
        <v>1480</v>
      </c>
      <c r="F136" s="22" t="s">
        <v>1481</v>
      </c>
      <c r="G136" s="23" t="s">
        <v>684</v>
      </c>
      <c r="H136" s="39">
        <v>35</v>
      </c>
      <c r="I136" s="40">
        <v>50</v>
      </c>
      <c r="J136" s="39">
        <v>80</v>
      </c>
      <c r="K136" s="40">
        <v>50</v>
      </c>
      <c r="L136" s="39">
        <v>80</v>
      </c>
      <c r="M136" s="22" t="s">
        <v>1179</v>
      </c>
      <c r="N136" s="22" t="s">
        <v>1482</v>
      </c>
      <c r="O136" s="24" t="s">
        <v>680</v>
      </c>
    </row>
    <row r="137" spans="1:15" ht="25.5" x14ac:dyDescent="0.2">
      <c r="A137" s="21" t="s">
        <v>723</v>
      </c>
      <c r="B137" s="22" t="s">
        <v>689</v>
      </c>
      <c r="C137" s="22"/>
      <c r="D137" s="23" t="s">
        <v>65</v>
      </c>
      <c r="E137" s="22" t="s">
        <v>1483</v>
      </c>
      <c r="F137" s="22" t="s">
        <v>1484</v>
      </c>
      <c r="G137" s="23" t="s">
        <v>1485</v>
      </c>
      <c r="H137" s="39">
        <v>1000</v>
      </c>
      <c r="I137" s="40">
        <v>1800</v>
      </c>
      <c r="J137" s="39">
        <v>2800</v>
      </c>
      <c r="K137" s="40">
        <v>1000</v>
      </c>
      <c r="L137" s="39">
        <v>1800</v>
      </c>
      <c r="M137" s="22" t="s">
        <v>1179</v>
      </c>
      <c r="N137" s="22" t="s">
        <v>1486</v>
      </c>
      <c r="O137" s="24" t="s">
        <v>687</v>
      </c>
    </row>
    <row r="138" spans="1:15" x14ac:dyDescent="0.2">
      <c r="A138" s="21" t="s">
        <v>728</v>
      </c>
      <c r="B138" s="22" t="s">
        <v>694</v>
      </c>
      <c r="C138" s="22"/>
      <c r="D138" s="23" t="s">
        <v>65</v>
      </c>
      <c r="E138" s="22" t="s">
        <v>1487</v>
      </c>
      <c r="F138" s="22" t="s">
        <v>1488</v>
      </c>
      <c r="G138" s="23" t="s">
        <v>1489</v>
      </c>
      <c r="H138" s="39"/>
      <c r="I138" s="40">
        <v>0</v>
      </c>
      <c r="J138" s="39"/>
      <c r="K138" s="40">
        <v>90</v>
      </c>
      <c r="L138" s="39">
        <v>130</v>
      </c>
      <c r="M138" s="22" t="s">
        <v>1179</v>
      </c>
      <c r="N138" s="22" t="s">
        <v>1490</v>
      </c>
      <c r="O138" s="24" t="s">
        <v>692</v>
      </c>
    </row>
    <row r="139" spans="1:15" ht="25.5" x14ac:dyDescent="0.2">
      <c r="A139" s="21" t="s">
        <v>696</v>
      </c>
      <c r="B139" s="22" t="s">
        <v>699</v>
      </c>
      <c r="C139" s="22"/>
      <c r="D139" s="23" t="s">
        <v>65</v>
      </c>
      <c r="E139" s="22" t="s">
        <v>1491</v>
      </c>
      <c r="F139" s="22" t="s">
        <v>1492</v>
      </c>
      <c r="G139" s="23" t="s">
        <v>1493</v>
      </c>
      <c r="H139" s="39">
        <v>21</v>
      </c>
      <c r="I139" s="40">
        <v>30</v>
      </c>
      <c r="J139" s="39">
        <v>48</v>
      </c>
      <c r="K139" s="40">
        <v>30</v>
      </c>
      <c r="L139" s="39">
        <v>48</v>
      </c>
      <c r="M139" s="22" t="s">
        <v>1179</v>
      </c>
      <c r="N139" s="22" t="s">
        <v>1494</v>
      </c>
      <c r="O139" s="24" t="s">
        <v>697</v>
      </c>
    </row>
    <row r="140" spans="1:15" ht="25.5" x14ac:dyDescent="0.2">
      <c r="A140" s="21" t="s">
        <v>733</v>
      </c>
      <c r="B140" s="22" t="s">
        <v>704</v>
      </c>
      <c r="C140" s="22"/>
      <c r="D140" s="23" t="s">
        <v>65</v>
      </c>
      <c r="E140" s="22" t="s">
        <v>1495</v>
      </c>
      <c r="F140" s="22" t="s">
        <v>1496</v>
      </c>
      <c r="G140" s="23" t="s">
        <v>705</v>
      </c>
      <c r="H140" s="39">
        <v>42</v>
      </c>
      <c r="I140" s="40">
        <v>95</v>
      </c>
      <c r="J140" s="39">
        <v>200</v>
      </c>
      <c r="K140" s="40">
        <v>95</v>
      </c>
      <c r="L140" s="39">
        <v>200</v>
      </c>
      <c r="M140" s="22" t="s">
        <v>1179</v>
      </c>
      <c r="N140" s="22" t="s">
        <v>1497</v>
      </c>
      <c r="O140" s="24" t="s">
        <v>702</v>
      </c>
    </row>
    <row r="141" spans="1:15" ht="38.25" x14ac:dyDescent="0.2">
      <c r="A141" s="23" t="s">
        <v>1498</v>
      </c>
      <c r="B141" s="22" t="s">
        <v>710</v>
      </c>
      <c r="C141" s="22" t="s">
        <v>1318</v>
      </c>
      <c r="D141" s="23" t="s">
        <v>65</v>
      </c>
      <c r="E141" s="22" t="s">
        <v>1499</v>
      </c>
      <c r="F141" s="22" t="s">
        <v>1500</v>
      </c>
      <c r="G141" s="23" t="s">
        <v>117</v>
      </c>
      <c r="H141" s="40">
        <v>0</v>
      </c>
      <c r="I141" s="40">
        <v>0</v>
      </c>
      <c r="J141" s="40">
        <v>0</v>
      </c>
      <c r="K141" s="40">
        <v>10000</v>
      </c>
      <c r="L141" s="39"/>
      <c r="M141" s="22" t="s">
        <v>1174</v>
      </c>
      <c r="N141" s="22"/>
      <c r="O141" s="24" t="s">
        <v>708</v>
      </c>
    </row>
    <row r="142" spans="1:15" ht="25.5" x14ac:dyDescent="0.2">
      <c r="A142" s="23" t="s">
        <v>1501</v>
      </c>
      <c r="B142" s="22" t="s">
        <v>710</v>
      </c>
      <c r="C142" s="22" t="s">
        <v>1322</v>
      </c>
      <c r="D142" s="23" t="s">
        <v>65</v>
      </c>
      <c r="E142" s="22" t="s">
        <v>1502</v>
      </c>
      <c r="F142" s="22" t="s">
        <v>1500</v>
      </c>
      <c r="G142" s="23" t="s">
        <v>117</v>
      </c>
      <c r="H142" s="40">
        <v>0</v>
      </c>
      <c r="I142" s="40">
        <v>0</v>
      </c>
      <c r="J142" s="40">
        <v>0</v>
      </c>
      <c r="K142" s="40">
        <v>40000</v>
      </c>
      <c r="L142" s="39"/>
      <c r="M142" s="22" t="s">
        <v>1174</v>
      </c>
      <c r="N142" s="22"/>
      <c r="O142" s="24" t="s">
        <v>713</v>
      </c>
    </row>
    <row r="143" spans="1:15" ht="25.5" x14ac:dyDescent="0.2">
      <c r="A143" s="23" t="s">
        <v>1503</v>
      </c>
      <c r="B143" s="22" t="s">
        <v>710</v>
      </c>
      <c r="C143" s="22" t="s">
        <v>1326</v>
      </c>
      <c r="D143" s="23" t="s">
        <v>65</v>
      </c>
      <c r="E143" s="22" t="s">
        <v>1504</v>
      </c>
      <c r="F143" s="22" t="s">
        <v>1500</v>
      </c>
      <c r="G143" s="23" t="s">
        <v>117</v>
      </c>
      <c r="H143" s="40">
        <v>0</v>
      </c>
      <c r="I143" s="40">
        <v>0</v>
      </c>
      <c r="J143" s="40">
        <v>0</v>
      </c>
      <c r="K143" s="40">
        <v>120000</v>
      </c>
      <c r="L143" s="39"/>
      <c r="M143" s="22" t="s">
        <v>1174</v>
      </c>
      <c r="N143" s="22"/>
      <c r="O143" s="24" t="s">
        <v>714</v>
      </c>
    </row>
    <row r="144" spans="1:15" ht="25.5" x14ac:dyDescent="0.2">
      <c r="A144" s="21" t="s">
        <v>707</v>
      </c>
      <c r="B144" s="22" t="s">
        <v>718</v>
      </c>
      <c r="C144" s="22"/>
      <c r="D144" s="23" t="s">
        <v>65</v>
      </c>
      <c r="E144" s="22" t="s">
        <v>1505</v>
      </c>
      <c r="F144" s="22" t="s">
        <v>1506</v>
      </c>
      <c r="G144" s="23" t="s">
        <v>719</v>
      </c>
      <c r="H144" s="39">
        <v>60</v>
      </c>
      <c r="I144" s="40">
        <v>110</v>
      </c>
      <c r="J144" s="39">
        <v>200</v>
      </c>
      <c r="K144" s="40">
        <v>110</v>
      </c>
      <c r="L144" s="39">
        <v>200</v>
      </c>
      <c r="M144" s="22" t="s">
        <v>1174</v>
      </c>
      <c r="N144" s="22" t="s">
        <v>1507</v>
      </c>
      <c r="O144" s="24" t="s">
        <v>715</v>
      </c>
    </row>
    <row r="145" spans="1:15" ht="25.5" x14ac:dyDescent="0.2">
      <c r="A145" s="21" t="s">
        <v>671</v>
      </c>
      <c r="B145" s="22" t="s">
        <v>726</v>
      </c>
      <c r="C145" s="22"/>
      <c r="D145" s="23" t="s">
        <v>65</v>
      </c>
      <c r="E145" s="22" t="s">
        <v>1508</v>
      </c>
      <c r="F145" s="22" t="s">
        <v>1509</v>
      </c>
      <c r="G145" s="23" t="s">
        <v>645</v>
      </c>
      <c r="H145" s="39">
        <v>7</v>
      </c>
      <c r="I145" s="40">
        <v>10</v>
      </c>
      <c r="J145" s="39">
        <v>16</v>
      </c>
      <c r="K145" s="40">
        <v>10</v>
      </c>
      <c r="L145" s="39">
        <v>16</v>
      </c>
      <c r="M145" s="22" t="s">
        <v>1179</v>
      </c>
      <c r="N145" s="22" t="s">
        <v>1510</v>
      </c>
      <c r="O145" s="24" t="s">
        <v>724</v>
      </c>
    </row>
    <row r="146" spans="1:15" x14ac:dyDescent="0.2">
      <c r="A146" s="21" t="s">
        <v>677</v>
      </c>
      <c r="B146" s="22" t="s">
        <v>731</v>
      </c>
      <c r="C146" s="22"/>
      <c r="D146" s="23" t="s">
        <v>65</v>
      </c>
      <c r="E146" s="22" t="s">
        <v>1511</v>
      </c>
      <c r="F146" s="22" t="s">
        <v>1512</v>
      </c>
      <c r="G146" s="23" t="s">
        <v>1485</v>
      </c>
      <c r="H146" s="39">
        <v>210</v>
      </c>
      <c r="I146" s="40">
        <v>240</v>
      </c>
      <c r="J146" s="39">
        <v>480</v>
      </c>
      <c r="K146" s="40">
        <v>240</v>
      </c>
      <c r="L146" s="39">
        <v>480</v>
      </c>
      <c r="M146" s="22" t="s">
        <v>1179</v>
      </c>
      <c r="N146" s="22" t="s">
        <v>1513</v>
      </c>
      <c r="O146" s="24" t="s">
        <v>729</v>
      </c>
    </row>
  </sheetData>
  <autoFilter ref="A5:O146" xr:uid="{61613224-FE41-4C03-8B46-4109509C3076}"/>
  <dataValidations count="1">
    <dataValidation type="list" errorStyle="warning" allowBlank="1" showInputMessage="1" sqref="M6:M146" xr:uid="{793A7B5B-A444-437A-BF69-7D12AB43CAD4}">
      <formula1>"Your figure,Spon's-based (approved),Kept after Spon's check,Older workbook (v4.5),Unverified †"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7"/>
  <sheetViews>
    <sheetView zoomScaleNormal="100" workbookViewId="0">
      <pane ySplit="3" topLeftCell="A28" activePane="bottomLeft" state="frozen"/>
      <selection pane="bottomLeft" activeCell="A190" sqref="A190:XFD190"/>
    </sheetView>
  </sheetViews>
  <sheetFormatPr defaultColWidth="8.7109375" defaultRowHeight="15" x14ac:dyDescent="0.25"/>
  <cols>
    <col min="1" max="1" width="22" customWidth="1"/>
    <col min="2" max="2" width="34" customWidth="1"/>
    <col min="3" max="3" width="24" customWidth="1"/>
    <col min="4" max="4" width="44" customWidth="1"/>
    <col min="5" max="5" width="18" customWidth="1"/>
    <col min="6" max="6" width="20" customWidth="1"/>
    <col min="7" max="7" width="50" customWidth="1"/>
  </cols>
  <sheetData>
    <row r="1" spans="1:7" ht="18" x14ac:dyDescent="0.25">
      <c r="A1" s="1" t="s">
        <v>743</v>
      </c>
    </row>
    <row r="2" spans="1:7" x14ac:dyDescent="0.25">
      <c r="A2" s="5" t="s">
        <v>744</v>
      </c>
    </row>
    <row r="4" spans="1:7" x14ac:dyDescent="0.25">
      <c r="A4" s="3" t="s">
        <v>745</v>
      </c>
      <c r="B4" s="3" t="s">
        <v>746</v>
      </c>
      <c r="C4" s="4"/>
      <c r="D4" s="4"/>
      <c r="E4" s="4"/>
      <c r="F4" s="4"/>
      <c r="G4" s="4"/>
    </row>
    <row r="5" spans="1:7" x14ac:dyDescent="0.25">
      <c r="A5" s="6" t="s">
        <v>747</v>
      </c>
      <c r="B5" s="6" t="s">
        <v>748</v>
      </c>
      <c r="C5" s="6" t="s">
        <v>57</v>
      </c>
    </row>
    <row r="6" spans="1:7" ht="38.25" x14ac:dyDescent="0.25">
      <c r="A6" s="2" t="s">
        <v>749</v>
      </c>
      <c r="B6" s="30" t="s">
        <v>374</v>
      </c>
      <c r="C6" s="2" t="s">
        <v>750</v>
      </c>
    </row>
    <row r="7" spans="1:7" x14ac:dyDescent="0.25">
      <c r="A7" s="2" t="s">
        <v>751</v>
      </c>
      <c r="B7" s="30" t="s">
        <v>1629</v>
      </c>
      <c r="C7" s="2"/>
    </row>
    <row r="8" spans="1:7" x14ac:dyDescent="0.25">
      <c r="A8" s="2" t="s">
        <v>753</v>
      </c>
      <c r="B8" s="2" t="s">
        <v>754</v>
      </c>
      <c r="C8" s="2"/>
    </row>
    <row r="10" spans="1:7" x14ac:dyDescent="0.25">
      <c r="A10" s="3" t="s">
        <v>755</v>
      </c>
      <c r="B10" s="3" t="s">
        <v>1537</v>
      </c>
      <c r="C10" s="4"/>
      <c r="D10" s="4"/>
      <c r="E10" s="4"/>
      <c r="F10" s="4"/>
      <c r="G10" s="4"/>
    </row>
    <row r="11" spans="1:7" x14ac:dyDescent="0.25">
      <c r="A11" s="6" t="s">
        <v>756</v>
      </c>
      <c r="B11" s="6" t="s">
        <v>757</v>
      </c>
      <c r="C11" s="6" t="s">
        <v>758</v>
      </c>
      <c r="D11" s="6" t="s">
        <v>57</v>
      </c>
    </row>
    <row r="12" spans="1:7" x14ac:dyDescent="0.25">
      <c r="A12" s="2" t="s">
        <v>305</v>
      </c>
      <c r="B12" s="2" t="s">
        <v>759</v>
      </c>
      <c r="C12" s="2" t="s">
        <v>66</v>
      </c>
      <c r="D12" s="2"/>
    </row>
    <row r="13" spans="1:7" ht="25.5" x14ac:dyDescent="0.25">
      <c r="A13" s="2" t="s">
        <v>308</v>
      </c>
      <c r="B13" s="2" t="s">
        <v>760</v>
      </c>
      <c r="C13" s="2" t="s">
        <v>66</v>
      </c>
      <c r="D13" s="2"/>
    </row>
    <row r="14" spans="1:7" x14ac:dyDescent="0.25">
      <c r="A14" s="2" t="s">
        <v>761</v>
      </c>
      <c r="B14" s="2" t="s">
        <v>762</v>
      </c>
      <c r="C14" s="2" t="s">
        <v>109</v>
      </c>
      <c r="D14" s="2"/>
    </row>
    <row r="15" spans="1:7" x14ac:dyDescent="0.25">
      <c r="A15" s="2" t="s">
        <v>763</v>
      </c>
      <c r="B15" s="2" t="s">
        <v>764</v>
      </c>
      <c r="C15" s="2" t="s">
        <v>109</v>
      </c>
      <c r="D15" s="2"/>
    </row>
    <row r="16" spans="1:7" x14ac:dyDescent="0.25">
      <c r="A16" s="2" t="s">
        <v>250</v>
      </c>
      <c r="B16" s="2" t="s">
        <v>765</v>
      </c>
      <c r="C16" s="2" t="s">
        <v>109</v>
      </c>
      <c r="D16" s="2"/>
    </row>
    <row r="17" spans="1:7" x14ac:dyDescent="0.25">
      <c r="A17" s="2" t="s">
        <v>344</v>
      </c>
      <c r="B17" s="2" t="s">
        <v>340</v>
      </c>
      <c r="C17" s="2" t="s">
        <v>109</v>
      </c>
      <c r="D17" s="2"/>
    </row>
    <row r="18" spans="1:7" x14ac:dyDescent="0.25">
      <c r="A18" s="2" t="s">
        <v>351</v>
      </c>
      <c r="B18" s="2" t="s">
        <v>766</v>
      </c>
      <c r="C18" s="2" t="s">
        <v>109</v>
      </c>
      <c r="D18" s="2"/>
    </row>
    <row r="19" spans="1:7" x14ac:dyDescent="0.25">
      <c r="A19" s="2" t="s">
        <v>249</v>
      </c>
      <c r="B19" s="2" t="s">
        <v>767</v>
      </c>
      <c r="C19" s="2" t="s">
        <v>109</v>
      </c>
      <c r="D19" s="2"/>
    </row>
    <row r="20" spans="1:7" x14ac:dyDescent="0.25">
      <c r="A20" s="2" t="s">
        <v>768</v>
      </c>
      <c r="B20" s="2" t="s">
        <v>769</v>
      </c>
      <c r="C20" s="2" t="s">
        <v>109</v>
      </c>
      <c r="D20" s="2" t="s">
        <v>770</v>
      </c>
    </row>
    <row r="21" spans="1:7" x14ac:dyDescent="0.25">
      <c r="A21" s="2" t="s">
        <v>771</v>
      </c>
      <c r="B21" s="2" t="s">
        <v>772</v>
      </c>
      <c r="C21" s="2" t="s">
        <v>109</v>
      </c>
      <c r="D21" s="2" t="s">
        <v>770</v>
      </c>
    </row>
    <row r="22" spans="1:7" ht="25.5" x14ac:dyDescent="0.25">
      <c r="A22" s="2" t="s">
        <v>65</v>
      </c>
      <c r="B22" s="2" t="s">
        <v>773</v>
      </c>
      <c r="C22" s="2"/>
      <c r="D22" s="2" t="s">
        <v>1538</v>
      </c>
    </row>
    <row r="24" spans="1:7" x14ac:dyDescent="0.25">
      <c r="A24" s="3" t="s">
        <v>774</v>
      </c>
      <c r="B24" s="3" t="s">
        <v>1539</v>
      </c>
      <c r="C24" s="4"/>
      <c r="D24" s="4"/>
      <c r="E24" s="4"/>
      <c r="F24" s="4"/>
      <c r="G24" s="4"/>
    </row>
    <row r="25" spans="1:7" ht="25.5" x14ac:dyDescent="0.25">
      <c r="A25" s="6" t="s">
        <v>756</v>
      </c>
      <c r="B25" s="6" t="s">
        <v>775</v>
      </c>
      <c r="C25" s="6" t="s">
        <v>776</v>
      </c>
      <c r="D25" s="6" t="s">
        <v>777</v>
      </c>
      <c r="E25" s="6" t="s">
        <v>778</v>
      </c>
      <c r="F25" s="6" t="s">
        <v>779</v>
      </c>
      <c r="G25" s="6" t="s">
        <v>57</v>
      </c>
    </row>
    <row r="26" spans="1:7" ht="25.5" x14ac:dyDescent="0.25">
      <c r="A26" s="2" t="s">
        <v>522</v>
      </c>
      <c r="B26" s="2" t="s">
        <v>780</v>
      </c>
      <c r="C26" s="2" t="s">
        <v>1069</v>
      </c>
      <c r="D26" s="2" t="s">
        <v>1069</v>
      </c>
      <c r="E26" s="2" t="s">
        <v>1070</v>
      </c>
      <c r="F26" s="2" t="s">
        <v>109</v>
      </c>
      <c r="G26" s="2" t="s">
        <v>1533</v>
      </c>
    </row>
    <row r="27" spans="1:7" ht="25.5" x14ac:dyDescent="0.25">
      <c r="A27" s="2" t="s">
        <v>781</v>
      </c>
      <c r="B27" s="2" t="s">
        <v>782</v>
      </c>
      <c r="C27" s="2" t="s">
        <v>1069</v>
      </c>
      <c r="D27" s="2" t="s">
        <v>1069</v>
      </c>
      <c r="E27" s="2" t="s">
        <v>1070</v>
      </c>
      <c r="F27" s="2" t="s">
        <v>109</v>
      </c>
      <c r="G27" s="2" t="s">
        <v>1534</v>
      </c>
    </row>
    <row r="28" spans="1:7" ht="25.5" x14ac:dyDescent="0.25">
      <c r="A28" s="2" t="s">
        <v>783</v>
      </c>
      <c r="B28" s="2" t="s">
        <v>784</v>
      </c>
      <c r="C28" s="2" t="s">
        <v>1066</v>
      </c>
      <c r="D28" s="2" t="s">
        <v>1067</v>
      </c>
      <c r="E28" s="2" t="s">
        <v>1068</v>
      </c>
      <c r="F28" s="2" t="s">
        <v>66</v>
      </c>
      <c r="G28" s="2"/>
    </row>
    <row r="29" spans="1:7" ht="25.5" x14ac:dyDescent="0.25">
      <c r="A29" s="2" t="s">
        <v>785</v>
      </c>
      <c r="B29" s="2" t="s">
        <v>786</v>
      </c>
      <c r="C29" s="2" t="s">
        <v>1066</v>
      </c>
      <c r="D29" s="2" t="s">
        <v>1067</v>
      </c>
      <c r="E29" s="2" t="s">
        <v>1068</v>
      </c>
      <c r="F29" s="2" t="s">
        <v>66</v>
      </c>
      <c r="G29" s="2" t="s">
        <v>1535</v>
      </c>
    </row>
    <row r="30" spans="1:7" ht="25.5" x14ac:dyDescent="0.25">
      <c r="A30" s="2" t="s">
        <v>787</v>
      </c>
      <c r="B30" s="2" t="s">
        <v>788</v>
      </c>
      <c r="C30" s="2" t="s">
        <v>1069</v>
      </c>
      <c r="D30" s="2" t="s">
        <v>1069</v>
      </c>
      <c r="E30" s="2" t="s">
        <v>1069</v>
      </c>
      <c r="F30" s="2" t="s">
        <v>109</v>
      </c>
      <c r="G30" s="2" t="s">
        <v>1536</v>
      </c>
    </row>
    <row r="31" spans="1:7" ht="25.5" x14ac:dyDescent="0.25">
      <c r="A31" s="2" t="s">
        <v>80</v>
      </c>
      <c r="B31" s="2" t="s">
        <v>789</v>
      </c>
      <c r="C31" s="2" t="s">
        <v>1066</v>
      </c>
      <c r="D31" s="2" t="s">
        <v>1067</v>
      </c>
      <c r="E31" s="2" t="s">
        <v>1068</v>
      </c>
      <c r="F31" s="2" t="s">
        <v>109</v>
      </c>
      <c r="G31" s="2"/>
    </row>
    <row r="32" spans="1:7" ht="25.5" x14ac:dyDescent="0.25">
      <c r="A32" s="2" t="s">
        <v>790</v>
      </c>
      <c r="B32" s="2" t="s">
        <v>791</v>
      </c>
      <c r="C32" s="2" t="s">
        <v>792</v>
      </c>
      <c r="D32" s="2" t="s">
        <v>792</v>
      </c>
      <c r="E32" s="2" t="s">
        <v>792</v>
      </c>
      <c r="F32" s="2" t="s">
        <v>109</v>
      </c>
      <c r="G32" s="2" t="s">
        <v>793</v>
      </c>
    </row>
    <row r="34" spans="1:7" x14ac:dyDescent="0.25">
      <c r="A34" s="3" t="s">
        <v>794</v>
      </c>
      <c r="B34" s="3" t="s">
        <v>795</v>
      </c>
      <c r="C34" s="4"/>
      <c r="D34" s="4"/>
      <c r="E34" s="4"/>
      <c r="F34" s="4"/>
      <c r="G34" s="4"/>
    </row>
    <row r="35" spans="1:7" x14ac:dyDescent="0.25">
      <c r="A35" s="6" t="s">
        <v>796</v>
      </c>
      <c r="B35" s="6" t="s">
        <v>797</v>
      </c>
    </row>
    <row r="36" spans="1:7" ht="51" x14ac:dyDescent="0.25">
      <c r="A36" s="2" t="s">
        <v>798</v>
      </c>
      <c r="B36" s="2" t="s">
        <v>799</v>
      </c>
    </row>
    <row r="37" spans="1:7" ht="38.25" x14ac:dyDescent="0.25">
      <c r="A37" s="2" t="s">
        <v>64</v>
      </c>
      <c r="B37" s="2" t="s">
        <v>800</v>
      </c>
    </row>
    <row r="38" spans="1:7" ht="51" x14ac:dyDescent="0.25">
      <c r="A38" s="2" t="s">
        <v>801</v>
      </c>
      <c r="B38" s="2" t="s">
        <v>802</v>
      </c>
    </row>
    <row r="40" spans="1:7" x14ac:dyDescent="0.25">
      <c r="A40" s="3" t="s">
        <v>803</v>
      </c>
      <c r="B40" s="3" t="s">
        <v>804</v>
      </c>
      <c r="C40" s="4"/>
      <c r="D40" s="4"/>
      <c r="E40" s="4"/>
      <c r="F40" s="4"/>
      <c r="G40" s="4"/>
    </row>
    <row r="41" spans="1:7" ht="25.5" x14ac:dyDescent="0.25">
      <c r="A41" s="6" t="s">
        <v>796</v>
      </c>
      <c r="B41" s="6" t="s">
        <v>805</v>
      </c>
      <c r="C41" s="6" t="s">
        <v>806</v>
      </c>
      <c r="D41" s="6" t="s">
        <v>797</v>
      </c>
      <c r="E41" s="6" t="s">
        <v>807</v>
      </c>
    </row>
    <row r="42" spans="1:7" ht="38.25" x14ac:dyDescent="0.25">
      <c r="A42" s="2">
        <v>1</v>
      </c>
      <c r="B42" s="2" t="s">
        <v>808</v>
      </c>
      <c r="C42" s="2">
        <v>0.8</v>
      </c>
      <c r="D42" s="2" t="s">
        <v>809</v>
      </c>
      <c r="E42" s="2">
        <v>0.5</v>
      </c>
    </row>
    <row r="43" spans="1:7" ht="51" x14ac:dyDescent="0.25">
      <c r="A43" s="2">
        <v>2</v>
      </c>
      <c r="B43" s="2" t="s">
        <v>810</v>
      </c>
      <c r="C43" s="2">
        <v>0.9</v>
      </c>
      <c r="D43" s="2" t="s">
        <v>811</v>
      </c>
      <c r="E43" s="2">
        <v>0.7</v>
      </c>
    </row>
    <row r="44" spans="1:7" ht="63.75" x14ac:dyDescent="0.25">
      <c r="A44" s="2">
        <v>3</v>
      </c>
      <c r="B44" s="2" t="s">
        <v>812</v>
      </c>
      <c r="C44" s="2">
        <v>1</v>
      </c>
      <c r="D44" s="2" t="s">
        <v>813</v>
      </c>
      <c r="E44" s="2">
        <v>1</v>
      </c>
    </row>
    <row r="45" spans="1:7" ht="63.75" x14ac:dyDescent="0.25">
      <c r="A45" s="2">
        <v>4</v>
      </c>
      <c r="B45" s="2" t="s">
        <v>814</v>
      </c>
      <c r="C45" s="2">
        <v>1.1499999999999999</v>
      </c>
      <c r="D45" s="2" t="s">
        <v>815</v>
      </c>
      <c r="E45" s="2">
        <v>1.3</v>
      </c>
    </row>
    <row r="47" spans="1:7" x14ac:dyDescent="0.25">
      <c r="A47" s="3" t="s">
        <v>816</v>
      </c>
      <c r="B47" s="3" t="s">
        <v>1057</v>
      </c>
      <c r="C47" s="4"/>
      <c r="D47" s="4"/>
      <c r="E47" s="4"/>
      <c r="F47" s="4"/>
      <c r="G47" s="4"/>
    </row>
    <row r="48" spans="1:7" x14ac:dyDescent="0.25">
      <c r="A48" s="6" t="s">
        <v>817</v>
      </c>
      <c r="B48" s="6" t="s">
        <v>818</v>
      </c>
      <c r="C48" s="6" t="s">
        <v>819</v>
      </c>
      <c r="D48" s="6" t="s">
        <v>801</v>
      </c>
      <c r="E48" s="6" t="s">
        <v>820</v>
      </c>
    </row>
    <row r="49" spans="1:7" x14ac:dyDescent="0.25">
      <c r="A49" s="2" t="s">
        <v>821</v>
      </c>
      <c r="B49" s="2" t="s">
        <v>822</v>
      </c>
      <c r="C49" s="2">
        <v>1.2</v>
      </c>
      <c r="D49" s="2">
        <v>1.3</v>
      </c>
      <c r="E49" s="2">
        <v>1.25</v>
      </c>
    </row>
    <row r="50" spans="1:7" ht="25.5" x14ac:dyDescent="0.25">
      <c r="A50" s="2" t="s">
        <v>823</v>
      </c>
      <c r="B50" s="2" t="s">
        <v>824</v>
      </c>
      <c r="C50" s="2">
        <v>1.1000000000000001</v>
      </c>
      <c r="D50" s="2">
        <v>1.2</v>
      </c>
      <c r="E50" s="2">
        <v>1.1499999999999999</v>
      </c>
    </row>
    <row r="51" spans="1:7" ht="25.5" x14ac:dyDescent="0.25">
      <c r="A51" s="2" t="s">
        <v>825</v>
      </c>
      <c r="B51" s="2" t="s">
        <v>1055</v>
      </c>
      <c r="C51" s="2">
        <v>1.05</v>
      </c>
      <c r="D51" s="2">
        <v>1.1200000000000001</v>
      </c>
      <c r="E51" s="2">
        <v>1.08</v>
      </c>
    </row>
    <row r="52" spans="1:7" x14ac:dyDescent="0.25">
      <c r="A52" s="2" t="s">
        <v>826</v>
      </c>
      <c r="B52" s="2" t="s">
        <v>827</v>
      </c>
      <c r="C52" s="2">
        <v>1</v>
      </c>
      <c r="D52" s="2">
        <v>1.05</v>
      </c>
      <c r="E52" s="2">
        <v>1.03</v>
      </c>
    </row>
    <row r="53" spans="1:7" ht="38.25" x14ac:dyDescent="0.25">
      <c r="A53" s="2" t="s">
        <v>828</v>
      </c>
      <c r="B53" s="2" t="s">
        <v>1053</v>
      </c>
      <c r="C53" s="2">
        <v>0.92</v>
      </c>
      <c r="D53" s="2">
        <v>0.97</v>
      </c>
      <c r="E53" s="2">
        <v>0.94</v>
      </c>
    </row>
    <row r="54" spans="1:7" x14ac:dyDescent="0.25">
      <c r="A54" s="2" t="s">
        <v>829</v>
      </c>
      <c r="B54" s="2" t="s">
        <v>830</v>
      </c>
      <c r="C54" s="2">
        <v>0.91</v>
      </c>
      <c r="D54" s="2">
        <v>0.96</v>
      </c>
      <c r="E54" s="2">
        <v>0.93</v>
      </c>
    </row>
    <row r="55" spans="1:7" x14ac:dyDescent="0.25">
      <c r="A55" s="2" t="s">
        <v>831</v>
      </c>
      <c r="B55" s="2" t="s">
        <v>832</v>
      </c>
      <c r="C55" s="2">
        <v>0.88</v>
      </c>
      <c r="D55" s="2">
        <v>0.93</v>
      </c>
      <c r="E55" s="2">
        <v>0.9</v>
      </c>
    </row>
    <row r="56" spans="1:7" ht="25.5" x14ac:dyDescent="0.25">
      <c r="A56" s="2" t="s">
        <v>833</v>
      </c>
      <c r="B56" s="2" t="s">
        <v>1054</v>
      </c>
      <c r="C56" s="2">
        <v>0.9</v>
      </c>
      <c r="D56" s="2">
        <v>0.95</v>
      </c>
      <c r="E56" s="2">
        <v>0.92</v>
      </c>
    </row>
    <row r="57" spans="1:7" x14ac:dyDescent="0.25">
      <c r="A57" s="2" t="s">
        <v>834</v>
      </c>
      <c r="B57" s="2" t="s">
        <v>835</v>
      </c>
      <c r="C57" s="2">
        <v>0.87</v>
      </c>
      <c r="D57" s="2">
        <v>0.92</v>
      </c>
      <c r="E57" s="2">
        <v>0.88</v>
      </c>
    </row>
    <row r="58" spans="1:7" x14ac:dyDescent="0.25">
      <c r="A58" s="2" t="s">
        <v>836</v>
      </c>
      <c r="B58" s="2" t="s">
        <v>837</v>
      </c>
      <c r="C58" s="2">
        <v>0.87</v>
      </c>
      <c r="D58" s="2">
        <v>0.93</v>
      </c>
      <c r="E58" s="2">
        <v>0.89</v>
      </c>
    </row>
    <row r="59" spans="1:7" ht="25.5" x14ac:dyDescent="0.25">
      <c r="A59" s="2" t="s">
        <v>838</v>
      </c>
      <c r="B59" s="2" t="s">
        <v>1056</v>
      </c>
      <c r="C59" s="2">
        <v>0.93</v>
      </c>
      <c r="D59" s="2">
        <v>1</v>
      </c>
      <c r="E59" s="2">
        <v>0.9</v>
      </c>
    </row>
    <row r="60" spans="1:7" x14ac:dyDescent="0.25">
      <c r="A60" s="2" t="s">
        <v>839</v>
      </c>
      <c r="B60" s="2" t="s">
        <v>840</v>
      </c>
      <c r="C60" s="2">
        <v>0.82</v>
      </c>
      <c r="D60" s="2">
        <v>0.88</v>
      </c>
      <c r="E60" s="2">
        <v>0.85</v>
      </c>
    </row>
    <row r="61" spans="1:7" ht="25.5" x14ac:dyDescent="0.25">
      <c r="A61" s="2" t="s">
        <v>1058</v>
      </c>
      <c r="B61" s="2" t="s">
        <v>1059</v>
      </c>
      <c r="C61" s="2">
        <v>0.94</v>
      </c>
      <c r="D61" s="2">
        <v>1</v>
      </c>
      <c r="E61" s="2">
        <v>0.97</v>
      </c>
    </row>
    <row r="62" spans="1:7" x14ac:dyDescent="0.25">
      <c r="A62" s="3" t="s">
        <v>841</v>
      </c>
      <c r="B62" s="3" t="s">
        <v>842</v>
      </c>
      <c r="C62" s="4"/>
      <c r="D62" s="4"/>
      <c r="E62" s="4"/>
      <c r="F62" s="4"/>
      <c r="G62" s="4"/>
    </row>
    <row r="63" spans="1:7" x14ac:dyDescent="0.25">
      <c r="A63" s="6" t="s">
        <v>843</v>
      </c>
      <c r="B63" s="6" t="s">
        <v>844</v>
      </c>
      <c r="C63" s="6" t="s">
        <v>845</v>
      </c>
      <c r="D63" s="6" t="s">
        <v>846</v>
      </c>
    </row>
    <row r="64" spans="1:7" x14ac:dyDescent="0.25">
      <c r="A64" s="2" t="s">
        <v>783</v>
      </c>
      <c r="B64" s="2" t="s">
        <v>761</v>
      </c>
      <c r="C64" s="2">
        <v>600</v>
      </c>
      <c r="D64" s="2">
        <v>1200</v>
      </c>
    </row>
    <row r="65" spans="1:4" x14ac:dyDescent="0.25">
      <c r="A65" s="2" t="s">
        <v>783</v>
      </c>
      <c r="B65" s="2" t="s">
        <v>305</v>
      </c>
      <c r="C65" s="2">
        <v>700</v>
      </c>
      <c r="D65" s="2">
        <v>1500</v>
      </c>
    </row>
    <row r="66" spans="1:4" x14ac:dyDescent="0.25">
      <c r="A66" s="2" t="s">
        <v>783</v>
      </c>
      <c r="B66" s="2" t="s">
        <v>763</v>
      </c>
      <c r="C66" s="2">
        <v>800</v>
      </c>
      <c r="D66" s="2">
        <v>1800</v>
      </c>
    </row>
    <row r="67" spans="1:4" x14ac:dyDescent="0.25">
      <c r="A67" s="2" t="s">
        <v>783</v>
      </c>
      <c r="B67" s="2" t="s">
        <v>249</v>
      </c>
      <c r="C67" s="2">
        <v>1000</v>
      </c>
      <c r="D67" s="2">
        <v>2200</v>
      </c>
    </row>
    <row r="68" spans="1:4" x14ac:dyDescent="0.25">
      <c r="A68" s="2" t="s">
        <v>783</v>
      </c>
      <c r="B68" s="2" t="s">
        <v>250</v>
      </c>
      <c r="C68" s="2">
        <v>1500</v>
      </c>
      <c r="D68" s="2">
        <v>3000</v>
      </c>
    </row>
    <row r="69" spans="1:4" x14ac:dyDescent="0.25">
      <c r="A69" s="2" t="s">
        <v>783</v>
      </c>
      <c r="B69" s="2" t="s">
        <v>344</v>
      </c>
      <c r="C69" s="2">
        <v>500</v>
      </c>
      <c r="D69" s="2">
        <v>1300</v>
      </c>
    </row>
    <row r="70" spans="1:4" x14ac:dyDescent="0.25">
      <c r="A70" s="2" t="s">
        <v>783</v>
      </c>
      <c r="B70" s="2" t="s">
        <v>351</v>
      </c>
      <c r="C70" s="2">
        <v>400</v>
      </c>
      <c r="D70" s="2">
        <v>1100</v>
      </c>
    </row>
    <row r="71" spans="1:4" x14ac:dyDescent="0.25">
      <c r="A71" s="2" t="s">
        <v>785</v>
      </c>
      <c r="B71" s="2" t="s">
        <v>761</v>
      </c>
      <c r="C71" s="2">
        <v>500</v>
      </c>
      <c r="D71" s="2">
        <v>1200</v>
      </c>
    </row>
    <row r="72" spans="1:4" x14ac:dyDescent="0.25">
      <c r="A72" s="2" t="s">
        <v>785</v>
      </c>
      <c r="B72" s="2" t="s">
        <v>249</v>
      </c>
      <c r="C72" s="2">
        <v>900</v>
      </c>
      <c r="D72" s="2">
        <v>2000</v>
      </c>
    </row>
    <row r="73" spans="1:4" x14ac:dyDescent="0.25">
      <c r="A73" s="2" t="s">
        <v>785</v>
      </c>
      <c r="B73" s="2" t="s">
        <v>344</v>
      </c>
      <c r="C73" s="2">
        <v>500</v>
      </c>
      <c r="D73" s="2">
        <v>1400</v>
      </c>
    </row>
    <row r="74" spans="1:4" x14ac:dyDescent="0.25">
      <c r="A74" s="2" t="s">
        <v>522</v>
      </c>
      <c r="B74" s="2" t="s">
        <v>761</v>
      </c>
      <c r="C74" s="2">
        <v>1800</v>
      </c>
      <c r="D74" s="2">
        <v>2800</v>
      </c>
    </row>
    <row r="75" spans="1:4" x14ac:dyDescent="0.25">
      <c r="A75" s="2" t="s">
        <v>522</v>
      </c>
      <c r="B75" s="2" t="s">
        <v>305</v>
      </c>
      <c r="C75" s="2">
        <v>1600</v>
      </c>
      <c r="D75" s="2">
        <v>2600</v>
      </c>
    </row>
    <row r="76" spans="1:4" x14ac:dyDescent="0.25">
      <c r="A76" s="2" t="s">
        <v>522</v>
      </c>
      <c r="B76" s="2" t="s">
        <v>763</v>
      </c>
      <c r="C76" s="2">
        <v>2000</v>
      </c>
      <c r="D76" s="2">
        <v>3200</v>
      </c>
    </row>
    <row r="77" spans="1:4" x14ac:dyDescent="0.25">
      <c r="A77" s="2" t="s">
        <v>522</v>
      </c>
      <c r="B77" s="2" t="s">
        <v>249</v>
      </c>
      <c r="C77" s="2">
        <v>2200</v>
      </c>
      <c r="D77" s="2">
        <v>3500</v>
      </c>
    </row>
    <row r="78" spans="1:4" x14ac:dyDescent="0.25">
      <c r="A78" s="2" t="s">
        <v>522</v>
      </c>
      <c r="B78" s="2" t="s">
        <v>250</v>
      </c>
      <c r="C78" s="2">
        <v>3000</v>
      </c>
      <c r="D78" s="2">
        <v>5000</v>
      </c>
    </row>
    <row r="79" spans="1:4" x14ac:dyDescent="0.25">
      <c r="A79" s="2" t="s">
        <v>522</v>
      </c>
      <c r="B79" s="2" t="s">
        <v>351</v>
      </c>
      <c r="C79" s="2">
        <v>900</v>
      </c>
      <c r="D79" s="2">
        <v>1800</v>
      </c>
    </row>
    <row r="81" spans="1:7" x14ac:dyDescent="0.25">
      <c r="A81" s="3" t="s">
        <v>847</v>
      </c>
      <c r="B81" s="3" t="s">
        <v>848</v>
      </c>
      <c r="C81" s="4"/>
      <c r="D81" s="4"/>
      <c r="E81" s="4"/>
      <c r="F81" s="4"/>
      <c r="G81" s="4"/>
    </row>
    <row r="82" spans="1:7" x14ac:dyDescent="0.25">
      <c r="A82" s="6" t="s">
        <v>805</v>
      </c>
      <c r="B82" s="6" t="s">
        <v>849</v>
      </c>
      <c r="C82" s="6" t="s">
        <v>850</v>
      </c>
      <c r="D82" s="6" t="s">
        <v>57</v>
      </c>
    </row>
    <row r="83" spans="1:7" ht="25.5" x14ac:dyDescent="0.25">
      <c r="A83" s="2" t="s">
        <v>86</v>
      </c>
      <c r="B83" s="2" t="s">
        <v>851</v>
      </c>
      <c r="C83" s="2" t="s">
        <v>852</v>
      </c>
      <c r="D83" s="2" t="s">
        <v>853</v>
      </c>
    </row>
    <row r="84" spans="1:7" x14ac:dyDescent="0.25">
      <c r="A84" s="2" t="s">
        <v>512</v>
      </c>
      <c r="B84" s="2" t="s">
        <v>854</v>
      </c>
      <c r="C84" s="2" t="s">
        <v>19</v>
      </c>
      <c r="D84" s="2" t="s">
        <v>855</v>
      </c>
    </row>
    <row r="85" spans="1:7" x14ac:dyDescent="0.25">
      <c r="A85" s="2" t="s">
        <v>100</v>
      </c>
      <c r="B85" s="2" t="s">
        <v>856</v>
      </c>
      <c r="C85" s="2" t="s">
        <v>857</v>
      </c>
      <c r="D85" s="2" t="s">
        <v>858</v>
      </c>
    </row>
    <row r="86" spans="1:7" x14ac:dyDescent="0.25">
      <c r="A86" s="2" t="s">
        <v>163</v>
      </c>
      <c r="B86" s="2" t="s">
        <v>856</v>
      </c>
      <c r="C86" s="2" t="s">
        <v>859</v>
      </c>
      <c r="D86" s="2" t="s">
        <v>860</v>
      </c>
    </row>
    <row r="87" spans="1:7" ht="25.5" x14ac:dyDescent="0.25">
      <c r="A87" s="2" t="s">
        <v>647</v>
      </c>
      <c r="B87" s="2" t="s">
        <v>861</v>
      </c>
      <c r="C87" s="2" t="s">
        <v>862</v>
      </c>
      <c r="D87" s="2" t="s">
        <v>863</v>
      </c>
    </row>
    <row r="88" spans="1:7" x14ac:dyDescent="0.25">
      <c r="A88" s="2" t="s">
        <v>77</v>
      </c>
      <c r="B88" s="2" t="s">
        <v>864</v>
      </c>
      <c r="C88" s="2" t="s">
        <v>86</v>
      </c>
      <c r="D88" s="2" t="s">
        <v>865</v>
      </c>
    </row>
    <row r="89" spans="1:7" x14ac:dyDescent="0.25">
      <c r="A89" s="2" t="s">
        <v>866</v>
      </c>
      <c r="B89" s="2" t="s">
        <v>867</v>
      </c>
      <c r="C89" s="2"/>
      <c r="D89" s="2" t="s">
        <v>868</v>
      </c>
    </row>
    <row r="90" spans="1:7" x14ac:dyDescent="0.25">
      <c r="A90" s="2" t="s">
        <v>869</v>
      </c>
      <c r="B90" s="2" t="s">
        <v>870</v>
      </c>
      <c r="C90" s="2"/>
      <c r="D90" s="2" t="s">
        <v>871</v>
      </c>
    </row>
    <row r="91" spans="1:7" ht="25.5" x14ac:dyDescent="0.25">
      <c r="A91" s="2" t="s">
        <v>872</v>
      </c>
      <c r="B91" s="2" t="s">
        <v>873</v>
      </c>
      <c r="C91" s="2"/>
      <c r="D91" s="2" t="s">
        <v>874</v>
      </c>
    </row>
    <row r="92" spans="1:7" x14ac:dyDescent="0.25">
      <c r="A92" s="2" t="s">
        <v>875</v>
      </c>
      <c r="B92" s="2" t="s">
        <v>876</v>
      </c>
      <c r="C92" s="2"/>
      <c r="D92" s="2" t="s">
        <v>877</v>
      </c>
    </row>
    <row r="94" spans="1:7" x14ac:dyDescent="0.25">
      <c r="A94" s="3" t="s">
        <v>878</v>
      </c>
      <c r="B94" s="3" t="s">
        <v>879</v>
      </c>
      <c r="C94" s="4"/>
      <c r="D94" s="4"/>
      <c r="E94" s="4"/>
      <c r="F94" s="4"/>
      <c r="G94" s="4"/>
    </row>
    <row r="95" spans="1:7" x14ac:dyDescent="0.25">
      <c r="A95" s="6" t="s">
        <v>880</v>
      </c>
      <c r="B95" s="6" t="s">
        <v>844</v>
      </c>
      <c r="C95" s="6" t="s">
        <v>748</v>
      </c>
      <c r="D95" s="6" t="s">
        <v>881</v>
      </c>
      <c r="E95" s="6" t="s">
        <v>882</v>
      </c>
    </row>
    <row r="96" spans="1:7" x14ac:dyDescent="0.25">
      <c r="A96" s="2" t="s">
        <v>883</v>
      </c>
      <c r="B96" s="2" t="s">
        <v>65</v>
      </c>
      <c r="C96" s="2">
        <v>10</v>
      </c>
      <c r="D96" s="2" t="s">
        <v>884</v>
      </c>
      <c r="E96" s="7" t="s">
        <v>10</v>
      </c>
    </row>
    <row r="97" spans="1:5" x14ac:dyDescent="0.25">
      <c r="A97" s="2" t="s">
        <v>883</v>
      </c>
      <c r="B97" s="2" t="s">
        <v>763</v>
      </c>
      <c r="C97" s="2">
        <v>5</v>
      </c>
      <c r="D97" s="2" t="s">
        <v>885</v>
      </c>
      <c r="E97" s="7" t="s">
        <v>10</v>
      </c>
    </row>
    <row r="98" spans="1:5" x14ac:dyDescent="0.25">
      <c r="A98" s="2" t="s">
        <v>883</v>
      </c>
      <c r="B98" s="2" t="s">
        <v>250</v>
      </c>
      <c r="C98" s="2">
        <v>15</v>
      </c>
      <c r="D98" s="2" t="s">
        <v>886</v>
      </c>
      <c r="E98" s="7" t="s">
        <v>10</v>
      </c>
    </row>
    <row r="99" spans="1:5" x14ac:dyDescent="0.25">
      <c r="A99" s="2" t="s">
        <v>883</v>
      </c>
      <c r="B99" s="2" t="s">
        <v>344</v>
      </c>
      <c r="C99" s="2">
        <v>7</v>
      </c>
      <c r="D99" s="2" t="s">
        <v>887</v>
      </c>
      <c r="E99" s="7" t="s">
        <v>10</v>
      </c>
    </row>
    <row r="100" spans="1:5" x14ac:dyDescent="0.25">
      <c r="A100" s="2" t="s">
        <v>883</v>
      </c>
      <c r="B100" s="2" t="s">
        <v>351</v>
      </c>
      <c r="C100" s="2">
        <v>40</v>
      </c>
      <c r="D100" s="2" t="s">
        <v>888</v>
      </c>
      <c r="E100" s="7" t="s">
        <v>10</v>
      </c>
    </row>
    <row r="101" spans="1:5" x14ac:dyDescent="0.25">
      <c r="A101" s="2" t="s">
        <v>883</v>
      </c>
      <c r="B101" s="2" t="s">
        <v>249</v>
      </c>
      <c r="C101" s="2">
        <v>5</v>
      </c>
      <c r="D101" s="2" t="s">
        <v>889</v>
      </c>
      <c r="E101" s="7" t="s">
        <v>10</v>
      </c>
    </row>
    <row r="102" spans="1:5" ht="25.5" x14ac:dyDescent="0.25">
      <c r="A102" s="2" t="s">
        <v>890</v>
      </c>
      <c r="B102" s="2" t="s">
        <v>65</v>
      </c>
      <c r="C102" s="2">
        <v>20</v>
      </c>
      <c r="D102" s="2" t="s">
        <v>891</v>
      </c>
      <c r="E102" s="7" t="s">
        <v>10</v>
      </c>
    </row>
    <row r="103" spans="1:5" x14ac:dyDescent="0.25">
      <c r="A103" s="2" t="s">
        <v>892</v>
      </c>
      <c r="B103" s="2" t="s">
        <v>65</v>
      </c>
      <c r="C103" s="2">
        <v>1</v>
      </c>
      <c r="D103" s="2" t="s">
        <v>893</v>
      </c>
      <c r="E103" s="7" t="s">
        <v>10</v>
      </c>
    </row>
    <row r="104" spans="1:5" x14ac:dyDescent="0.25">
      <c r="A104" s="2" t="s">
        <v>894</v>
      </c>
      <c r="B104" s="2" t="s">
        <v>65</v>
      </c>
      <c r="C104" s="2">
        <v>80</v>
      </c>
      <c r="D104" s="2" t="s">
        <v>895</v>
      </c>
      <c r="E104" s="7" t="s">
        <v>10</v>
      </c>
    </row>
    <row r="105" spans="1:5" x14ac:dyDescent="0.25">
      <c r="A105" s="2" t="s">
        <v>896</v>
      </c>
      <c r="B105" s="2" t="s">
        <v>65</v>
      </c>
      <c r="C105" s="2">
        <v>1.2</v>
      </c>
      <c r="D105" s="2" t="s">
        <v>897</v>
      </c>
      <c r="E105" s="7" t="s">
        <v>10</v>
      </c>
    </row>
    <row r="106" spans="1:5" x14ac:dyDescent="0.25">
      <c r="A106" s="2" t="s">
        <v>898</v>
      </c>
      <c r="B106" s="2" t="s">
        <v>65</v>
      </c>
      <c r="C106" s="2">
        <v>25</v>
      </c>
      <c r="D106" s="2" t="s">
        <v>899</v>
      </c>
      <c r="E106" s="7" t="s">
        <v>10</v>
      </c>
    </row>
    <row r="107" spans="1:5" x14ac:dyDescent="0.25">
      <c r="A107" s="2" t="s">
        <v>898</v>
      </c>
      <c r="B107" s="2" t="s">
        <v>308</v>
      </c>
      <c r="C107" s="2">
        <v>25</v>
      </c>
      <c r="D107" s="2" t="s">
        <v>900</v>
      </c>
      <c r="E107" s="7" t="s">
        <v>10</v>
      </c>
    </row>
    <row r="108" spans="1:5" x14ac:dyDescent="0.25">
      <c r="A108" s="2" t="s">
        <v>898</v>
      </c>
      <c r="B108" s="2" t="s">
        <v>250</v>
      </c>
      <c r="C108" s="2">
        <v>70</v>
      </c>
      <c r="D108" s="2" t="s">
        <v>901</v>
      </c>
      <c r="E108" s="7" t="s">
        <v>10</v>
      </c>
    </row>
    <row r="109" spans="1:5" x14ac:dyDescent="0.25">
      <c r="A109" s="2" t="s">
        <v>902</v>
      </c>
      <c r="B109" s="2" t="s">
        <v>65</v>
      </c>
      <c r="C109" s="2">
        <v>35</v>
      </c>
      <c r="D109" s="2" t="s">
        <v>903</v>
      </c>
      <c r="E109" s="7" t="s">
        <v>10</v>
      </c>
    </row>
    <row r="110" spans="1:5" x14ac:dyDescent="0.25">
      <c r="A110" s="2" t="s">
        <v>904</v>
      </c>
      <c r="B110" s="2" t="s">
        <v>65</v>
      </c>
      <c r="C110" s="2">
        <v>6</v>
      </c>
      <c r="D110" s="2" t="s">
        <v>905</v>
      </c>
      <c r="E110" s="7" t="s">
        <v>10</v>
      </c>
    </row>
    <row r="111" spans="1:5" x14ac:dyDescent="0.25">
      <c r="A111" s="2" t="s">
        <v>906</v>
      </c>
      <c r="B111" s="2" t="s">
        <v>65</v>
      </c>
      <c r="C111" s="2">
        <v>1</v>
      </c>
      <c r="D111" s="2" t="s">
        <v>907</v>
      </c>
      <c r="E111" s="7" t="s">
        <v>10</v>
      </c>
    </row>
    <row r="112" spans="1:5" x14ac:dyDescent="0.25">
      <c r="A112" s="2" t="s">
        <v>908</v>
      </c>
      <c r="B112" s="2" t="s">
        <v>65</v>
      </c>
      <c r="C112" s="2">
        <v>0.03</v>
      </c>
      <c r="D112" s="2" t="s">
        <v>909</v>
      </c>
      <c r="E112" s="7" t="s">
        <v>10</v>
      </c>
    </row>
    <row r="113" spans="1:7" x14ac:dyDescent="0.25">
      <c r="A113" s="2" t="s">
        <v>908</v>
      </c>
      <c r="B113" s="2" t="s">
        <v>249</v>
      </c>
      <c r="C113" s="2">
        <v>0.1</v>
      </c>
      <c r="D113" s="2" t="s">
        <v>910</v>
      </c>
      <c r="E113" s="7" t="s">
        <v>10</v>
      </c>
    </row>
    <row r="114" spans="1:7" x14ac:dyDescent="0.25">
      <c r="A114" s="2" t="s">
        <v>911</v>
      </c>
      <c r="B114" s="2" t="s">
        <v>65</v>
      </c>
      <c r="C114" s="2">
        <v>0.1</v>
      </c>
      <c r="D114" s="2" t="s">
        <v>912</v>
      </c>
      <c r="E114" s="7" t="s">
        <v>10</v>
      </c>
    </row>
    <row r="115" spans="1:7" x14ac:dyDescent="0.25">
      <c r="A115" s="2" t="s">
        <v>911</v>
      </c>
      <c r="B115" s="2" t="s">
        <v>763</v>
      </c>
      <c r="C115" s="2">
        <v>0.15</v>
      </c>
      <c r="D115" s="2" t="s">
        <v>913</v>
      </c>
      <c r="E115" s="7" t="s">
        <v>10</v>
      </c>
    </row>
    <row r="116" spans="1:7" x14ac:dyDescent="0.25">
      <c r="A116" s="2" t="s">
        <v>914</v>
      </c>
      <c r="B116" s="2" t="s">
        <v>65</v>
      </c>
      <c r="C116" s="2">
        <v>0.1</v>
      </c>
      <c r="D116" s="2" t="s">
        <v>915</v>
      </c>
      <c r="E116" s="7" t="s">
        <v>10</v>
      </c>
    </row>
    <row r="117" spans="1:7" x14ac:dyDescent="0.25">
      <c r="A117" s="2" t="s">
        <v>914</v>
      </c>
      <c r="B117" s="2" t="s">
        <v>250</v>
      </c>
      <c r="C117" s="2">
        <v>0.4</v>
      </c>
      <c r="D117" s="2" t="s">
        <v>916</v>
      </c>
      <c r="E117" s="7" t="s">
        <v>10</v>
      </c>
    </row>
    <row r="118" spans="1:7" x14ac:dyDescent="0.25">
      <c r="A118" s="2" t="s">
        <v>917</v>
      </c>
      <c r="B118" s="2" t="s">
        <v>65</v>
      </c>
      <c r="C118" s="2">
        <v>2</v>
      </c>
      <c r="D118" s="2" t="s">
        <v>592</v>
      </c>
      <c r="E118" s="7" t="s">
        <v>10</v>
      </c>
    </row>
    <row r="119" spans="1:7" x14ac:dyDescent="0.25">
      <c r="A119" s="2" t="s">
        <v>918</v>
      </c>
      <c r="B119" s="2" t="s">
        <v>65</v>
      </c>
      <c r="C119" s="2">
        <v>0.1</v>
      </c>
      <c r="D119" s="2" t="s">
        <v>919</v>
      </c>
      <c r="E119" s="7" t="s">
        <v>10</v>
      </c>
    </row>
    <row r="120" spans="1:7" x14ac:dyDescent="0.25">
      <c r="A120" s="2" t="s">
        <v>920</v>
      </c>
      <c r="B120" s="2" t="s">
        <v>65</v>
      </c>
      <c r="C120" s="2">
        <v>1.5</v>
      </c>
      <c r="D120" s="2" t="s">
        <v>921</v>
      </c>
      <c r="E120" s="7" t="s">
        <v>10</v>
      </c>
    </row>
    <row r="121" spans="1:7" x14ac:dyDescent="0.25">
      <c r="A121" s="2" t="s">
        <v>922</v>
      </c>
      <c r="B121" s="2" t="s">
        <v>65</v>
      </c>
      <c r="C121" s="2">
        <v>0.6</v>
      </c>
      <c r="D121" s="2" t="s">
        <v>923</v>
      </c>
      <c r="E121" s="7" t="s">
        <v>10</v>
      </c>
    </row>
    <row r="122" spans="1:7" x14ac:dyDescent="0.25">
      <c r="A122" s="2" t="s">
        <v>924</v>
      </c>
      <c r="B122" s="2" t="s">
        <v>65</v>
      </c>
      <c r="C122" s="2">
        <v>0.4</v>
      </c>
      <c r="D122" s="2" t="s">
        <v>925</v>
      </c>
      <c r="E122" s="7" t="s">
        <v>10</v>
      </c>
    </row>
    <row r="123" spans="1:7" ht="25.5" x14ac:dyDescent="0.25">
      <c r="A123" s="2" t="s">
        <v>926</v>
      </c>
      <c r="B123" s="2" t="s">
        <v>65</v>
      </c>
      <c r="C123" s="2">
        <v>4</v>
      </c>
      <c r="D123" s="2" t="s">
        <v>927</v>
      </c>
      <c r="E123" s="7" t="s">
        <v>10</v>
      </c>
    </row>
    <row r="125" spans="1:7" x14ac:dyDescent="0.25">
      <c r="A125" s="3" t="s">
        <v>928</v>
      </c>
      <c r="B125" s="3" t="s">
        <v>929</v>
      </c>
      <c r="C125" s="4"/>
      <c r="D125" s="4"/>
      <c r="E125" s="4"/>
      <c r="F125" s="4"/>
      <c r="G125" s="4"/>
    </row>
    <row r="126" spans="1:7" x14ac:dyDescent="0.25">
      <c r="A126" s="6" t="s">
        <v>880</v>
      </c>
      <c r="B126" s="6" t="s">
        <v>748</v>
      </c>
      <c r="C126" s="6" t="s">
        <v>930</v>
      </c>
      <c r="D126" s="6" t="s">
        <v>931</v>
      </c>
      <c r="E126" s="6" t="s">
        <v>882</v>
      </c>
    </row>
    <row r="127" spans="1:7" x14ac:dyDescent="0.25">
      <c r="A127" s="2" t="s">
        <v>932</v>
      </c>
      <c r="B127" s="2">
        <v>1.05</v>
      </c>
      <c r="C127" s="2" t="s">
        <v>933</v>
      </c>
      <c r="D127" s="2" t="s">
        <v>934</v>
      </c>
      <c r="E127" s="7" t="s">
        <v>10</v>
      </c>
    </row>
    <row r="129" spans="1:7" x14ac:dyDescent="0.25">
      <c r="A129" s="3" t="s">
        <v>935</v>
      </c>
      <c r="B129" s="3" t="s">
        <v>936</v>
      </c>
      <c r="C129" s="4"/>
      <c r="D129" s="4"/>
      <c r="E129" s="4"/>
      <c r="F129" s="4"/>
      <c r="G129" s="4"/>
    </row>
    <row r="130" spans="1:7" x14ac:dyDescent="0.25">
      <c r="A130" s="6" t="s">
        <v>756</v>
      </c>
      <c r="B130" s="6" t="s">
        <v>937</v>
      </c>
      <c r="C130" s="6" t="s">
        <v>938</v>
      </c>
      <c r="D130" s="6" t="s">
        <v>939</v>
      </c>
      <c r="E130" s="6" t="s">
        <v>940</v>
      </c>
      <c r="F130" s="6" t="s">
        <v>941</v>
      </c>
    </row>
    <row r="131" spans="1:7" x14ac:dyDescent="0.25">
      <c r="A131" s="2" t="s">
        <v>942</v>
      </c>
      <c r="B131" s="2" t="s">
        <v>943</v>
      </c>
      <c r="C131" s="2" t="s">
        <v>944</v>
      </c>
      <c r="D131" s="2" t="s">
        <v>945</v>
      </c>
      <c r="E131" s="2">
        <v>8</v>
      </c>
      <c r="F131" s="2">
        <v>10</v>
      </c>
    </row>
    <row r="132" spans="1:7" x14ac:dyDescent="0.25">
      <c r="A132" s="2" t="s">
        <v>942</v>
      </c>
      <c r="B132" s="2" t="s">
        <v>943</v>
      </c>
      <c r="C132" s="2" t="s">
        <v>946</v>
      </c>
      <c r="D132" s="2" t="s">
        <v>947</v>
      </c>
      <c r="E132" s="2">
        <v>2</v>
      </c>
      <c r="F132" s="2">
        <v>12</v>
      </c>
    </row>
    <row r="133" spans="1:7" x14ac:dyDescent="0.25">
      <c r="A133" s="2" t="s">
        <v>942</v>
      </c>
      <c r="B133" s="2" t="s">
        <v>943</v>
      </c>
      <c r="C133" s="2" t="s">
        <v>946</v>
      </c>
      <c r="D133" s="2" t="s">
        <v>948</v>
      </c>
      <c r="E133" s="2">
        <v>1</v>
      </c>
      <c r="F133" s="2">
        <v>11</v>
      </c>
    </row>
    <row r="134" spans="1:7" x14ac:dyDescent="0.25">
      <c r="A134" s="2" t="s">
        <v>942</v>
      </c>
      <c r="B134" s="2" t="s">
        <v>943</v>
      </c>
      <c r="C134" s="2" t="s">
        <v>946</v>
      </c>
      <c r="D134" s="2" t="s">
        <v>949</v>
      </c>
      <c r="E134" s="2">
        <v>0.5</v>
      </c>
      <c r="F134" s="2">
        <v>10</v>
      </c>
    </row>
    <row r="135" spans="1:7" x14ac:dyDescent="0.25">
      <c r="A135" s="2" t="s">
        <v>942</v>
      </c>
      <c r="B135" s="2" t="s">
        <v>943</v>
      </c>
      <c r="C135" s="2" t="s">
        <v>946</v>
      </c>
      <c r="D135" s="2" t="s">
        <v>950</v>
      </c>
      <c r="E135" s="2">
        <v>0.5</v>
      </c>
      <c r="F135" s="2">
        <v>10</v>
      </c>
    </row>
    <row r="136" spans="1:7" x14ac:dyDescent="0.25">
      <c r="A136" s="2" t="s">
        <v>942</v>
      </c>
      <c r="B136" s="2" t="s">
        <v>943</v>
      </c>
      <c r="C136" s="2" t="s">
        <v>946</v>
      </c>
      <c r="D136" s="2" t="s">
        <v>951</v>
      </c>
      <c r="E136" s="2">
        <v>0.5</v>
      </c>
      <c r="F136" s="2">
        <v>10</v>
      </c>
    </row>
    <row r="137" spans="1:7" x14ac:dyDescent="0.25">
      <c r="A137" s="2" t="s">
        <v>952</v>
      </c>
      <c r="B137" s="2" t="s">
        <v>953</v>
      </c>
      <c r="C137" s="2" t="s">
        <v>954</v>
      </c>
      <c r="D137" s="2" t="s">
        <v>955</v>
      </c>
      <c r="E137" s="2">
        <v>11</v>
      </c>
      <c r="F137" s="2"/>
    </row>
    <row r="138" spans="1:7" x14ac:dyDescent="0.25">
      <c r="A138" s="2" t="s">
        <v>952</v>
      </c>
      <c r="B138" s="2" t="s">
        <v>953</v>
      </c>
      <c r="C138" s="2" t="s">
        <v>954</v>
      </c>
      <c r="D138" s="2" t="s">
        <v>956</v>
      </c>
      <c r="E138" s="2">
        <v>9.5</v>
      </c>
      <c r="F138" s="2"/>
    </row>
    <row r="139" spans="1:7" x14ac:dyDescent="0.25">
      <c r="A139" s="2" t="s">
        <v>952</v>
      </c>
      <c r="B139" s="2" t="s">
        <v>953</v>
      </c>
      <c r="C139" s="2" t="s">
        <v>954</v>
      </c>
      <c r="D139" s="2" t="s">
        <v>957</v>
      </c>
      <c r="E139" s="2">
        <v>8.5</v>
      </c>
      <c r="F139" s="2"/>
    </row>
    <row r="140" spans="1:7" x14ac:dyDescent="0.25">
      <c r="A140" s="2" t="s">
        <v>958</v>
      </c>
      <c r="B140" s="2" t="s">
        <v>959</v>
      </c>
      <c r="C140" s="2" t="s">
        <v>944</v>
      </c>
      <c r="D140" s="2" t="s">
        <v>960</v>
      </c>
      <c r="E140" s="2">
        <v>13.5</v>
      </c>
      <c r="F140" s="2"/>
    </row>
    <row r="141" spans="1:7" x14ac:dyDescent="0.25">
      <c r="A141" s="2" t="s">
        <v>958</v>
      </c>
      <c r="B141" s="2" t="s">
        <v>959</v>
      </c>
      <c r="C141" s="2" t="s">
        <v>944</v>
      </c>
      <c r="D141" s="2" t="s">
        <v>961</v>
      </c>
      <c r="E141" s="2">
        <v>11.5</v>
      </c>
      <c r="F141" s="2"/>
    </row>
    <row r="142" spans="1:7" x14ac:dyDescent="0.25">
      <c r="A142" s="2" t="s">
        <v>958</v>
      </c>
      <c r="B142" s="2" t="s">
        <v>959</v>
      </c>
      <c r="C142" s="2" t="s">
        <v>944</v>
      </c>
      <c r="D142" s="2" t="s">
        <v>962</v>
      </c>
      <c r="E142" s="2">
        <v>8.5</v>
      </c>
      <c r="F142" s="2"/>
    </row>
    <row r="143" spans="1:7" x14ac:dyDescent="0.25">
      <c r="A143" s="2" t="s">
        <v>958</v>
      </c>
      <c r="B143" s="2" t="s">
        <v>959</v>
      </c>
      <c r="C143" s="2" t="s">
        <v>944</v>
      </c>
      <c r="D143" s="2" t="s">
        <v>963</v>
      </c>
      <c r="E143" s="2">
        <v>6</v>
      </c>
      <c r="F143" s="2"/>
    </row>
    <row r="144" spans="1:7" x14ac:dyDescent="0.25">
      <c r="A144" s="2" t="s">
        <v>958</v>
      </c>
      <c r="B144" s="2" t="s">
        <v>959</v>
      </c>
      <c r="C144" s="2" t="s">
        <v>946</v>
      </c>
      <c r="D144" s="2" t="s">
        <v>1046</v>
      </c>
      <c r="E144" s="2">
        <v>1.5</v>
      </c>
      <c r="F144" s="2"/>
    </row>
    <row r="145" spans="1:6" x14ac:dyDescent="0.25">
      <c r="A145" s="2" t="s">
        <v>958</v>
      </c>
      <c r="B145" s="2" t="s">
        <v>959</v>
      </c>
      <c r="C145" s="2" t="s">
        <v>946</v>
      </c>
      <c r="D145" s="2" t="s">
        <v>964</v>
      </c>
      <c r="E145" s="2">
        <v>1</v>
      </c>
      <c r="F145" s="2"/>
    </row>
    <row r="146" spans="1:6" ht="38.25" x14ac:dyDescent="0.25">
      <c r="A146" s="2" t="s">
        <v>958</v>
      </c>
      <c r="B146" s="2" t="s">
        <v>959</v>
      </c>
      <c r="C146" s="2" t="s">
        <v>946</v>
      </c>
      <c r="D146" s="2" t="s">
        <v>965</v>
      </c>
      <c r="E146" s="2">
        <v>2</v>
      </c>
      <c r="F146" s="2"/>
    </row>
    <row r="147" spans="1:6" x14ac:dyDescent="0.25">
      <c r="A147" s="2" t="s">
        <v>966</v>
      </c>
      <c r="B147" s="2" t="s">
        <v>967</v>
      </c>
      <c r="C147" s="2" t="s">
        <v>944</v>
      </c>
      <c r="D147" s="2" t="s">
        <v>968</v>
      </c>
      <c r="E147" s="2">
        <v>3.5</v>
      </c>
      <c r="F147" s="2"/>
    </row>
    <row r="148" spans="1:6" x14ac:dyDescent="0.25">
      <c r="A148" s="2" t="s">
        <v>966</v>
      </c>
      <c r="B148" s="2" t="s">
        <v>967</v>
      </c>
      <c r="C148" s="2" t="s">
        <v>944</v>
      </c>
      <c r="D148" s="2" t="s">
        <v>969</v>
      </c>
      <c r="E148" s="2">
        <v>4</v>
      </c>
      <c r="F148" s="2"/>
    </row>
    <row r="149" spans="1:6" x14ac:dyDescent="0.25">
      <c r="A149" s="2" t="s">
        <v>966</v>
      </c>
      <c r="B149" s="2" t="s">
        <v>967</v>
      </c>
      <c r="C149" s="2" t="s">
        <v>944</v>
      </c>
      <c r="D149" s="2" t="s">
        <v>970</v>
      </c>
      <c r="E149" s="2">
        <v>4</v>
      </c>
      <c r="F149" s="2"/>
    </row>
    <row r="150" spans="1:6" x14ac:dyDescent="0.25">
      <c r="A150" s="2" t="s">
        <v>966</v>
      </c>
      <c r="B150" s="2" t="s">
        <v>967</v>
      </c>
      <c r="C150" s="2" t="s">
        <v>944</v>
      </c>
      <c r="D150" s="2" t="s">
        <v>971</v>
      </c>
      <c r="E150" s="2">
        <v>2.5</v>
      </c>
      <c r="F150" s="2"/>
    </row>
    <row r="151" spans="1:6" x14ac:dyDescent="0.25">
      <c r="A151" s="2" t="s">
        <v>966</v>
      </c>
      <c r="B151" s="2" t="s">
        <v>967</v>
      </c>
      <c r="C151" s="2" t="s">
        <v>944</v>
      </c>
      <c r="D151" s="2" t="s">
        <v>972</v>
      </c>
      <c r="E151" s="2">
        <v>2</v>
      </c>
      <c r="F151" s="2"/>
    </row>
    <row r="152" spans="1:6" x14ac:dyDescent="0.25">
      <c r="A152" s="2" t="s">
        <v>966</v>
      </c>
      <c r="B152" s="2" t="s">
        <v>967</v>
      </c>
      <c r="C152" s="2" t="s">
        <v>944</v>
      </c>
      <c r="D152" s="2" t="s">
        <v>973</v>
      </c>
      <c r="E152" s="2">
        <v>3</v>
      </c>
      <c r="F152" s="2"/>
    </row>
    <row r="153" spans="1:6" x14ac:dyDescent="0.25">
      <c r="A153" s="2" t="s">
        <v>966</v>
      </c>
      <c r="B153" s="2" t="s">
        <v>967</v>
      </c>
      <c r="C153" s="2" t="s">
        <v>946</v>
      </c>
      <c r="D153" s="2" t="s">
        <v>974</v>
      </c>
      <c r="E153" s="2">
        <v>0.5</v>
      </c>
      <c r="F153" s="2"/>
    </row>
    <row r="154" spans="1:6" ht="38.25" x14ac:dyDescent="0.25">
      <c r="A154" s="2" t="s">
        <v>966</v>
      </c>
      <c r="B154" s="2" t="s">
        <v>967</v>
      </c>
      <c r="C154" s="2" t="s">
        <v>944</v>
      </c>
      <c r="D154" s="2" t="s">
        <v>975</v>
      </c>
      <c r="E154" s="2">
        <v>4</v>
      </c>
      <c r="F154" s="2"/>
    </row>
    <row r="155" spans="1:6" x14ac:dyDescent="0.25">
      <c r="A155" s="2" t="s">
        <v>976</v>
      </c>
      <c r="B155" s="2" t="s">
        <v>977</v>
      </c>
      <c r="C155" s="2" t="s">
        <v>944</v>
      </c>
      <c r="D155" s="2" t="s">
        <v>978</v>
      </c>
      <c r="E155" s="2">
        <v>5</v>
      </c>
      <c r="F155" s="2">
        <v>10</v>
      </c>
    </row>
    <row r="156" spans="1:6" x14ac:dyDescent="0.25">
      <c r="A156" s="2" t="s">
        <v>976</v>
      </c>
      <c r="B156" s="2" t="s">
        <v>977</v>
      </c>
      <c r="C156" s="2" t="s">
        <v>946</v>
      </c>
      <c r="D156" s="2" t="s">
        <v>979</v>
      </c>
      <c r="E156" s="2">
        <v>2</v>
      </c>
      <c r="F156" s="2">
        <v>10</v>
      </c>
    </row>
    <row r="157" spans="1:6" x14ac:dyDescent="0.25">
      <c r="A157" s="2" t="s">
        <v>976</v>
      </c>
      <c r="B157" s="2" t="s">
        <v>977</v>
      </c>
      <c r="C157" s="2" t="s">
        <v>946</v>
      </c>
      <c r="D157" s="2" t="s">
        <v>980</v>
      </c>
      <c r="E157" s="2">
        <v>2</v>
      </c>
      <c r="F157" s="2">
        <v>10</v>
      </c>
    </row>
    <row r="158" spans="1:6" x14ac:dyDescent="0.25">
      <c r="A158" s="2" t="s">
        <v>976</v>
      </c>
      <c r="B158" s="2" t="s">
        <v>977</v>
      </c>
      <c r="C158" s="2" t="s">
        <v>946</v>
      </c>
      <c r="D158" s="2" t="s">
        <v>981</v>
      </c>
      <c r="E158" s="2">
        <v>1.5</v>
      </c>
      <c r="F158" s="2">
        <v>10</v>
      </c>
    </row>
    <row r="159" spans="1:6" x14ac:dyDescent="0.25">
      <c r="A159" s="2" t="s">
        <v>976</v>
      </c>
      <c r="B159" s="2" t="s">
        <v>977</v>
      </c>
      <c r="C159" s="2" t="s">
        <v>946</v>
      </c>
      <c r="D159" s="2" t="s">
        <v>982</v>
      </c>
      <c r="E159" s="2">
        <v>1.5</v>
      </c>
      <c r="F159" s="2">
        <v>10</v>
      </c>
    </row>
    <row r="160" spans="1:6" x14ac:dyDescent="0.25">
      <c r="A160" s="2" t="s">
        <v>976</v>
      </c>
      <c r="B160" s="2" t="s">
        <v>977</v>
      </c>
      <c r="C160" s="2" t="s">
        <v>946</v>
      </c>
      <c r="D160" s="2" t="s">
        <v>983</v>
      </c>
      <c r="E160" s="2">
        <v>1</v>
      </c>
      <c r="F160" s="2">
        <v>10</v>
      </c>
    </row>
    <row r="161" spans="1:6" x14ac:dyDescent="0.25">
      <c r="A161" s="2" t="s">
        <v>976</v>
      </c>
      <c r="B161" s="2" t="s">
        <v>977</v>
      </c>
      <c r="C161" s="2" t="s">
        <v>946</v>
      </c>
      <c r="D161" s="2" t="s">
        <v>984</v>
      </c>
      <c r="E161" s="2">
        <v>0.5</v>
      </c>
      <c r="F161" s="2">
        <v>10</v>
      </c>
    </row>
    <row r="162" spans="1:6" x14ac:dyDescent="0.25">
      <c r="A162" s="2" t="s">
        <v>976</v>
      </c>
      <c r="B162" s="2" t="s">
        <v>977</v>
      </c>
      <c r="C162" s="2" t="s">
        <v>946</v>
      </c>
      <c r="D162" s="2" t="s">
        <v>985</v>
      </c>
      <c r="E162" s="2">
        <v>0.5</v>
      </c>
      <c r="F162" s="2">
        <v>10</v>
      </c>
    </row>
    <row r="163" spans="1:6" x14ac:dyDescent="0.25">
      <c r="A163" s="2" t="s">
        <v>976</v>
      </c>
      <c r="B163" s="2" t="s">
        <v>977</v>
      </c>
      <c r="C163" s="2" t="s">
        <v>946</v>
      </c>
      <c r="D163" s="2" t="s">
        <v>986</v>
      </c>
      <c r="E163" s="2">
        <v>0.5</v>
      </c>
      <c r="F163" s="2">
        <v>10</v>
      </c>
    </row>
    <row r="164" spans="1:6" x14ac:dyDescent="0.25">
      <c r="A164" s="2" t="s">
        <v>976</v>
      </c>
      <c r="B164" s="2" t="s">
        <v>977</v>
      </c>
      <c r="C164" s="2" t="s">
        <v>946</v>
      </c>
      <c r="D164" s="2" t="s">
        <v>987</v>
      </c>
      <c r="E164" s="2">
        <v>0.5</v>
      </c>
      <c r="F164" s="2">
        <v>10</v>
      </c>
    </row>
    <row r="165" spans="1:6" x14ac:dyDescent="0.25">
      <c r="A165" s="2" t="s">
        <v>976</v>
      </c>
      <c r="B165" s="2" t="s">
        <v>977</v>
      </c>
      <c r="C165" s="2" t="s">
        <v>946</v>
      </c>
      <c r="D165" s="2" t="s">
        <v>988</v>
      </c>
      <c r="E165" s="2">
        <v>1</v>
      </c>
      <c r="F165" s="2">
        <v>10</v>
      </c>
    </row>
    <row r="166" spans="1:6" x14ac:dyDescent="0.25">
      <c r="A166" s="2" t="s">
        <v>976</v>
      </c>
      <c r="B166" s="2" t="s">
        <v>977</v>
      </c>
      <c r="C166" s="2" t="s">
        <v>946</v>
      </c>
      <c r="D166" s="2" t="s">
        <v>947</v>
      </c>
      <c r="E166" s="2">
        <v>0.5</v>
      </c>
      <c r="F166" s="2">
        <v>10</v>
      </c>
    </row>
    <row r="167" spans="1:6" ht="25.5" x14ac:dyDescent="0.25">
      <c r="A167" s="2" t="s">
        <v>989</v>
      </c>
      <c r="B167" s="2" t="s">
        <v>990</v>
      </c>
      <c r="C167" s="2" t="s">
        <v>991</v>
      </c>
      <c r="D167" s="2" t="s">
        <v>992</v>
      </c>
      <c r="E167" s="2">
        <v>5</v>
      </c>
      <c r="F167" s="2">
        <v>5</v>
      </c>
    </row>
    <row r="168" spans="1:6" x14ac:dyDescent="0.25">
      <c r="A168" s="2" t="s">
        <v>993</v>
      </c>
      <c r="B168" s="2" t="s">
        <v>994</v>
      </c>
      <c r="C168" s="2" t="s">
        <v>995</v>
      </c>
      <c r="D168" s="2" t="s">
        <v>996</v>
      </c>
      <c r="E168" s="2">
        <v>0</v>
      </c>
      <c r="F168" s="2">
        <v>12</v>
      </c>
    </row>
    <row r="169" spans="1:6" x14ac:dyDescent="0.25">
      <c r="A169" s="2" t="s">
        <v>993</v>
      </c>
      <c r="B169" s="2" t="s">
        <v>994</v>
      </c>
      <c r="C169" s="2" t="s">
        <v>995</v>
      </c>
      <c r="D169" s="2" t="s">
        <v>997</v>
      </c>
      <c r="E169" s="2">
        <v>2</v>
      </c>
      <c r="F169" s="2">
        <v>12</v>
      </c>
    </row>
    <row r="170" spans="1:6" x14ac:dyDescent="0.25">
      <c r="A170" s="2" t="s">
        <v>993</v>
      </c>
      <c r="B170" s="2" t="s">
        <v>994</v>
      </c>
      <c r="C170" s="2" t="s">
        <v>995</v>
      </c>
      <c r="D170" s="2" t="s">
        <v>998</v>
      </c>
      <c r="E170" s="2">
        <v>4</v>
      </c>
      <c r="F170" s="2">
        <v>12</v>
      </c>
    </row>
    <row r="171" spans="1:6" x14ac:dyDescent="0.25">
      <c r="A171" s="2" t="s">
        <v>993</v>
      </c>
      <c r="B171" s="2" t="s">
        <v>994</v>
      </c>
      <c r="C171" s="2" t="s">
        <v>995</v>
      </c>
      <c r="D171" s="2" t="s">
        <v>999</v>
      </c>
      <c r="E171" s="2">
        <v>6</v>
      </c>
      <c r="F171" s="2">
        <v>12</v>
      </c>
    </row>
    <row r="172" spans="1:6" x14ac:dyDescent="0.25">
      <c r="A172" s="2" t="s">
        <v>993</v>
      </c>
      <c r="B172" s="2" t="s">
        <v>1000</v>
      </c>
      <c r="C172" s="2" t="s">
        <v>995</v>
      </c>
      <c r="D172" s="2" t="s">
        <v>1001</v>
      </c>
      <c r="E172" s="2">
        <v>1</v>
      </c>
      <c r="F172" s="2">
        <v>12</v>
      </c>
    </row>
    <row r="173" spans="1:6" x14ac:dyDescent="0.25">
      <c r="A173" s="2" t="s">
        <v>993</v>
      </c>
      <c r="B173" s="2" t="s">
        <v>1000</v>
      </c>
      <c r="C173" s="2" t="s">
        <v>995</v>
      </c>
      <c r="D173" s="2" t="s">
        <v>1002</v>
      </c>
      <c r="E173" s="2">
        <v>2</v>
      </c>
      <c r="F173" s="2">
        <v>12</v>
      </c>
    </row>
    <row r="174" spans="1:6" x14ac:dyDescent="0.25">
      <c r="A174" s="2" t="s">
        <v>993</v>
      </c>
      <c r="B174" s="2" t="s">
        <v>1000</v>
      </c>
      <c r="C174" s="2" t="s">
        <v>995</v>
      </c>
      <c r="D174" s="2" t="s">
        <v>1003</v>
      </c>
      <c r="E174" s="2">
        <v>3</v>
      </c>
      <c r="F174" s="2">
        <v>12</v>
      </c>
    </row>
    <row r="175" spans="1:6" x14ac:dyDescent="0.25">
      <c r="A175" s="2" t="s">
        <v>993</v>
      </c>
      <c r="B175" s="2" t="s">
        <v>1000</v>
      </c>
      <c r="C175" s="2" t="s">
        <v>995</v>
      </c>
      <c r="D175" s="2" t="s">
        <v>1004</v>
      </c>
      <c r="E175" s="2">
        <v>4</v>
      </c>
      <c r="F175" s="2">
        <v>12</v>
      </c>
    </row>
    <row r="176" spans="1:6" x14ac:dyDescent="0.25">
      <c r="A176" s="2" t="s">
        <v>993</v>
      </c>
      <c r="B176" s="2" t="s">
        <v>1000</v>
      </c>
      <c r="C176" s="2" t="s">
        <v>995</v>
      </c>
      <c r="D176" s="2" t="s">
        <v>1005</v>
      </c>
      <c r="E176" s="2">
        <v>5</v>
      </c>
      <c r="F176" s="2">
        <v>12</v>
      </c>
    </row>
    <row r="177" spans="1:7" ht="25.5" x14ac:dyDescent="0.25">
      <c r="A177" s="2" t="s">
        <v>1006</v>
      </c>
      <c r="B177" s="2" t="s">
        <v>1007</v>
      </c>
      <c r="C177" s="2" t="s">
        <v>991</v>
      </c>
      <c r="D177" s="2" t="s">
        <v>1008</v>
      </c>
      <c r="E177" s="2">
        <v>20</v>
      </c>
      <c r="F177" s="2">
        <v>20</v>
      </c>
    </row>
    <row r="179" spans="1:7" x14ac:dyDescent="0.25">
      <c r="A179" s="3" t="s">
        <v>1009</v>
      </c>
      <c r="B179" s="3" t="s">
        <v>1010</v>
      </c>
      <c r="C179" s="4"/>
      <c r="D179" s="4"/>
      <c r="E179" s="4"/>
      <c r="F179" s="4"/>
      <c r="G179" s="4"/>
    </row>
    <row r="180" spans="1:7" x14ac:dyDescent="0.25">
      <c r="A180" s="6" t="s">
        <v>1011</v>
      </c>
      <c r="B180" s="6" t="s">
        <v>1012</v>
      </c>
      <c r="C180" s="6" t="s">
        <v>1013</v>
      </c>
      <c r="D180" s="6" t="s">
        <v>1014</v>
      </c>
      <c r="E180" s="6" t="s">
        <v>751</v>
      </c>
    </row>
    <row r="181" spans="1:7" x14ac:dyDescent="0.25">
      <c r="A181" s="2" t="s">
        <v>291</v>
      </c>
      <c r="B181" s="2" t="s">
        <v>1015</v>
      </c>
      <c r="C181" s="2" t="s">
        <v>1016</v>
      </c>
      <c r="D181" s="2" t="s">
        <v>1017</v>
      </c>
      <c r="E181" s="2" t="s">
        <v>752</v>
      </c>
    </row>
    <row r="182" spans="1:7" x14ac:dyDescent="0.25">
      <c r="A182" s="2" t="s">
        <v>1018</v>
      </c>
      <c r="B182" s="2" t="s">
        <v>1019</v>
      </c>
      <c r="C182" s="2" t="s">
        <v>1016</v>
      </c>
      <c r="D182" s="2" t="s">
        <v>1020</v>
      </c>
      <c r="E182" s="2" t="s">
        <v>752</v>
      </c>
    </row>
    <row r="183" spans="1:7" x14ac:dyDescent="0.25">
      <c r="A183" s="2" t="s">
        <v>1021</v>
      </c>
      <c r="B183" s="2" t="s">
        <v>1022</v>
      </c>
      <c r="C183" s="2" t="s">
        <v>1016</v>
      </c>
      <c r="D183" s="2" t="s">
        <v>1023</v>
      </c>
      <c r="E183" s="2" t="s">
        <v>752</v>
      </c>
    </row>
    <row r="184" spans="1:7" x14ac:dyDescent="0.25">
      <c r="A184" s="2" t="s">
        <v>1024</v>
      </c>
      <c r="B184" s="2" t="s">
        <v>1025</v>
      </c>
      <c r="C184" s="2" t="s">
        <v>1016</v>
      </c>
      <c r="D184" s="2" t="s">
        <v>1026</v>
      </c>
      <c r="E184" s="2" t="s">
        <v>752</v>
      </c>
    </row>
    <row r="185" spans="1:7" x14ac:dyDescent="0.25">
      <c r="A185" s="2" t="s">
        <v>1027</v>
      </c>
      <c r="B185" s="2" t="s">
        <v>1028</v>
      </c>
      <c r="C185" s="2" t="s">
        <v>1016</v>
      </c>
      <c r="D185" s="2" t="s">
        <v>1029</v>
      </c>
      <c r="E185" s="2" t="s">
        <v>752</v>
      </c>
    </row>
    <row r="186" spans="1:7" x14ac:dyDescent="0.25">
      <c r="A186" s="2" t="s">
        <v>1030</v>
      </c>
      <c r="B186" s="2" t="s">
        <v>1031</v>
      </c>
      <c r="C186" s="2" t="s">
        <v>1016</v>
      </c>
      <c r="D186" s="2" t="s">
        <v>1032</v>
      </c>
      <c r="E186" s="2" t="s">
        <v>752</v>
      </c>
    </row>
    <row r="187" spans="1:7" x14ac:dyDescent="0.25">
      <c r="A187" s="2" t="s">
        <v>1033</v>
      </c>
      <c r="B187" s="2" t="s">
        <v>1034</v>
      </c>
      <c r="C187" s="2" t="s">
        <v>1016</v>
      </c>
      <c r="D187" s="2" t="s">
        <v>1035</v>
      </c>
      <c r="E187" s="2" t="s">
        <v>752</v>
      </c>
    </row>
    <row r="188" spans="1:7" x14ac:dyDescent="0.25">
      <c r="A188" s="2" t="s">
        <v>1036</v>
      </c>
      <c r="B188" s="2" t="s">
        <v>1037</v>
      </c>
      <c r="C188" s="2" t="s">
        <v>1016</v>
      </c>
      <c r="D188" s="2" t="s">
        <v>1038</v>
      </c>
      <c r="E188" s="2" t="s">
        <v>752</v>
      </c>
    </row>
    <row r="189" spans="1:7" ht="25.5" x14ac:dyDescent="0.25">
      <c r="A189" s="2" t="s">
        <v>1039</v>
      </c>
      <c r="B189" s="2" t="s">
        <v>1040</v>
      </c>
      <c r="C189" s="2" t="s">
        <v>1016</v>
      </c>
      <c r="D189" s="2" t="s">
        <v>1041</v>
      </c>
      <c r="E189" s="2" t="s">
        <v>752</v>
      </c>
    </row>
    <row r="190" spans="1:7" ht="25.5" x14ac:dyDescent="0.25">
      <c r="A190" s="30" t="s">
        <v>735</v>
      </c>
      <c r="B190" s="2" t="s">
        <v>734</v>
      </c>
      <c r="C190" s="2" t="s">
        <v>1016</v>
      </c>
      <c r="D190" s="2" t="s">
        <v>1630</v>
      </c>
      <c r="E190" s="30" t="s">
        <v>1629</v>
      </c>
    </row>
    <row r="192" spans="1:7" x14ac:dyDescent="0.25">
      <c r="A192" s="3" t="s">
        <v>1047</v>
      </c>
      <c r="B192" s="3" t="s">
        <v>1048</v>
      </c>
      <c r="C192" s="4"/>
      <c r="D192" s="4"/>
      <c r="E192" s="4"/>
      <c r="F192" s="4"/>
      <c r="G192" s="4"/>
    </row>
    <row r="193" spans="1:4" x14ac:dyDescent="0.25">
      <c r="A193" s="6" t="s">
        <v>1049</v>
      </c>
      <c r="B193" s="6" t="s">
        <v>819</v>
      </c>
      <c r="C193" s="6" t="s">
        <v>801</v>
      </c>
      <c r="D193" s="6" t="s">
        <v>57</v>
      </c>
    </row>
    <row r="194" spans="1:4" ht="25.5" x14ac:dyDescent="0.25">
      <c r="A194" s="2" t="s">
        <v>942</v>
      </c>
      <c r="B194" s="2">
        <v>0.9</v>
      </c>
      <c r="C194" s="2">
        <v>1.1000000000000001</v>
      </c>
      <c r="D194" s="2" t="s">
        <v>1050</v>
      </c>
    </row>
    <row r="195" spans="1:4" x14ac:dyDescent="0.25">
      <c r="A195" s="2" t="s">
        <v>952</v>
      </c>
      <c r="B195" s="2">
        <v>0.85</v>
      </c>
      <c r="C195" s="2">
        <v>1.1499999999999999</v>
      </c>
    </row>
    <row r="196" spans="1:4" x14ac:dyDescent="0.25">
      <c r="A196" s="2" t="s">
        <v>958</v>
      </c>
      <c r="B196" s="2">
        <v>0.8</v>
      </c>
      <c r="C196" s="2">
        <v>1.25</v>
      </c>
    </row>
    <row r="197" spans="1:4" x14ac:dyDescent="0.25">
      <c r="A197" s="2" t="s">
        <v>966</v>
      </c>
      <c r="B197" s="2">
        <v>0.75</v>
      </c>
      <c r="C197" s="2">
        <v>1.3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9D79-821F-4989-B419-81F8F58157F8}">
  <dimension ref="A1:P224"/>
  <sheetViews>
    <sheetView showGridLines="0" workbookViewId="0">
      <selection activeCell="B6" sqref="B6"/>
    </sheetView>
  </sheetViews>
  <sheetFormatPr defaultRowHeight="12.75" x14ac:dyDescent="0.2"/>
  <cols>
    <col min="1" max="1" width="12.7109375" style="8" customWidth="1"/>
    <col min="2" max="2" width="10.7109375" style="8" customWidth="1"/>
    <col min="3" max="3" width="24.7109375" style="8" customWidth="1"/>
    <col min="4" max="4" width="30.7109375" style="8" customWidth="1"/>
    <col min="5" max="6" width="16.7109375" style="8" customWidth="1"/>
    <col min="7" max="7" width="30.7109375" style="8" customWidth="1"/>
    <col min="8" max="10" width="16.7109375" style="8" customWidth="1"/>
    <col min="11" max="11" width="24.7109375" style="8" customWidth="1"/>
    <col min="12" max="12" width="30.7109375" style="8" customWidth="1"/>
    <col min="13" max="13" width="40.7109375" style="8" customWidth="1"/>
    <col min="14" max="16" width="16.7109375" style="8" customWidth="1"/>
    <col min="17" max="16384" width="9.140625" style="8"/>
  </cols>
  <sheetData>
    <row r="1" spans="1:16" ht="18" x14ac:dyDescent="0.25">
      <c r="A1" s="9" t="s">
        <v>1514</v>
      </c>
    </row>
    <row r="2" spans="1:16" x14ac:dyDescent="0.2">
      <c r="A2" s="10" t="s">
        <v>1515</v>
      </c>
    </row>
    <row r="4" spans="1:16" x14ac:dyDescent="0.2">
      <c r="A4" s="11" t="s">
        <v>1516</v>
      </c>
    </row>
    <row r="5" spans="1:16" ht="42" customHeight="1" x14ac:dyDescent="0.2">
      <c r="A5" s="28" t="s">
        <v>34</v>
      </c>
      <c r="B5" s="28" t="s">
        <v>756</v>
      </c>
      <c r="C5" s="28" t="s">
        <v>1517</v>
      </c>
      <c r="D5" s="28" t="s">
        <v>35</v>
      </c>
      <c r="E5" s="28" t="s">
        <v>36</v>
      </c>
      <c r="F5" s="28" t="s">
        <v>5</v>
      </c>
      <c r="G5" s="28" t="s">
        <v>43</v>
      </c>
      <c r="H5" s="28" t="s">
        <v>48</v>
      </c>
      <c r="I5" s="28" t="s">
        <v>49</v>
      </c>
      <c r="J5" s="28" t="s">
        <v>50</v>
      </c>
      <c r="K5" s="28" t="s">
        <v>4</v>
      </c>
      <c r="L5" s="28" t="s">
        <v>52</v>
      </c>
      <c r="M5" s="28" t="s">
        <v>53</v>
      </c>
      <c r="N5" s="28" t="s">
        <v>54</v>
      </c>
      <c r="O5" s="28" t="s">
        <v>55</v>
      </c>
      <c r="P5" s="28" t="s">
        <v>56</v>
      </c>
    </row>
    <row r="6" spans="1:16" x14ac:dyDescent="0.2">
      <c r="A6" s="15" t="s">
        <v>59</v>
      </c>
      <c r="B6" s="14" t="s">
        <v>72</v>
      </c>
      <c r="C6" s="15" t="s">
        <v>62</v>
      </c>
      <c r="D6" s="15" t="s">
        <v>60</v>
      </c>
      <c r="E6" s="15" t="s">
        <v>61</v>
      </c>
      <c r="F6" s="15" t="s">
        <v>63</v>
      </c>
      <c r="G6" s="15" t="s">
        <v>68</v>
      </c>
      <c r="H6" s="15" t="s">
        <v>70</v>
      </c>
      <c r="I6" s="15" t="s">
        <v>61</v>
      </c>
      <c r="J6" s="15" t="s">
        <v>65</v>
      </c>
      <c r="K6" s="15" t="s">
        <v>71</v>
      </c>
      <c r="L6" s="14" t="s">
        <v>72</v>
      </c>
      <c r="M6" s="15">
        <v>1</v>
      </c>
      <c r="N6" s="15"/>
      <c r="O6" s="15"/>
      <c r="P6" s="14" t="s">
        <v>72</v>
      </c>
    </row>
    <row r="7" spans="1:16" x14ac:dyDescent="0.2">
      <c r="A7" s="15" t="s">
        <v>74</v>
      </c>
      <c r="B7" s="14" t="s">
        <v>82</v>
      </c>
      <c r="C7" s="15" t="s">
        <v>75</v>
      </c>
      <c r="D7" s="15" t="s">
        <v>60</v>
      </c>
      <c r="E7" s="15" t="s">
        <v>61</v>
      </c>
      <c r="F7" s="15" t="s">
        <v>63</v>
      </c>
      <c r="G7" s="15" t="s">
        <v>77</v>
      </c>
      <c r="H7" s="15" t="s">
        <v>79</v>
      </c>
      <c r="I7" s="15" t="s">
        <v>80</v>
      </c>
      <c r="J7" s="15" t="s">
        <v>65</v>
      </c>
      <c r="K7" s="15"/>
      <c r="L7" s="14" t="s">
        <v>82</v>
      </c>
      <c r="M7" s="15">
        <v>1</v>
      </c>
      <c r="N7" s="15"/>
      <c r="O7" s="15"/>
      <c r="P7" s="14" t="s">
        <v>82</v>
      </c>
    </row>
    <row r="8" spans="1:16" x14ac:dyDescent="0.2">
      <c r="A8" s="15" t="s">
        <v>84</v>
      </c>
      <c r="B8" s="14" t="s">
        <v>96</v>
      </c>
      <c r="C8" s="15" t="s">
        <v>85</v>
      </c>
      <c r="D8" s="15" t="s">
        <v>60</v>
      </c>
      <c r="E8" s="15" t="s">
        <v>61</v>
      </c>
      <c r="F8" s="15" t="s">
        <v>63</v>
      </c>
      <c r="G8" s="15" t="s">
        <v>86</v>
      </c>
      <c r="H8" s="15" t="s">
        <v>89</v>
      </c>
      <c r="I8" s="15" t="s">
        <v>61</v>
      </c>
      <c r="J8" s="15" t="s">
        <v>65</v>
      </c>
      <c r="K8" s="15"/>
      <c r="L8" s="14" t="s">
        <v>82</v>
      </c>
      <c r="M8" s="15">
        <v>1</v>
      </c>
      <c r="N8" s="15"/>
      <c r="O8" s="15"/>
      <c r="P8" s="14" t="s">
        <v>90</v>
      </c>
    </row>
    <row r="9" spans="1:16" x14ac:dyDescent="0.2">
      <c r="A9" s="15" t="s">
        <v>92</v>
      </c>
      <c r="B9" s="14" t="s">
        <v>102</v>
      </c>
      <c r="C9" s="15" t="s">
        <v>93</v>
      </c>
      <c r="D9" s="15" t="s">
        <v>60</v>
      </c>
      <c r="E9" s="15" t="s">
        <v>61</v>
      </c>
      <c r="F9" s="15" t="s">
        <v>63</v>
      </c>
      <c r="G9" s="15" t="s">
        <v>94</v>
      </c>
      <c r="H9" s="15" t="s">
        <v>101</v>
      </c>
      <c r="I9" s="15" t="s">
        <v>61</v>
      </c>
      <c r="J9" s="15" t="s">
        <v>65</v>
      </c>
      <c r="K9" s="15"/>
      <c r="L9" s="14" t="s">
        <v>72</v>
      </c>
      <c r="M9" s="15">
        <v>1</v>
      </c>
      <c r="N9" s="15"/>
      <c r="O9" s="15"/>
      <c r="P9" s="14" t="s">
        <v>96</v>
      </c>
    </row>
    <row r="10" spans="1:16" x14ac:dyDescent="0.2">
      <c r="A10" s="15" t="s">
        <v>98</v>
      </c>
      <c r="B10" s="14" t="s">
        <v>90</v>
      </c>
      <c r="C10" s="15" t="s">
        <v>99</v>
      </c>
      <c r="D10" s="15" t="s">
        <v>60</v>
      </c>
      <c r="E10" s="15" t="s">
        <v>61</v>
      </c>
      <c r="F10" s="15" t="s">
        <v>63</v>
      </c>
      <c r="G10" s="15" t="s">
        <v>100</v>
      </c>
      <c r="H10" s="15" t="s">
        <v>101</v>
      </c>
      <c r="I10" s="15" t="s">
        <v>61</v>
      </c>
      <c r="J10" s="15" t="s">
        <v>65</v>
      </c>
      <c r="K10" s="15"/>
      <c r="L10" s="14" t="s">
        <v>102</v>
      </c>
      <c r="M10" s="15">
        <v>1</v>
      </c>
      <c r="N10" s="15"/>
      <c r="O10" s="15"/>
      <c r="P10" s="14" t="s">
        <v>102</v>
      </c>
    </row>
    <row r="11" spans="1:16" x14ac:dyDescent="0.2">
      <c r="A11" s="15" t="s">
        <v>104</v>
      </c>
      <c r="B11" s="14" t="s">
        <v>112</v>
      </c>
      <c r="C11" s="15" t="s">
        <v>105</v>
      </c>
      <c r="D11" s="15" t="s">
        <v>60</v>
      </c>
      <c r="E11" s="15" t="s">
        <v>61</v>
      </c>
      <c r="F11" s="15" t="s">
        <v>63</v>
      </c>
      <c r="G11" s="15" t="s">
        <v>108</v>
      </c>
      <c r="H11" s="15" t="s">
        <v>79</v>
      </c>
      <c r="I11" s="15" t="s">
        <v>61</v>
      </c>
      <c r="J11" s="15" t="s">
        <v>65</v>
      </c>
      <c r="K11" s="15"/>
      <c r="L11" s="14" t="s">
        <v>111</v>
      </c>
      <c r="M11" s="15">
        <v>1</v>
      </c>
      <c r="N11" s="15"/>
      <c r="O11" s="15"/>
      <c r="P11" s="14" t="s">
        <v>112</v>
      </c>
    </row>
    <row r="12" spans="1:16" x14ac:dyDescent="0.2">
      <c r="A12" s="15" t="s">
        <v>114</v>
      </c>
      <c r="B12" s="14" t="s">
        <v>119</v>
      </c>
      <c r="C12" s="15" t="s">
        <v>115</v>
      </c>
      <c r="D12" s="15" t="s">
        <v>60</v>
      </c>
      <c r="E12" s="15" t="s">
        <v>61</v>
      </c>
      <c r="F12" s="15" t="s">
        <v>63</v>
      </c>
      <c r="G12" s="15" t="s">
        <v>1518</v>
      </c>
      <c r="H12" s="15" t="s">
        <v>79</v>
      </c>
      <c r="I12" s="15" t="s">
        <v>61</v>
      </c>
      <c r="J12" s="15" t="s">
        <v>65</v>
      </c>
      <c r="K12" s="15"/>
      <c r="L12" s="14" t="s">
        <v>90</v>
      </c>
      <c r="M12" s="15">
        <v>1</v>
      </c>
      <c r="N12" s="15"/>
      <c r="O12" s="15"/>
      <c r="P12" s="14" t="s">
        <v>119</v>
      </c>
    </row>
    <row r="13" spans="1:16" x14ac:dyDescent="0.2">
      <c r="A13" s="15" t="s">
        <v>123</v>
      </c>
      <c r="B13" s="14" t="s">
        <v>131</v>
      </c>
      <c r="C13" s="15" t="s">
        <v>125</v>
      </c>
      <c r="D13" s="15" t="s">
        <v>124</v>
      </c>
      <c r="E13" s="15" t="s">
        <v>61</v>
      </c>
      <c r="F13" s="15" t="s">
        <v>63</v>
      </c>
      <c r="G13" s="15" t="s">
        <v>100</v>
      </c>
      <c r="H13" s="15" t="s">
        <v>129</v>
      </c>
      <c r="I13" s="15" t="s">
        <v>130</v>
      </c>
      <c r="J13" s="15" t="s">
        <v>65</v>
      </c>
      <c r="K13" s="15"/>
      <c r="L13" s="14" t="s">
        <v>131</v>
      </c>
      <c r="M13" s="15">
        <v>1</v>
      </c>
      <c r="N13" s="15"/>
      <c r="O13" s="15"/>
      <c r="P13" s="15" t="s">
        <v>132</v>
      </c>
    </row>
    <row r="14" spans="1:16" x14ac:dyDescent="0.2">
      <c r="A14" s="15" t="s">
        <v>141</v>
      </c>
      <c r="B14" s="14" t="s">
        <v>1108</v>
      </c>
      <c r="C14" s="15" t="s">
        <v>142</v>
      </c>
      <c r="D14" s="15" t="s">
        <v>124</v>
      </c>
      <c r="E14" s="15" t="s">
        <v>61</v>
      </c>
      <c r="F14" s="15" t="s">
        <v>63</v>
      </c>
      <c r="G14" s="15" t="s">
        <v>100</v>
      </c>
      <c r="H14" s="15" t="s">
        <v>129</v>
      </c>
      <c r="I14" s="15" t="s">
        <v>130</v>
      </c>
      <c r="J14" s="15" t="s">
        <v>65</v>
      </c>
      <c r="K14" s="15"/>
      <c r="L14" s="14" t="s">
        <v>131</v>
      </c>
      <c r="M14" s="15">
        <v>1</v>
      </c>
      <c r="N14" s="15"/>
      <c r="O14" s="15"/>
      <c r="P14" s="14" t="s">
        <v>144</v>
      </c>
    </row>
    <row r="15" spans="1:16" x14ac:dyDescent="0.2">
      <c r="A15" s="15" t="s">
        <v>146</v>
      </c>
      <c r="B15" s="14" t="s">
        <v>144</v>
      </c>
      <c r="C15" s="15" t="s">
        <v>147</v>
      </c>
      <c r="D15" s="15" t="s">
        <v>124</v>
      </c>
      <c r="E15" s="15" t="s">
        <v>61</v>
      </c>
      <c r="F15" s="15" t="s">
        <v>63</v>
      </c>
      <c r="G15" s="15" t="s">
        <v>100</v>
      </c>
      <c r="H15" s="15" t="s">
        <v>129</v>
      </c>
      <c r="I15" s="15" t="s">
        <v>61</v>
      </c>
      <c r="J15" s="15" t="s">
        <v>65</v>
      </c>
      <c r="K15" s="15"/>
      <c r="L15" s="14" t="s">
        <v>131</v>
      </c>
      <c r="M15" s="15">
        <v>1</v>
      </c>
      <c r="N15" s="15"/>
      <c r="O15" s="15"/>
      <c r="P15" s="15" t="s">
        <v>151</v>
      </c>
    </row>
    <row r="16" spans="1:16" x14ac:dyDescent="0.2">
      <c r="A16" s="15" t="s">
        <v>153</v>
      </c>
      <c r="B16" s="14" t="s">
        <v>158</v>
      </c>
      <c r="C16" s="15" t="s">
        <v>156</v>
      </c>
      <c r="D16" s="15" t="s">
        <v>154</v>
      </c>
      <c r="E16" s="15" t="s">
        <v>155</v>
      </c>
      <c r="F16" s="15" t="s">
        <v>63</v>
      </c>
      <c r="G16" s="15" t="s">
        <v>86</v>
      </c>
      <c r="H16" s="15" t="s">
        <v>129</v>
      </c>
      <c r="I16" s="15" t="s">
        <v>130</v>
      </c>
      <c r="J16" s="15" t="s">
        <v>65</v>
      </c>
      <c r="K16" s="15"/>
      <c r="L16" s="14" t="s">
        <v>158</v>
      </c>
      <c r="M16" s="15">
        <v>1</v>
      </c>
      <c r="N16" s="15"/>
      <c r="O16" s="15"/>
      <c r="P16" s="14" t="s">
        <v>158</v>
      </c>
    </row>
    <row r="17" spans="1:16" x14ac:dyDescent="0.2">
      <c r="A17" s="15" t="s">
        <v>160</v>
      </c>
      <c r="B17" s="14" t="s">
        <v>166</v>
      </c>
      <c r="C17" s="15" t="s">
        <v>161</v>
      </c>
      <c r="D17" s="15" t="s">
        <v>154</v>
      </c>
      <c r="E17" s="15" t="s">
        <v>155</v>
      </c>
      <c r="F17" s="15" t="s">
        <v>63</v>
      </c>
      <c r="G17" s="15" t="s">
        <v>163</v>
      </c>
      <c r="H17" s="15" t="s">
        <v>129</v>
      </c>
      <c r="I17" s="15" t="s">
        <v>130</v>
      </c>
      <c r="J17" s="15" t="s">
        <v>65</v>
      </c>
      <c r="K17" s="15" t="s">
        <v>165</v>
      </c>
      <c r="L17" s="14" t="s">
        <v>166</v>
      </c>
      <c r="M17" s="15">
        <v>1</v>
      </c>
      <c r="N17" s="15"/>
      <c r="O17" s="15"/>
      <c r="P17" s="14" t="s">
        <v>166</v>
      </c>
    </row>
    <row r="18" spans="1:16" x14ac:dyDescent="0.2">
      <c r="A18" s="15" t="s">
        <v>168</v>
      </c>
      <c r="B18" s="14" t="s">
        <v>187</v>
      </c>
      <c r="C18" s="15" t="s">
        <v>169</v>
      </c>
      <c r="D18" s="15" t="s">
        <v>154</v>
      </c>
      <c r="E18" s="15" t="s">
        <v>155</v>
      </c>
      <c r="F18" s="15" t="s">
        <v>63</v>
      </c>
      <c r="G18" s="15" t="s">
        <v>86</v>
      </c>
      <c r="H18" s="15" t="s">
        <v>171</v>
      </c>
      <c r="I18" s="15" t="s">
        <v>130</v>
      </c>
      <c r="J18" s="15" t="s">
        <v>65</v>
      </c>
      <c r="K18" s="15" t="s">
        <v>165</v>
      </c>
      <c r="L18" s="14" t="s">
        <v>172</v>
      </c>
      <c r="M18" s="15">
        <v>1</v>
      </c>
      <c r="N18" s="15"/>
      <c r="O18" s="15"/>
      <c r="P18" s="14" t="s">
        <v>172</v>
      </c>
    </row>
    <row r="19" spans="1:16" x14ac:dyDescent="0.2">
      <c r="A19" s="15" t="s">
        <v>174</v>
      </c>
      <c r="B19" s="14" t="s">
        <v>172</v>
      </c>
      <c r="C19" s="15" t="s">
        <v>175</v>
      </c>
      <c r="D19" s="15" t="s">
        <v>154</v>
      </c>
      <c r="E19" s="15" t="s">
        <v>155</v>
      </c>
      <c r="F19" s="15" t="s">
        <v>63</v>
      </c>
      <c r="G19" s="15" t="s">
        <v>108</v>
      </c>
      <c r="H19" s="15" t="s">
        <v>1628</v>
      </c>
      <c r="I19" s="15" t="s">
        <v>61</v>
      </c>
      <c r="J19" s="15" t="s">
        <v>180</v>
      </c>
      <c r="K19" s="15"/>
      <c r="L19" s="14" t="s">
        <v>166</v>
      </c>
      <c r="M19" s="15">
        <v>1</v>
      </c>
      <c r="N19" s="15"/>
      <c r="O19" s="15"/>
      <c r="P19" s="15" t="s">
        <v>181</v>
      </c>
    </row>
    <row r="20" spans="1:16" x14ac:dyDescent="0.2">
      <c r="A20" s="15" t="s">
        <v>183</v>
      </c>
      <c r="B20" s="14" t="s">
        <v>192</v>
      </c>
      <c r="C20" s="15" t="s">
        <v>185</v>
      </c>
      <c r="D20" s="15" t="s">
        <v>154</v>
      </c>
      <c r="E20" s="15" t="s">
        <v>184</v>
      </c>
      <c r="F20" s="15" t="s">
        <v>63</v>
      </c>
      <c r="G20" s="15" t="s">
        <v>100</v>
      </c>
      <c r="H20" s="15" t="s">
        <v>171</v>
      </c>
      <c r="I20" s="15" t="s">
        <v>130</v>
      </c>
      <c r="J20" s="15" t="s">
        <v>65</v>
      </c>
      <c r="K20" s="15"/>
      <c r="L20" s="14" t="s">
        <v>187</v>
      </c>
      <c r="M20" s="15">
        <v>1</v>
      </c>
      <c r="N20" s="15"/>
      <c r="O20" s="15"/>
      <c r="P20" s="14" t="s">
        <v>187</v>
      </c>
    </row>
    <row r="21" spans="1:16" x14ac:dyDescent="0.2">
      <c r="A21" s="15" t="s">
        <v>189</v>
      </c>
      <c r="B21" s="14" t="s">
        <v>197</v>
      </c>
      <c r="C21" s="15" t="s">
        <v>190</v>
      </c>
      <c r="D21" s="15" t="s">
        <v>154</v>
      </c>
      <c r="E21" s="15" t="s">
        <v>184</v>
      </c>
      <c r="F21" s="15" t="s">
        <v>63</v>
      </c>
      <c r="G21" s="15" t="s">
        <v>86</v>
      </c>
      <c r="H21" s="15" t="s">
        <v>171</v>
      </c>
      <c r="I21" s="15" t="s">
        <v>130</v>
      </c>
      <c r="J21" s="15" t="s">
        <v>65</v>
      </c>
      <c r="K21" s="15"/>
      <c r="L21" s="14" t="s">
        <v>192</v>
      </c>
      <c r="M21" s="15">
        <v>1</v>
      </c>
      <c r="N21" s="15"/>
      <c r="O21" s="15"/>
      <c r="P21" s="14" t="s">
        <v>192</v>
      </c>
    </row>
    <row r="22" spans="1:16" x14ac:dyDescent="0.2">
      <c r="A22" s="15" t="s">
        <v>194</v>
      </c>
      <c r="B22" s="14" t="s">
        <v>203</v>
      </c>
      <c r="C22" s="15" t="s">
        <v>195</v>
      </c>
      <c r="D22" s="15" t="s">
        <v>154</v>
      </c>
      <c r="E22" s="15" t="s">
        <v>184</v>
      </c>
      <c r="F22" s="15" t="s">
        <v>63</v>
      </c>
      <c r="G22" s="15" t="s">
        <v>86</v>
      </c>
      <c r="H22" s="15" t="s">
        <v>171</v>
      </c>
      <c r="I22" s="15" t="s">
        <v>130</v>
      </c>
      <c r="J22" s="15" t="s">
        <v>65</v>
      </c>
      <c r="K22" s="15"/>
      <c r="L22" s="14" t="s">
        <v>197</v>
      </c>
      <c r="M22" s="15">
        <v>1</v>
      </c>
      <c r="N22" s="15"/>
      <c r="O22" s="15"/>
      <c r="P22" s="14" t="s">
        <v>197</v>
      </c>
    </row>
    <row r="23" spans="1:16" x14ac:dyDescent="0.2">
      <c r="A23" s="15" t="s">
        <v>199</v>
      </c>
      <c r="B23" s="14" t="s">
        <v>208</v>
      </c>
      <c r="C23" s="15" t="s">
        <v>201</v>
      </c>
      <c r="D23" s="15" t="s">
        <v>154</v>
      </c>
      <c r="E23" s="15" t="s">
        <v>200</v>
      </c>
      <c r="F23" s="15" t="s">
        <v>63</v>
      </c>
      <c r="G23" s="15" t="s">
        <v>86</v>
      </c>
      <c r="H23" s="15" t="s">
        <v>179</v>
      </c>
      <c r="I23" s="15" t="s">
        <v>130</v>
      </c>
      <c r="J23" s="15" t="s">
        <v>65</v>
      </c>
      <c r="K23" s="15"/>
      <c r="L23" s="14" t="s">
        <v>203</v>
      </c>
      <c r="M23" s="15">
        <v>1</v>
      </c>
      <c r="N23" s="15"/>
      <c r="O23" s="15"/>
      <c r="P23" s="14" t="s">
        <v>203</v>
      </c>
    </row>
    <row r="24" spans="1:16" x14ac:dyDescent="0.2">
      <c r="A24" s="15" t="s">
        <v>205</v>
      </c>
      <c r="B24" s="14" t="s">
        <v>1142</v>
      </c>
      <c r="C24" s="15" t="s">
        <v>206</v>
      </c>
      <c r="D24" s="15" t="s">
        <v>154</v>
      </c>
      <c r="E24" s="15" t="s">
        <v>200</v>
      </c>
      <c r="F24" s="15" t="s">
        <v>63</v>
      </c>
      <c r="G24" s="15" t="s">
        <v>86</v>
      </c>
      <c r="H24" s="15" t="s">
        <v>179</v>
      </c>
      <c r="I24" s="15" t="s">
        <v>130</v>
      </c>
      <c r="J24" s="15" t="s">
        <v>65</v>
      </c>
      <c r="K24" s="15"/>
      <c r="L24" s="14" t="s">
        <v>208</v>
      </c>
      <c r="M24" s="15">
        <v>1</v>
      </c>
      <c r="N24" s="15"/>
      <c r="O24" s="15"/>
      <c r="P24" s="14" t="s">
        <v>208</v>
      </c>
    </row>
    <row r="25" spans="1:16" x14ac:dyDescent="0.2">
      <c r="A25" s="15" t="s">
        <v>210</v>
      </c>
      <c r="B25" s="14" t="s">
        <v>1146</v>
      </c>
      <c r="C25" s="15" t="s">
        <v>211</v>
      </c>
      <c r="D25" s="15" t="s">
        <v>154</v>
      </c>
      <c r="E25" s="15" t="s">
        <v>200</v>
      </c>
      <c r="F25" s="15" t="s">
        <v>63</v>
      </c>
      <c r="G25" s="15" t="s">
        <v>86</v>
      </c>
      <c r="H25" s="15" t="s">
        <v>214</v>
      </c>
      <c r="I25" s="15" t="s">
        <v>61</v>
      </c>
      <c r="J25" s="15" t="s">
        <v>65</v>
      </c>
      <c r="K25" s="15"/>
      <c r="L25" s="14" t="s">
        <v>203</v>
      </c>
      <c r="M25" s="15">
        <v>1</v>
      </c>
      <c r="N25" s="15"/>
      <c r="O25" s="15"/>
      <c r="P25" s="14" t="s">
        <v>215</v>
      </c>
    </row>
    <row r="26" spans="1:16" x14ac:dyDescent="0.2">
      <c r="A26" s="15" t="s">
        <v>217</v>
      </c>
      <c r="B26" s="14" t="s">
        <v>221</v>
      </c>
      <c r="C26" s="15" t="s">
        <v>219</v>
      </c>
      <c r="D26" s="15" t="s">
        <v>218</v>
      </c>
      <c r="E26" s="15" t="s">
        <v>61</v>
      </c>
      <c r="F26" s="15" t="s">
        <v>63</v>
      </c>
      <c r="G26" s="15" t="s">
        <v>86</v>
      </c>
      <c r="H26" s="15" t="s">
        <v>179</v>
      </c>
      <c r="I26" s="15" t="s">
        <v>130</v>
      </c>
      <c r="J26" s="15" t="s">
        <v>65</v>
      </c>
      <c r="K26" s="15"/>
      <c r="L26" s="14" t="s">
        <v>221</v>
      </c>
      <c r="M26" s="15">
        <v>1</v>
      </c>
      <c r="N26" s="15"/>
      <c r="O26" s="15"/>
      <c r="P26" s="15" t="s">
        <v>222</v>
      </c>
    </row>
    <row r="27" spans="1:16" x14ac:dyDescent="0.2">
      <c r="A27" s="15" t="s">
        <v>224</v>
      </c>
      <c r="B27" s="14" t="s">
        <v>228</v>
      </c>
      <c r="C27" s="15" t="s">
        <v>225</v>
      </c>
      <c r="D27" s="15" t="s">
        <v>218</v>
      </c>
      <c r="E27" s="15" t="s">
        <v>61</v>
      </c>
      <c r="F27" s="15" t="s">
        <v>63</v>
      </c>
      <c r="G27" s="15" t="s">
        <v>86</v>
      </c>
      <c r="H27" s="15" t="s">
        <v>179</v>
      </c>
      <c r="I27" s="15" t="s">
        <v>130</v>
      </c>
      <c r="J27" s="15" t="s">
        <v>65</v>
      </c>
      <c r="K27" s="15"/>
      <c r="L27" s="14" t="s">
        <v>228</v>
      </c>
      <c r="M27" s="15">
        <v>1</v>
      </c>
      <c r="N27" s="15"/>
      <c r="O27" s="15"/>
      <c r="P27" s="15" t="s">
        <v>229</v>
      </c>
    </row>
    <row r="28" spans="1:16" x14ac:dyDescent="0.2">
      <c r="A28" s="15" t="s">
        <v>234</v>
      </c>
      <c r="B28" s="14" t="s">
        <v>237</v>
      </c>
      <c r="C28" s="15" t="s">
        <v>235</v>
      </c>
      <c r="D28" s="15" t="s">
        <v>218</v>
      </c>
      <c r="E28" s="15" t="s">
        <v>61</v>
      </c>
      <c r="F28" s="15" t="s">
        <v>63</v>
      </c>
      <c r="G28" s="15" t="s">
        <v>86</v>
      </c>
      <c r="H28" s="15" t="s">
        <v>179</v>
      </c>
      <c r="I28" s="15" t="s">
        <v>130</v>
      </c>
      <c r="J28" s="15" t="s">
        <v>65</v>
      </c>
      <c r="K28" s="15"/>
      <c r="L28" s="14" t="s">
        <v>237</v>
      </c>
      <c r="M28" s="15">
        <v>1</v>
      </c>
      <c r="N28" s="15"/>
      <c r="O28" s="15"/>
      <c r="P28" s="14" t="s">
        <v>237</v>
      </c>
    </row>
    <row r="29" spans="1:16" x14ac:dyDescent="0.2">
      <c r="A29" s="15" t="s">
        <v>239</v>
      </c>
      <c r="B29" s="14" t="s">
        <v>286</v>
      </c>
      <c r="C29" s="15" t="s">
        <v>242</v>
      </c>
      <c r="D29" s="15" t="s">
        <v>240</v>
      </c>
      <c r="E29" s="15" t="s">
        <v>241</v>
      </c>
      <c r="F29" s="15" t="s">
        <v>243</v>
      </c>
      <c r="G29" s="15" t="s">
        <v>245</v>
      </c>
      <c r="H29" s="15" t="s">
        <v>179</v>
      </c>
      <c r="I29" s="15" t="s">
        <v>130</v>
      </c>
      <c r="J29" s="15" t="s">
        <v>246</v>
      </c>
      <c r="K29" s="15"/>
      <c r="L29" s="14" t="s">
        <v>247</v>
      </c>
      <c r="M29" s="15">
        <v>0.8</v>
      </c>
      <c r="N29" s="14" t="s">
        <v>203</v>
      </c>
      <c r="O29" s="15">
        <v>0.2</v>
      </c>
      <c r="P29" s="15" t="s">
        <v>248</v>
      </c>
    </row>
    <row r="30" spans="1:16" x14ac:dyDescent="0.2">
      <c r="A30" s="15" t="s">
        <v>258</v>
      </c>
      <c r="B30" s="14" t="s">
        <v>277</v>
      </c>
      <c r="C30" s="15" t="s">
        <v>259</v>
      </c>
      <c r="D30" s="15" t="s">
        <v>240</v>
      </c>
      <c r="E30" s="15" t="s">
        <v>241</v>
      </c>
      <c r="F30" s="15" t="s">
        <v>63</v>
      </c>
      <c r="G30" s="15" t="s">
        <v>260</v>
      </c>
      <c r="H30" s="15" t="s">
        <v>179</v>
      </c>
      <c r="I30" s="15" t="s">
        <v>130</v>
      </c>
      <c r="J30" s="15" t="s">
        <v>262</v>
      </c>
      <c r="K30" s="15"/>
      <c r="L30" s="14" t="s">
        <v>247</v>
      </c>
      <c r="M30" s="15">
        <v>1</v>
      </c>
      <c r="N30" s="15"/>
      <c r="O30" s="15"/>
      <c r="P30" s="15" t="s">
        <v>263</v>
      </c>
    </row>
    <row r="31" spans="1:16" x14ac:dyDescent="0.2">
      <c r="A31" s="15" t="s">
        <v>267</v>
      </c>
      <c r="B31" s="14" t="s">
        <v>329</v>
      </c>
      <c r="C31" s="15" t="s">
        <v>268</v>
      </c>
      <c r="D31" s="15" t="s">
        <v>240</v>
      </c>
      <c r="E31" s="15" t="s">
        <v>241</v>
      </c>
      <c r="F31" s="15" t="s">
        <v>63</v>
      </c>
      <c r="G31" s="15" t="s">
        <v>108</v>
      </c>
      <c r="H31" s="15" t="s">
        <v>179</v>
      </c>
      <c r="I31" s="15" t="s">
        <v>61</v>
      </c>
      <c r="J31" s="15" t="s">
        <v>246</v>
      </c>
      <c r="K31" s="15"/>
      <c r="L31" s="14" t="s">
        <v>247</v>
      </c>
      <c r="M31" s="15">
        <v>1</v>
      </c>
      <c r="N31" s="15"/>
      <c r="O31" s="15"/>
      <c r="P31" s="14" t="s">
        <v>270</v>
      </c>
    </row>
    <row r="32" spans="1:16" x14ac:dyDescent="0.2">
      <c r="A32" s="15" t="s">
        <v>272</v>
      </c>
      <c r="B32" s="14" t="s">
        <v>291</v>
      </c>
      <c r="C32" s="15" t="s">
        <v>273</v>
      </c>
      <c r="D32" s="15" t="s">
        <v>240</v>
      </c>
      <c r="E32" s="15" t="s">
        <v>241</v>
      </c>
      <c r="F32" s="15" t="s">
        <v>63</v>
      </c>
      <c r="G32" s="15" t="s">
        <v>275</v>
      </c>
      <c r="H32" s="15" t="s">
        <v>179</v>
      </c>
      <c r="I32" s="15" t="s">
        <v>130</v>
      </c>
      <c r="J32" s="15" t="s">
        <v>65</v>
      </c>
      <c r="K32" s="15"/>
      <c r="L32" s="14" t="s">
        <v>277</v>
      </c>
      <c r="M32" s="15">
        <v>1</v>
      </c>
      <c r="N32" s="15"/>
      <c r="O32" s="15"/>
      <c r="P32" s="15" t="s">
        <v>278</v>
      </c>
    </row>
    <row r="33" spans="1:16" x14ac:dyDescent="0.2">
      <c r="A33" s="15" t="s">
        <v>282</v>
      </c>
      <c r="B33" s="14" t="s">
        <v>292</v>
      </c>
      <c r="C33" s="15" t="s">
        <v>284</v>
      </c>
      <c r="D33" s="15" t="s">
        <v>240</v>
      </c>
      <c r="E33" s="15" t="s">
        <v>283</v>
      </c>
      <c r="F33" s="15" t="s">
        <v>63</v>
      </c>
      <c r="G33" s="15" t="s">
        <v>86</v>
      </c>
      <c r="H33" s="15" t="s">
        <v>179</v>
      </c>
      <c r="I33" s="15" t="s">
        <v>61</v>
      </c>
      <c r="J33" s="15" t="s">
        <v>65</v>
      </c>
      <c r="K33" s="15"/>
      <c r="L33" s="14" t="s">
        <v>286</v>
      </c>
      <c r="M33" s="15">
        <v>1</v>
      </c>
      <c r="N33" s="15"/>
      <c r="O33" s="15"/>
      <c r="P33" s="14" t="s">
        <v>286</v>
      </c>
    </row>
    <row r="34" spans="1:16" x14ac:dyDescent="0.2">
      <c r="A34" s="15" t="s">
        <v>288</v>
      </c>
      <c r="B34" s="14" t="s">
        <v>1199</v>
      </c>
      <c r="C34" s="15" t="s">
        <v>289</v>
      </c>
      <c r="D34" s="15" t="s">
        <v>240</v>
      </c>
      <c r="E34" s="15" t="s">
        <v>283</v>
      </c>
      <c r="F34" s="15" t="s">
        <v>63</v>
      </c>
      <c r="G34" s="15" t="s">
        <v>86</v>
      </c>
      <c r="H34" s="15" t="s">
        <v>179</v>
      </c>
      <c r="I34" s="15" t="s">
        <v>130</v>
      </c>
      <c r="J34" s="15" t="s">
        <v>65</v>
      </c>
      <c r="K34" s="15"/>
      <c r="L34" s="14" t="s">
        <v>291</v>
      </c>
      <c r="M34" s="15">
        <v>1</v>
      </c>
      <c r="N34" s="15"/>
      <c r="O34" s="15"/>
      <c r="P34" s="14" t="s">
        <v>292</v>
      </c>
    </row>
    <row r="35" spans="1:16" x14ac:dyDescent="0.2">
      <c r="A35" s="15" t="s">
        <v>294</v>
      </c>
      <c r="B35" s="14" t="s">
        <v>1203</v>
      </c>
      <c r="C35" s="15" t="s">
        <v>295</v>
      </c>
      <c r="D35" s="15" t="s">
        <v>240</v>
      </c>
      <c r="E35" s="15" t="s">
        <v>283</v>
      </c>
      <c r="F35" s="15" t="s">
        <v>63</v>
      </c>
      <c r="G35" s="15" t="s">
        <v>86</v>
      </c>
      <c r="H35" s="15" t="s">
        <v>179</v>
      </c>
      <c r="I35" s="15" t="s">
        <v>61</v>
      </c>
      <c r="J35" s="15" t="s">
        <v>297</v>
      </c>
      <c r="K35" s="15"/>
      <c r="L35" s="14" t="s">
        <v>298</v>
      </c>
      <c r="M35" s="15">
        <v>1</v>
      </c>
      <c r="N35" s="15"/>
      <c r="O35" s="15"/>
      <c r="P35" s="14" t="s">
        <v>299</v>
      </c>
    </row>
    <row r="36" spans="1:16" x14ac:dyDescent="0.2">
      <c r="A36" s="15" t="s">
        <v>301</v>
      </c>
      <c r="B36" s="14" t="s">
        <v>1519</v>
      </c>
      <c r="C36" s="15" t="s">
        <v>302</v>
      </c>
      <c r="D36" s="15" t="s">
        <v>240</v>
      </c>
      <c r="E36" s="15" t="s">
        <v>283</v>
      </c>
      <c r="F36" s="15" t="s">
        <v>63</v>
      </c>
      <c r="G36" s="15" t="s">
        <v>86</v>
      </c>
      <c r="H36" s="15" t="s">
        <v>179</v>
      </c>
      <c r="I36" s="15" t="s">
        <v>61</v>
      </c>
      <c r="J36" s="15" t="s">
        <v>65</v>
      </c>
      <c r="K36" s="15"/>
      <c r="L36" s="14" t="s">
        <v>286</v>
      </c>
      <c r="M36" s="15">
        <v>1</v>
      </c>
      <c r="N36" s="15"/>
      <c r="O36" s="15"/>
      <c r="P36" s="15" t="s">
        <v>303</v>
      </c>
    </row>
    <row r="37" spans="1:16" x14ac:dyDescent="0.2">
      <c r="A37" s="15" t="s">
        <v>313</v>
      </c>
      <c r="B37" s="14" t="s">
        <v>1216</v>
      </c>
      <c r="C37" s="15" t="s">
        <v>315</v>
      </c>
      <c r="D37" s="15" t="s">
        <v>240</v>
      </c>
      <c r="E37" s="15" t="s">
        <v>314</v>
      </c>
      <c r="F37" s="15" t="s">
        <v>63</v>
      </c>
      <c r="G37" s="15" t="s">
        <v>316</v>
      </c>
      <c r="H37" s="15" t="s">
        <v>179</v>
      </c>
      <c r="I37" s="15" t="s">
        <v>61</v>
      </c>
      <c r="J37" s="15" t="s">
        <v>318</v>
      </c>
      <c r="K37" s="15"/>
      <c r="L37" s="14" t="s">
        <v>320</v>
      </c>
      <c r="M37" s="15">
        <v>1</v>
      </c>
      <c r="N37" s="15"/>
      <c r="O37" s="15"/>
      <c r="P37" s="15" t="s">
        <v>321</v>
      </c>
    </row>
    <row r="38" spans="1:16" x14ac:dyDescent="0.2">
      <c r="A38" s="15" t="s">
        <v>323</v>
      </c>
      <c r="B38" s="14" t="s">
        <v>1220</v>
      </c>
      <c r="C38" s="15" t="s">
        <v>324</v>
      </c>
      <c r="D38" s="15" t="s">
        <v>240</v>
      </c>
      <c r="E38" s="15" t="s">
        <v>314</v>
      </c>
      <c r="F38" s="15" t="s">
        <v>63</v>
      </c>
      <c r="G38" s="15" t="s">
        <v>326</v>
      </c>
      <c r="H38" s="15" t="s">
        <v>179</v>
      </c>
      <c r="I38" s="15" t="s">
        <v>61</v>
      </c>
      <c r="J38" s="15" t="s">
        <v>327</v>
      </c>
      <c r="K38" s="15"/>
      <c r="L38" s="14" t="s">
        <v>329</v>
      </c>
      <c r="M38" s="15">
        <v>1</v>
      </c>
      <c r="N38" s="15"/>
      <c r="O38" s="15"/>
      <c r="P38" s="15" t="s">
        <v>330</v>
      </c>
    </row>
    <row r="39" spans="1:16" x14ac:dyDescent="0.2">
      <c r="A39" s="15" t="s">
        <v>332</v>
      </c>
      <c r="B39" s="14" t="s">
        <v>1223</v>
      </c>
      <c r="C39" s="15" t="s">
        <v>333</v>
      </c>
      <c r="D39" s="15" t="s">
        <v>240</v>
      </c>
      <c r="E39" s="15" t="s">
        <v>314</v>
      </c>
      <c r="F39" s="15" t="s">
        <v>63</v>
      </c>
      <c r="G39" s="15" t="s">
        <v>335</v>
      </c>
      <c r="H39" s="15" t="s">
        <v>179</v>
      </c>
      <c r="I39" s="15" t="s">
        <v>61</v>
      </c>
      <c r="J39" s="15" t="s">
        <v>250</v>
      </c>
      <c r="K39" s="15"/>
      <c r="L39" s="14" t="s">
        <v>329</v>
      </c>
      <c r="M39" s="15">
        <v>1</v>
      </c>
      <c r="N39" s="15"/>
      <c r="O39" s="15"/>
      <c r="P39" s="15" t="s">
        <v>337</v>
      </c>
    </row>
    <row r="40" spans="1:16" x14ac:dyDescent="0.2">
      <c r="A40" s="15" t="s">
        <v>339</v>
      </c>
      <c r="B40" s="14" t="s">
        <v>1226</v>
      </c>
      <c r="C40" s="15" t="s">
        <v>340</v>
      </c>
      <c r="D40" s="15" t="s">
        <v>240</v>
      </c>
      <c r="E40" s="15" t="s">
        <v>314</v>
      </c>
      <c r="F40" s="15" t="s">
        <v>63</v>
      </c>
      <c r="G40" s="15" t="s">
        <v>342</v>
      </c>
      <c r="H40" s="15" t="s">
        <v>179</v>
      </c>
      <c r="I40" s="15" t="s">
        <v>61</v>
      </c>
      <c r="J40" s="15" t="s">
        <v>344</v>
      </c>
      <c r="K40" s="15"/>
      <c r="L40" s="14" t="s">
        <v>329</v>
      </c>
      <c r="M40" s="15">
        <v>1</v>
      </c>
      <c r="N40" s="15"/>
      <c r="O40" s="15"/>
      <c r="P40" s="15" t="s">
        <v>345</v>
      </c>
    </row>
    <row r="41" spans="1:16" x14ac:dyDescent="0.2">
      <c r="A41" s="15" t="s">
        <v>347</v>
      </c>
      <c r="B41" s="14" t="s">
        <v>1229</v>
      </c>
      <c r="C41" s="15" t="s">
        <v>348</v>
      </c>
      <c r="D41" s="15" t="s">
        <v>240</v>
      </c>
      <c r="E41" s="15" t="s">
        <v>314</v>
      </c>
      <c r="F41" s="15" t="s">
        <v>63</v>
      </c>
      <c r="G41" s="15" t="s">
        <v>349</v>
      </c>
      <c r="H41" s="15" t="s">
        <v>179</v>
      </c>
      <c r="I41" s="15" t="s">
        <v>61</v>
      </c>
      <c r="J41" s="15" t="s">
        <v>351</v>
      </c>
      <c r="K41" s="15"/>
      <c r="L41" s="14" t="s">
        <v>329</v>
      </c>
      <c r="M41" s="15">
        <v>1</v>
      </c>
      <c r="N41" s="15"/>
      <c r="O41" s="15"/>
      <c r="P41" s="15" t="s">
        <v>352</v>
      </c>
    </row>
    <row r="42" spans="1:16" x14ac:dyDescent="0.2">
      <c r="A42" s="15" t="s">
        <v>354</v>
      </c>
      <c r="B42" s="14" t="s">
        <v>1233</v>
      </c>
      <c r="C42" s="15" t="s">
        <v>355</v>
      </c>
      <c r="D42" s="15" t="s">
        <v>240</v>
      </c>
      <c r="E42" s="15" t="s">
        <v>314</v>
      </c>
      <c r="F42" s="15" t="s">
        <v>63</v>
      </c>
      <c r="G42" s="15" t="s">
        <v>108</v>
      </c>
      <c r="H42" s="15" t="s">
        <v>179</v>
      </c>
      <c r="I42" s="15" t="s">
        <v>61</v>
      </c>
      <c r="J42" s="15" t="s">
        <v>358</v>
      </c>
      <c r="K42" s="15"/>
      <c r="L42" s="14" t="s">
        <v>329</v>
      </c>
      <c r="M42" s="15">
        <v>1</v>
      </c>
      <c r="N42" s="15"/>
      <c r="O42" s="15"/>
      <c r="P42" s="15" t="s">
        <v>359</v>
      </c>
    </row>
    <row r="43" spans="1:16" x14ac:dyDescent="0.2">
      <c r="A43" s="15" t="s">
        <v>361</v>
      </c>
      <c r="B43" s="14" t="s">
        <v>1236</v>
      </c>
      <c r="C43" s="15" t="s">
        <v>362</v>
      </c>
      <c r="D43" s="15" t="s">
        <v>240</v>
      </c>
      <c r="E43" s="15" t="s">
        <v>314</v>
      </c>
      <c r="F43" s="15" t="s">
        <v>63</v>
      </c>
      <c r="G43" s="15" t="s">
        <v>108</v>
      </c>
      <c r="H43" s="15" t="s">
        <v>179</v>
      </c>
      <c r="I43" s="15" t="s">
        <v>61</v>
      </c>
      <c r="J43" s="15" t="s">
        <v>327</v>
      </c>
      <c r="K43" s="15"/>
      <c r="L43" s="14" t="s">
        <v>365</v>
      </c>
      <c r="M43" s="15">
        <v>1</v>
      </c>
      <c r="N43" s="15"/>
      <c r="O43" s="15"/>
      <c r="P43" s="15" t="s">
        <v>366</v>
      </c>
    </row>
    <row r="44" spans="1:16" x14ac:dyDescent="0.2">
      <c r="A44" s="15" t="s">
        <v>368</v>
      </c>
      <c r="B44" s="14" t="s">
        <v>247</v>
      </c>
      <c r="C44" s="15" t="s">
        <v>371</v>
      </c>
      <c r="D44" s="15" t="s">
        <v>369</v>
      </c>
      <c r="E44" s="15" t="s">
        <v>370</v>
      </c>
      <c r="F44" s="15" t="s">
        <v>63</v>
      </c>
      <c r="G44" s="15" t="s">
        <v>86</v>
      </c>
      <c r="H44" s="15" t="s">
        <v>179</v>
      </c>
      <c r="I44" s="15" t="s">
        <v>130</v>
      </c>
      <c r="J44" s="15" t="s">
        <v>65</v>
      </c>
      <c r="K44" s="15"/>
      <c r="L44" s="14" t="s">
        <v>373</v>
      </c>
      <c r="M44" s="15">
        <v>0.4</v>
      </c>
      <c r="N44" s="14" t="s">
        <v>374</v>
      </c>
      <c r="O44" s="15">
        <v>0.6</v>
      </c>
      <c r="P44" s="15" t="s">
        <v>375</v>
      </c>
    </row>
    <row r="45" spans="1:16" x14ac:dyDescent="0.2">
      <c r="A45" s="15" t="s">
        <v>416</v>
      </c>
      <c r="B45" s="14" t="s">
        <v>320</v>
      </c>
      <c r="C45" s="15" t="s">
        <v>417</v>
      </c>
      <c r="D45" s="15" t="s">
        <v>369</v>
      </c>
      <c r="E45" s="15" t="s">
        <v>370</v>
      </c>
      <c r="F45" s="15" t="s">
        <v>63</v>
      </c>
      <c r="G45" s="15" t="s">
        <v>86</v>
      </c>
      <c r="H45" s="15" t="s">
        <v>179</v>
      </c>
      <c r="I45" s="15" t="s">
        <v>130</v>
      </c>
      <c r="J45" s="15" t="s">
        <v>65</v>
      </c>
      <c r="K45" s="15"/>
      <c r="L45" s="14" t="s">
        <v>419</v>
      </c>
      <c r="M45" s="15">
        <v>0.5</v>
      </c>
      <c r="N45" s="14" t="s">
        <v>420</v>
      </c>
      <c r="O45" s="15">
        <v>0.5</v>
      </c>
      <c r="P45" s="14" t="s">
        <v>247</v>
      </c>
    </row>
    <row r="46" spans="1:16" x14ac:dyDescent="0.2">
      <c r="A46" s="15" t="s">
        <v>425</v>
      </c>
      <c r="B46" s="14" t="s">
        <v>419</v>
      </c>
      <c r="C46" s="15" t="s">
        <v>426</v>
      </c>
      <c r="D46" s="15" t="s">
        <v>369</v>
      </c>
      <c r="E46" s="15" t="s">
        <v>370</v>
      </c>
      <c r="F46" s="15" t="s">
        <v>63</v>
      </c>
      <c r="G46" s="15" t="s">
        <v>86</v>
      </c>
      <c r="H46" s="15" t="s">
        <v>179</v>
      </c>
      <c r="I46" s="15" t="s">
        <v>130</v>
      </c>
      <c r="J46" s="15" t="s">
        <v>65</v>
      </c>
      <c r="K46" s="15"/>
      <c r="L46" s="14" t="s">
        <v>428</v>
      </c>
      <c r="M46" s="15">
        <v>1</v>
      </c>
      <c r="N46" s="15"/>
      <c r="O46" s="15"/>
      <c r="P46" s="14" t="s">
        <v>419</v>
      </c>
    </row>
    <row r="47" spans="1:16" x14ac:dyDescent="0.2">
      <c r="A47" s="15" t="s">
        <v>430</v>
      </c>
      <c r="B47" s="14" t="s">
        <v>420</v>
      </c>
      <c r="C47" s="15" t="s">
        <v>431</v>
      </c>
      <c r="D47" s="15" t="s">
        <v>369</v>
      </c>
      <c r="E47" s="15" t="s">
        <v>370</v>
      </c>
      <c r="F47" s="15" t="s">
        <v>63</v>
      </c>
      <c r="G47" s="15" t="s">
        <v>86</v>
      </c>
      <c r="H47" s="15" t="s">
        <v>179</v>
      </c>
      <c r="I47" s="15" t="s">
        <v>61</v>
      </c>
      <c r="J47" s="15" t="s">
        <v>65</v>
      </c>
      <c r="K47" s="15"/>
      <c r="L47" s="14" t="s">
        <v>374</v>
      </c>
      <c r="M47" s="15">
        <v>1</v>
      </c>
      <c r="N47" s="15"/>
      <c r="O47" s="15"/>
      <c r="P47" s="14" t="s">
        <v>420</v>
      </c>
    </row>
    <row r="48" spans="1:16" x14ac:dyDescent="0.2">
      <c r="A48" s="15" t="s">
        <v>434</v>
      </c>
      <c r="B48" s="14" t="s">
        <v>373</v>
      </c>
      <c r="C48" s="15" t="s">
        <v>435</v>
      </c>
      <c r="D48" s="15" t="s">
        <v>369</v>
      </c>
      <c r="E48" s="15" t="s">
        <v>370</v>
      </c>
      <c r="F48" s="15" t="s">
        <v>63</v>
      </c>
      <c r="G48" s="15" t="s">
        <v>86</v>
      </c>
      <c r="H48" s="15" t="s">
        <v>179</v>
      </c>
      <c r="I48" s="15" t="s">
        <v>61</v>
      </c>
      <c r="J48" s="15" t="s">
        <v>65</v>
      </c>
      <c r="K48" s="15"/>
      <c r="L48" s="14" t="s">
        <v>298</v>
      </c>
      <c r="M48" s="15">
        <v>1</v>
      </c>
      <c r="N48" s="15"/>
      <c r="O48" s="15"/>
      <c r="P48" s="14" t="s">
        <v>437</v>
      </c>
    </row>
    <row r="49" spans="1:16" x14ac:dyDescent="0.2">
      <c r="A49" s="15" t="s">
        <v>439</v>
      </c>
      <c r="B49" s="14" t="s">
        <v>374</v>
      </c>
      <c r="C49" s="15" t="s">
        <v>441</v>
      </c>
      <c r="D49" s="15" t="s">
        <v>369</v>
      </c>
      <c r="E49" s="15" t="s">
        <v>440</v>
      </c>
      <c r="F49" s="15" t="s">
        <v>63</v>
      </c>
      <c r="G49" s="14" t="s">
        <v>19</v>
      </c>
      <c r="H49" s="15" t="s">
        <v>443</v>
      </c>
      <c r="I49" s="15" t="s">
        <v>61</v>
      </c>
      <c r="J49" s="15" t="s">
        <v>65</v>
      </c>
      <c r="K49" s="15"/>
      <c r="L49" s="14" t="s">
        <v>444</v>
      </c>
      <c r="M49" s="15">
        <v>1</v>
      </c>
      <c r="N49" s="15"/>
      <c r="O49" s="15"/>
      <c r="P49" s="14" t="s">
        <v>365</v>
      </c>
    </row>
    <row r="50" spans="1:16" x14ac:dyDescent="0.2">
      <c r="A50" s="15" t="s">
        <v>450</v>
      </c>
      <c r="B50" s="14" t="s">
        <v>428</v>
      </c>
      <c r="C50" s="15" t="s">
        <v>451</v>
      </c>
      <c r="D50" s="15" t="s">
        <v>369</v>
      </c>
      <c r="E50" s="15" t="s">
        <v>440</v>
      </c>
      <c r="F50" s="15" t="s">
        <v>63</v>
      </c>
      <c r="G50" s="15" t="s">
        <v>86</v>
      </c>
      <c r="H50" s="15" t="s">
        <v>179</v>
      </c>
      <c r="I50" s="15" t="s">
        <v>130</v>
      </c>
      <c r="J50" s="15" t="s">
        <v>65</v>
      </c>
      <c r="K50" s="15"/>
      <c r="L50" s="14" t="s">
        <v>453</v>
      </c>
      <c r="M50" s="15">
        <v>1</v>
      </c>
      <c r="N50" s="15"/>
      <c r="O50" s="15"/>
      <c r="P50" s="15" t="s">
        <v>454</v>
      </c>
    </row>
    <row r="51" spans="1:16" x14ac:dyDescent="0.2">
      <c r="A51" s="15" t="s">
        <v>462</v>
      </c>
      <c r="B51" s="14" t="s">
        <v>453</v>
      </c>
      <c r="C51" s="15" t="s">
        <v>463</v>
      </c>
      <c r="D51" s="15" t="s">
        <v>369</v>
      </c>
      <c r="E51" s="15" t="s">
        <v>440</v>
      </c>
      <c r="F51" s="15" t="s">
        <v>63</v>
      </c>
      <c r="G51" s="15" t="s">
        <v>86</v>
      </c>
      <c r="H51" s="15" t="s">
        <v>179</v>
      </c>
      <c r="I51" s="15" t="s">
        <v>130</v>
      </c>
      <c r="J51" s="15" t="s">
        <v>65</v>
      </c>
      <c r="K51" s="15"/>
      <c r="L51" s="14" t="s">
        <v>453</v>
      </c>
      <c r="M51" s="15">
        <v>1</v>
      </c>
      <c r="N51" s="15"/>
      <c r="O51" s="15"/>
      <c r="P51" s="15" t="s">
        <v>465</v>
      </c>
    </row>
    <row r="52" spans="1:16" x14ac:dyDescent="0.2">
      <c r="A52" s="15" t="s">
        <v>470</v>
      </c>
      <c r="B52" s="14" t="s">
        <v>1346</v>
      </c>
      <c r="C52" s="15" t="s">
        <v>471</v>
      </c>
      <c r="D52" s="15" t="s">
        <v>369</v>
      </c>
      <c r="E52" s="15" t="s">
        <v>440</v>
      </c>
      <c r="F52" s="15" t="s">
        <v>63</v>
      </c>
      <c r="G52" s="15" t="s">
        <v>86</v>
      </c>
      <c r="H52" s="15" t="s">
        <v>179</v>
      </c>
      <c r="I52" s="15" t="s">
        <v>130</v>
      </c>
      <c r="J52" s="15" t="s">
        <v>65</v>
      </c>
      <c r="K52" s="15"/>
      <c r="L52" s="14" t="s">
        <v>453</v>
      </c>
      <c r="M52" s="15">
        <v>1</v>
      </c>
      <c r="N52" s="15"/>
      <c r="O52" s="15"/>
      <c r="P52" s="15" t="s">
        <v>473</v>
      </c>
    </row>
    <row r="53" spans="1:16" x14ac:dyDescent="0.2">
      <c r="A53" s="15" t="s">
        <v>475</v>
      </c>
      <c r="B53" s="14" t="s">
        <v>535</v>
      </c>
      <c r="C53" s="15" t="s">
        <v>476</v>
      </c>
      <c r="D53" s="15" t="s">
        <v>369</v>
      </c>
      <c r="E53" s="15" t="s">
        <v>440</v>
      </c>
      <c r="F53" s="15" t="s">
        <v>243</v>
      </c>
      <c r="G53" s="14" t="s">
        <v>19</v>
      </c>
      <c r="H53" s="15" t="s">
        <v>179</v>
      </c>
      <c r="I53" s="15" t="s">
        <v>61</v>
      </c>
      <c r="J53" s="15" t="s">
        <v>246</v>
      </c>
      <c r="K53" s="15" t="s">
        <v>479</v>
      </c>
      <c r="L53" s="14" t="s">
        <v>453</v>
      </c>
      <c r="M53" s="15">
        <v>1</v>
      </c>
      <c r="N53" s="15"/>
      <c r="O53" s="15"/>
      <c r="P53" s="15" t="s">
        <v>480</v>
      </c>
    </row>
    <row r="54" spans="1:16" x14ac:dyDescent="0.2">
      <c r="A54" s="15" t="s">
        <v>497</v>
      </c>
      <c r="B54" s="14" t="s">
        <v>507</v>
      </c>
      <c r="C54" s="15" t="s">
        <v>499</v>
      </c>
      <c r="D54" s="15" t="s">
        <v>369</v>
      </c>
      <c r="E54" s="15" t="s">
        <v>498</v>
      </c>
      <c r="F54" s="15" t="s">
        <v>63</v>
      </c>
      <c r="G54" s="15" t="s">
        <v>86</v>
      </c>
      <c r="H54" s="15" t="s">
        <v>179</v>
      </c>
      <c r="I54" s="15" t="s">
        <v>130</v>
      </c>
      <c r="J54" s="15" t="s">
        <v>65</v>
      </c>
      <c r="K54" s="15"/>
      <c r="L54" s="14" t="s">
        <v>298</v>
      </c>
      <c r="M54" s="15">
        <v>1</v>
      </c>
      <c r="N54" s="15"/>
      <c r="O54" s="15"/>
      <c r="P54" s="15" t="s">
        <v>501</v>
      </c>
    </row>
    <row r="55" spans="1:16" x14ac:dyDescent="0.2">
      <c r="A55" s="15" t="s">
        <v>503</v>
      </c>
      <c r="B55" s="14" t="s">
        <v>298</v>
      </c>
      <c r="C55" s="15" t="s">
        <v>504</v>
      </c>
      <c r="D55" s="15" t="s">
        <v>369</v>
      </c>
      <c r="E55" s="15" t="s">
        <v>498</v>
      </c>
      <c r="F55" s="15" t="s">
        <v>63</v>
      </c>
      <c r="G55" s="15" t="s">
        <v>86</v>
      </c>
      <c r="H55" s="15" t="s">
        <v>179</v>
      </c>
      <c r="I55" s="15" t="s">
        <v>61</v>
      </c>
      <c r="J55" s="15" t="s">
        <v>65</v>
      </c>
      <c r="K55" s="15" t="s">
        <v>506</v>
      </c>
      <c r="L55" s="14" t="s">
        <v>507</v>
      </c>
      <c r="M55" s="15">
        <v>1</v>
      </c>
      <c r="N55" s="15"/>
      <c r="O55" s="15"/>
      <c r="P55" s="14" t="s">
        <v>374</v>
      </c>
    </row>
    <row r="56" spans="1:16" x14ac:dyDescent="0.2">
      <c r="A56" s="15" t="s">
        <v>509</v>
      </c>
      <c r="B56" s="14" t="s">
        <v>365</v>
      </c>
      <c r="C56" s="15" t="s">
        <v>510</v>
      </c>
      <c r="D56" s="15" t="s">
        <v>369</v>
      </c>
      <c r="E56" s="15" t="s">
        <v>498</v>
      </c>
      <c r="F56" s="15" t="s">
        <v>63</v>
      </c>
      <c r="G56" s="15" t="s">
        <v>512</v>
      </c>
      <c r="H56" s="15" t="s">
        <v>171</v>
      </c>
      <c r="I56" s="15" t="s">
        <v>61</v>
      </c>
      <c r="J56" s="15" t="s">
        <v>514</v>
      </c>
      <c r="K56" s="15" t="s">
        <v>515</v>
      </c>
      <c r="L56" s="14" t="s">
        <v>428</v>
      </c>
      <c r="M56" s="15">
        <v>1</v>
      </c>
      <c r="N56" s="15"/>
      <c r="O56" s="15"/>
      <c r="P56" s="14" t="s">
        <v>516</v>
      </c>
    </row>
    <row r="57" spans="1:16" x14ac:dyDescent="0.2">
      <c r="A57" s="15" t="s">
        <v>518</v>
      </c>
      <c r="B57" s="14" t="s">
        <v>437</v>
      </c>
      <c r="C57" s="15" t="s">
        <v>520</v>
      </c>
      <c r="D57" s="15" t="s">
        <v>369</v>
      </c>
      <c r="E57" s="15" t="s">
        <v>519</v>
      </c>
      <c r="F57" s="15" t="s">
        <v>63</v>
      </c>
      <c r="G57" s="15" t="s">
        <v>86</v>
      </c>
      <c r="H57" s="15" t="s">
        <v>179</v>
      </c>
      <c r="I57" s="15" t="s">
        <v>522</v>
      </c>
      <c r="J57" s="15" t="s">
        <v>65</v>
      </c>
      <c r="K57" s="15"/>
      <c r="L57" s="14" t="s">
        <v>298</v>
      </c>
      <c r="M57" s="15">
        <v>1</v>
      </c>
      <c r="N57" s="15"/>
      <c r="O57" s="15"/>
      <c r="P57" s="14" t="s">
        <v>523</v>
      </c>
    </row>
    <row r="58" spans="1:16" x14ac:dyDescent="0.2">
      <c r="A58" s="15" t="s">
        <v>525</v>
      </c>
      <c r="B58" s="14" t="s">
        <v>563</v>
      </c>
      <c r="C58" s="15" t="s">
        <v>526</v>
      </c>
      <c r="D58" s="15" t="s">
        <v>369</v>
      </c>
      <c r="E58" s="15" t="s">
        <v>519</v>
      </c>
      <c r="F58" s="15" t="s">
        <v>63</v>
      </c>
      <c r="G58" s="15" t="s">
        <v>86</v>
      </c>
      <c r="H58" s="15" t="s">
        <v>179</v>
      </c>
      <c r="I58" s="15" t="s">
        <v>61</v>
      </c>
      <c r="J58" s="15" t="s">
        <v>65</v>
      </c>
      <c r="K58" s="15"/>
      <c r="L58" s="14" t="s">
        <v>298</v>
      </c>
      <c r="M58" s="15">
        <v>1</v>
      </c>
      <c r="N58" s="15"/>
      <c r="O58" s="15"/>
      <c r="P58" s="14" t="s">
        <v>528</v>
      </c>
    </row>
    <row r="59" spans="1:16" x14ac:dyDescent="0.2">
      <c r="A59" s="15" t="s">
        <v>530</v>
      </c>
      <c r="B59" s="14" t="s">
        <v>523</v>
      </c>
      <c r="C59" s="15" t="s">
        <v>531</v>
      </c>
      <c r="D59" s="15" t="s">
        <v>369</v>
      </c>
      <c r="E59" s="15" t="s">
        <v>531</v>
      </c>
      <c r="F59" s="15" t="s">
        <v>243</v>
      </c>
      <c r="G59" s="15" t="s">
        <v>533</v>
      </c>
      <c r="H59" s="15" t="s">
        <v>179</v>
      </c>
      <c r="I59" s="15" t="s">
        <v>522</v>
      </c>
      <c r="J59" s="15" t="s">
        <v>65</v>
      </c>
      <c r="K59" s="15" t="s">
        <v>165</v>
      </c>
      <c r="L59" s="14" t="s">
        <v>535</v>
      </c>
      <c r="M59" s="15">
        <v>1</v>
      </c>
      <c r="N59" s="15"/>
      <c r="O59" s="15"/>
      <c r="P59" s="14" t="s">
        <v>536</v>
      </c>
    </row>
    <row r="60" spans="1:16" x14ac:dyDescent="0.2">
      <c r="A60" s="15" t="s">
        <v>544</v>
      </c>
      <c r="B60" s="14" t="s">
        <v>1395</v>
      </c>
      <c r="C60" s="15" t="s">
        <v>546</v>
      </c>
      <c r="D60" s="15" t="s">
        <v>369</v>
      </c>
      <c r="E60" s="15" t="s">
        <v>545</v>
      </c>
      <c r="F60" s="15" t="s">
        <v>63</v>
      </c>
      <c r="G60" s="15" t="s">
        <v>549</v>
      </c>
      <c r="H60" s="15" t="s">
        <v>443</v>
      </c>
      <c r="I60" s="15" t="s">
        <v>61</v>
      </c>
      <c r="J60" s="15" t="s">
        <v>65</v>
      </c>
      <c r="K60" s="15"/>
      <c r="L60" s="14" t="s">
        <v>453</v>
      </c>
      <c r="M60" s="15">
        <v>1</v>
      </c>
      <c r="N60" s="15"/>
      <c r="O60" s="15"/>
      <c r="P60" s="14" t="s">
        <v>507</v>
      </c>
    </row>
    <row r="61" spans="1:16" x14ac:dyDescent="0.2">
      <c r="A61" s="15" t="s">
        <v>552</v>
      </c>
      <c r="B61" s="14" t="s">
        <v>528</v>
      </c>
      <c r="C61" s="15" t="s">
        <v>553</v>
      </c>
      <c r="D61" s="15" t="s">
        <v>369</v>
      </c>
      <c r="E61" s="15" t="s">
        <v>545</v>
      </c>
      <c r="F61" s="15" t="s">
        <v>63</v>
      </c>
      <c r="G61" s="15" t="s">
        <v>108</v>
      </c>
      <c r="H61" s="15" t="s">
        <v>443</v>
      </c>
      <c r="I61" s="15" t="s">
        <v>61</v>
      </c>
      <c r="J61" s="15" t="s">
        <v>65</v>
      </c>
      <c r="K61" s="15"/>
      <c r="L61" s="14" t="s">
        <v>453</v>
      </c>
      <c r="M61" s="15">
        <v>1</v>
      </c>
      <c r="N61" s="15"/>
      <c r="O61" s="15"/>
      <c r="P61" s="14" t="s">
        <v>298</v>
      </c>
    </row>
    <row r="62" spans="1:16" x14ac:dyDescent="0.2">
      <c r="A62" s="15" t="s">
        <v>557</v>
      </c>
      <c r="B62" s="14" t="s">
        <v>536</v>
      </c>
      <c r="C62" s="15" t="s">
        <v>558</v>
      </c>
      <c r="D62" s="15" t="s">
        <v>369</v>
      </c>
      <c r="E62" s="15" t="s">
        <v>545</v>
      </c>
      <c r="F62" s="15" t="s">
        <v>63</v>
      </c>
      <c r="G62" s="15" t="s">
        <v>560</v>
      </c>
      <c r="H62" s="15" t="s">
        <v>443</v>
      </c>
      <c r="I62" s="15" t="s">
        <v>61</v>
      </c>
      <c r="J62" s="15" t="s">
        <v>65</v>
      </c>
      <c r="K62" s="15"/>
      <c r="L62" s="14" t="s">
        <v>453</v>
      </c>
      <c r="M62" s="15">
        <v>1</v>
      </c>
      <c r="N62" s="15"/>
      <c r="O62" s="15"/>
      <c r="P62" s="14" t="s">
        <v>563</v>
      </c>
    </row>
    <row r="63" spans="1:16" x14ac:dyDescent="0.2">
      <c r="A63" s="15" t="s">
        <v>565</v>
      </c>
      <c r="B63" s="14" t="s">
        <v>742</v>
      </c>
      <c r="C63" s="15" t="s">
        <v>567</v>
      </c>
      <c r="D63" s="15" t="s">
        <v>369</v>
      </c>
      <c r="E63" s="15" t="s">
        <v>566</v>
      </c>
      <c r="F63" s="15" t="s">
        <v>63</v>
      </c>
      <c r="G63" s="14" t="s">
        <v>19</v>
      </c>
      <c r="H63" s="15" t="s">
        <v>179</v>
      </c>
      <c r="I63" s="15" t="s">
        <v>61</v>
      </c>
      <c r="J63" s="15" t="s">
        <v>569</v>
      </c>
      <c r="K63" s="15"/>
      <c r="L63" s="14" t="s">
        <v>365</v>
      </c>
      <c r="M63" s="15">
        <v>1</v>
      </c>
      <c r="N63" s="15"/>
      <c r="O63" s="15"/>
      <c r="P63" s="14" t="s">
        <v>570</v>
      </c>
    </row>
    <row r="64" spans="1:16" x14ac:dyDescent="0.2">
      <c r="A64" s="15" t="s">
        <v>576</v>
      </c>
      <c r="B64" s="14" t="s">
        <v>570</v>
      </c>
      <c r="C64" s="15" t="s">
        <v>577</v>
      </c>
      <c r="D64" s="15" t="s">
        <v>369</v>
      </c>
      <c r="E64" s="15" t="s">
        <v>566</v>
      </c>
      <c r="F64" s="15" t="s">
        <v>63</v>
      </c>
      <c r="G64" s="14" t="s">
        <v>19</v>
      </c>
      <c r="H64" s="15" t="s">
        <v>179</v>
      </c>
      <c r="I64" s="15" t="s">
        <v>61</v>
      </c>
      <c r="J64" s="15" t="s">
        <v>327</v>
      </c>
      <c r="K64" s="15"/>
      <c r="L64" s="14" t="s">
        <v>428</v>
      </c>
      <c r="M64" s="15">
        <v>1</v>
      </c>
      <c r="N64" s="15"/>
      <c r="O64" s="15"/>
      <c r="P64" s="14" t="s">
        <v>579</v>
      </c>
    </row>
    <row r="65" spans="1:16" x14ac:dyDescent="0.2">
      <c r="A65" s="15" t="s">
        <v>585</v>
      </c>
      <c r="B65" s="14" t="s">
        <v>1416</v>
      </c>
      <c r="C65" s="15" t="s">
        <v>586</v>
      </c>
      <c r="D65" s="15" t="s">
        <v>369</v>
      </c>
      <c r="E65" s="15" t="s">
        <v>566</v>
      </c>
      <c r="F65" s="15" t="s">
        <v>63</v>
      </c>
      <c r="G65" s="15" t="s">
        <v>108</v>
      </c>
      <c r="H65" s="15" t="s">
        <v>179</v>
      </c>
      <c r="I65" s="15" t="s">
        <v>61</v>
      </c>
      <c r="J65" s="15" t="s">
        <v>351</v>
      </c>
      <c r="K65" s="15"/>
      <c r="L65" s="14" t="s">
        <v>419</v>
      </c>
      <c r="M65" s="15">
        <v>1</v>
      </c>
      <c r="N65" s="15"/>
      <c r="O65" s="15"/>
      <c r="P65" s="14" t="s">
        <v>589</v>
      </c>
    </row>
    <row r="66" spans="1:16" x14ac:dyDescent="0.2">
      <c r="A66" s="15" t="s">
        <v>591</v>
      </c>
      <c r="B66" s="14" t="s">
        <v>589</v>
      </c>
      <c r="C66" s="15" t="s">
        <v>592</v>
      </c>
      <c r="D66" s="15" t="s">
        <v>369</v>
      </c>
      <c r="E66" s="15" t="s">
        <v>566</v>
      </c>
      <c r="F66" s="15" t="s">
        <v>63</v>
      </c>
      <c r="G66" s="15" t="s">
        <v>594</v>
      </c>
      <c r="H66" s="15" t="s">
        <v>179</v>
      </c>
      <c r="I66" s="15" t="s">
        <v>61</v>
      </c>
      <c r="J66" s="15" t="s">
        <v>250</v>
      </c>
      <c r="K66" s="15"/>
      <c r="L66" s="14" t="s">
        <v>365</v>
      </c>
      <c r="M66" s="15">
        <v>1</v>
      </c>
      <c r="N66" s="15"/>
      <c r="O66" s="15"/>
      <c r="P66" s="15" t="s">
        <v>596</v>
      </c>
    </row>
    <row r="67" spans="1:16" x14ac:dyDescent="0.2">
      <c r="A67" s="15" t="s">
        <v>598</v>
      </c>
      <c r="B67" s="14" t="s">
        <v>579</v>
      </c>
      <c r="C67" s="15" t="s">
        <v>599</v>
      </c>
      <c r="D67" s="15" t="s">
        <v>369</v>
      </c>
      <c r="E67" s="15" t="s">
        <v>566</v>
      </c>
      <c r="F67" s="15" t="s">
        <v>63</v>
      </c>
      <c r="G67" s="15" t="s">
        <v>600</v>
      </c>
      <c r="H67" s="15" t="s">
        <v>179</v>
      </c>
      <c r="I67" s="15" t="s">
        <v>61</v>
      </c>
      <c r="J67" s="15" t="s">
        <v>602</v>
      </c>
      <c r="K67" s="15"/>
      <c r="L67" s="14" t="s">
        <v>298</v>
      </c>
      <c r="M67" s="15">
        <v>1</v>
      </c>
      <c r="N67" s="15"/>
      <c r="O67" s="15"/>
      <c r="P67" s="14" t="s">
        <v>603</v>
      </c>
    </row>
    <row r="68" spans="1:16" x14ac:dyDescent="0.2">
      <c r="A68" s="15" t="s">
        <v>605</v>
      </c>
      <c r="B68" s="14" t="s">
        <v>1520</v>
      </c>
      <c r="C68" s="15" t="s">
        <v>606</v>
      </c>
      <c r="D68" s="15" t="s">
        <v>369</v>
      </c>
      <c r="E68" s="15" t="s">
        <v>566</v>
      </c>
      <c r="F68" s="15" t="s">
        <v>63</v>
      </c>
      <c r="G68" s="14" t="s">
        <v>19</v>
      </c>
      <c r="H68" s="15" t="s">
        <v>179</v>
      </c>
      <c r="I68" s="15" t="s">
        <v>61</v>
      </c>
      <c r="J68" s="15" t="s">
        <v>246</v>
      </c>
      <c r="K68" s="15"/>
      <c r="L68" s="14" t="s">
        <v>374</v>
      </c>
      <c r="M68" s="15">
        <v>1</v>
      </c>
      <c r="N68" s="15"/>
      <c r="O68" s="15"/>
      <c r="P68" s="14" t="s">
        <v>608</v>
      </c>
    </row>
    <row r="69" spans="1:16" x14ac:dyDescent="0.2">
      <c r="A69" s="15" t="s">
        <v>737</v>
      </c>
      <c r="B69" s="14" t="s">
        <v>1431</v>
      </c>
      <c r="C69" s="15" t="s">
        <v>739</v>
      </c>
      <c r="D69" s="15" t="s">
        <v>369</v>
      </c>
      <c r="E69" s="15" t="s">
        <v>738</v>
      </c>
      <c r="F69" s="15" t="s">
        <v>63</v>
      </c>
      <c r="G69" s="15" t="s">
        <v>86</v>
      </c>
      <c r="H69" s="15" t="s">
        <v>61</v>
      </c>
      <c r="I69" s="15" t="s">
        <v>61</v>
      </c>
      <c r="J69" s="15" t="s">
        <v>65</v>
      </c>
      <c r="K69" s="15" t="s">
        <v>741</v>
      </c>
      <c r="L69" s="14" t="s">
        <v>437</v>
      </c>
      <c r="M69" s="15">
        <v>1</v>
      </c>
      <c r="N69" s="15"/>
      <c r="O69" s="15"/>
      <c r="P69" s="14" t="s">
        <v>742</v>
      </c>
    </row>
    <row r="70" spans="1:16" x14ac:dyDescent="0.2">
      <c r="A70" s="15" t="s">
        <v>614</v>
      </c>
      <c r="B70" s="14" t="s">
        <v>632</v>
      </c>
      <c r="C70" s="15" t="s">
        <v>616</v>
      </c>
      <c r="D70" s="15" t="s">
        <v>615</v>
      </c>
      <c r="E70" s="15" t="s">
        <v>61</v>
      </c>
      <c r="F70" s="15" t="s">
        <v>63</v>
      </c>
      <c r="G70" s="15" t="s">
        <v>86</v>
      </c>
      <c r="H70" s="15" t="s">
        <v>619</v>
      </c>
      <c r="I70" s="15" t="s">
        <v>61</v>
      </c>
      <c r="J70" s="15" t="s">
        <v>65</v>
      </c>
      <c r="K70" s="15"/>
      <c r="L70" s="14" t="s">
        <v>620</v>
      </c>
      <c r="M70" s="15">
        <v>1</v>
      </c>
      <c r="N70" s="15"/>
      <c r="O70" s="15"/>
      <c r="P70" s="15" t="s">
        <v>621</v>
      </c>
    </row>
    <row r="71" spans="1:16" x14ac:dyDescent="0.2">
      <c r="A71" s="15" t="s">
        <v>629</v>
      </c>
      <c r="B71" s="14" t="s">
        <v>1447</v>
      </c>
      <c r="C71" s="15" t="s">
        <v>630</v>
      </c>
      <c r="D71" s="15" t="s">
        <v>615</v>
      </c>
      <c r="E71" s="15" t="s">
        <v>61</v>
      </c>
      <c r="F71" s="15" t="s">
        <v>63</v>
      </c>
      <c r="G71" s="15" t="s">
        <v>86</v>
      </c>
      <c r="H71" s="15" t="s">
        <v>619</v>
      </c>
      <c r="I71" s="15" t="s">
        <v>61</v>
      </c>
      <c r="J71" s="15" t="s">
        <v>65</v>
      </c>
      <c r="K71" s="15"/>
      <c r="L71" s="14" t="s">
        <v>632</v>
      </c>
      <c r="M71" s="15">
        <v>1</v>
      </c>
      <c r="N71" s="15"/>
      <c r="O71" s="15"/>
      <c r="P71" s="15" t="s">
        <v>633</v>
      </c>
    </row>
    <row r="72" spans="1:16" x14ac:dyDescent="0.2">
      <c r="A72" s="15" t="s">
        <v>635</v>
      </c>
      <c r="B72" s="14" t="s">
        <v>639</v>
      </c>
      <c r="C72" s="15" t="s">
        <v>636</v>
      </c>
      <c r="D72" s="15" t="s">
        <v>615</v>
      </c>
      <c r="E72" s="15" t="s">
        <v>61</v>
      </c>
      <c r="F72" s="15" t="s">
        <v>63</v>
      </c>
      <c r="G72" s="15" t="s">
        <v>100</v>
      </c>
      <c r="H72" s="15" t="s">
        <v>619</v>
      </c>
      <c r="I72" s="15" t="s">
        <v>61</v>
      </c>
      <c r="J72" s="15" t="s">
        <v>65</v>
      </c>
      <c r="K72" s="15"/>
      <c r="L72" s="14" t="s">
        <v>639</v>
      </c>
      <c r="M72" s="15">
        <v>1</v>
      </c>
      <c r="N72" s="15"/>
      <c r="O72" s="15"/>
      <c r="P72" s="14" t="s">
        <v>639</v>
      </c>
    </row>
    <row r="73" spans="1:16" x14ac:dyDescent="0.2">
      <c r="A73" s="15" t="s">
        <v>641</v>
      </c>
      <c r="B73" s="14" t="s">
        <v>111</v>
      </c>
      <c r="C73" s="15" t="s">
        <v>644</v>
      </c>
      <c r="D73" s="15" t="s">
        <v>642</v>
      </c>
      <c r="E73" s="15" t="s">
        <v>643</v>
      </c>
      <c r="F73" s="15" t="s">
        <v>63</v>
      </c>
      <c r="G73" s="15" t="s">
        <v>647</v>
      </c>
      <c r="H73" s="15" t="s">
        <v>649</v>
      </c>
      <c r="I73" s="15" t="s">
        <v>1044</v>
      </c>
      <c r="J73" s="15" t="s">
        <v>65</v>
      </c>
      <c r="K73" s="15"/>
      <c r="L73" s="14" t="s">
        <v>111</v>
      </c>
      <c r="M73" s="15">
        <v>1</v>
      </c>
      <c r="N73" s="15"/>
      <c r="O73" s="15"/>
      <c r="P73" s="14" t="s">
        <v>111</v>
      </c>
    </row>
    <row r="74" spans="1:16" x14ac:dyDescent="0.2">
      <c r="A74" s="15" t="s">
        <v>651</v>
      </c>
      <c r="B74" s="14" t="s">
        <v>670</v>
      </c>
      <c r="C74" s="15" t="s">
        <v>652</v>
      </c>
      <c r="D74" s="15" t="s">
        <v>642</v>
      </c>
      <c r="E74" s="15" t="s">
        <v>643</v>
      </c>
      <c r="F74" s="15" t="s">
        <v>63</v>
      </c>
      <c r="G74" s="15" t="s">
        <v>647</v>
      </c>
      <c r="H74" s="15" t="s">
        <v>654</v>
      </c>
      <c r="I74" s="15" t="s">
        <v>1045</v>
      </c>
      <c r="J74" s="15" t="s">
        <v>65</v>
      </c>
      <c r="K74" s="15"/>
      <c r="L74" s="14" t="s">
        <v>655</v>
      </c>
      <c r="M74" s="15">
        <v>1</v>
      </c>
      <c r="N74" s="15"/>
      <c r="O74" s="15"/>
      <c r="P74" s="14" t="s">
        <v>656</v>
      </c>
    </row>
    <row r="75" spans="1:16" x14ac:dyDescent="0.2">
      <c r="A75" s="15" t="s">
        <v>658</v>
      </c>
      <c r="B75" s="14" t="s">
        <v>691</v>
      </c>
      <c r="C75" s="15" t="s">
        <v>659</v>
      </c>
      <c r="D75" s="15" t="s">
        <v>642</v>
      </c>
      <c r="E75" s="15" t="s">
        <v>643</v>
      </c>
      <c r="F75" s="15" t="s">
        <v>63</v>
      </c>
      <c r="G75" s="15" t="s">
        <v>86</v>
      </c>
      <c r="H75" s="15" t="s">
        <v>171</v>
      </c>
      <c r="I75" s="15" t="s">
        <v>130</v>
      </c>
      <c r="J75" s="15" t="s">
        <v>65</v>
      </c>
      <c r="K75" s="15"/>
      <c r="L75" s="14" t="s">
        <v>655</v>
      </c>
      <c r="M75" s="15">
        <v>1</v>
      </c>
      <c r="N75" s="15"/>
      <c r="O75" s="15"/>
      <c r="P75" s="14" t="s">
        <v>661</v>
      </c>
    </row>
    <row r="76" spans="1:16" x14ac:dyDescent="0.2">
      <c r="A76" s="15" t="s">
        <v>663</v>
      </c>
      <c r="B76" s="14" t="s">
        <v>656</v>
      </c>
      <c r="C76" s="15" t="s">
        <v>664</v>
      </c>
      <c r="D76" s="15" t="s">
        <v>642</v>
      </c>
      <c r="E76" s="15" t="s">
        <v>643</v>
      </c>
      <c r="F76" s="15" t="s">
        <v>63</v>
      </c>
      <c r="G76" s="15" t="s">
        <v>86</v>
      </c>
      <c r="H76" s="15" t="s">
        <v>171</v>
      </c>
      <c r="I76" s="15" t="s">
        <v>522</v>
      </c>
      <c r="J76" s="15" t="s">
        <v>65</v>
      </c>
      <c r="K76" s="15"/>
      <c r="L76" s="14" t="s">
        <v>444</v>
      </c>
      <c r="M76" s="15">
        <v>1</v>
      </c>
      <c r="N76" s="15"/>
      <c r="O76" s="15"/>
      <c r="P76" s="14" t="s">
        <v>655</v>
      </c>
    </row>
    <row r="77" spans="1:16" x14ac:dyDescent="0.2">
      <c r="A77" s="15" t="s">
        <v>667</v>
      </c>
      <c r="B77" s="14" t="s">
        <v>661</v>
      </c>
      <c r="C77" s="15" t="s">
        <v>668</v>
      </c>
      <c r="D77" s="15" t="s">
        <v>642</v>
      </c>
      <c r="E77" s="15" t="s">
        <v>643</v>
      </c>
      <c r="F77" s="15" t="s">
        <v>63</v>
      </c>
      <c r="G77" s="14" t="s">
        <v>19</v>
      </c>
      <c r="H77" s="15" t="s">
        <v>101</v>
      </c>
      <c r="I77" s="15" t="s">
        <v>61</v>
      </c>
      <c r="J77" s="15" t="s">
        <v>65</v>
      </c>
      <c r="K77" s="15"/>
      <c r="L77" s="14" t="s">
        <v>670</v>
      </c>
      <c r="M77" s="15">
        <v>1</v>
      </c>
      <c r="N77" s="15"/>
      <c r="O77" s="15"/>
      <c r="P77" s="14" t="s">
        <v>671</v>
      </c>
    </row>
    <row r="78" spans="1:16" x14ac:dyDescent="0.2">
      <c r="A78" s="15" t="s">
        <v>675</v>
      </c>
      <c r="B78" s="14" t="s">
        <v>655</v>
      </c>
      <c r="C78" s="15" t="s">
        <v>676</v>
      </c>
      <c r="D78" s="15" t="s">
        <v>642</v>
      </c>
      <c r="E78" s="15" t="s">
        <v>643</v>
      </c>
      <c r="F78" s="15" t="s">
        <v>63</v>
      </c>
      <c r="G78" s="14" t="s">
        <v>19</v>
      </c>
      <c r="H78" s="15" t="s">
        <v>101</v>
      </c>
      <c r="I78" s="15" t="s">
        <v>61</v>
      </c>
      <c r="J78" s="15" t="s">
        <v>65</v>
      </c>
      <c r="K78" s="15"/>
      <c r="L78" s="14" t="s">
        <v>656</v>
      </c>
      <c r="M78" s="15">
        <v>1</v>
      </c>
      <c r="N78" s="15"/>
      <c r="O78" s="15"/>
      <c r="P78" s="14" t="s">
        <v>677</v>
      </c>
    </row>
    <row r="79" spans="1:16" x14ac:dyDescent="0.2">
      <c r="A79" s="15" t="s">
        <v>681</v>
      </c>
      <c r="B79" s="14" t="s">
        <v>444</v>
      </c>
      <c r="C79" s="15" t="s">
        <v>683</v>
      </c>
      <c r="D79" s="15" t="s">
        <v>642</v>
      </c>
      <c r="E79" s="15" t="s">
        <v>682</v>
      </c>
      <c r="F79" s="15" t="s">
        <v>63</v>
      </c>
      <c r="G79" s="15" t="s">
        <v>685</v>
      </c>
      <c r="H79" s="15" t="s">
        <v>654</v>
      </c>
      <c r="I79" s="15" t="s">
        <v>1044</v>
      </c>
      <c r="J79" s="15" t="s">
        <v>65</v>
      </c>
      <c r="K79" s="15"/>
      <c r="L79" s="14" t="s">
        <v>670</v>
      </c>
      <c r="M79" s="15">
        <v>1</v>
      </c>
      <c r="N79" s="15"/>
      <c r="O79" s="15"/>
      <c r="P79" s="14" t="s">
        <v>670</v>
      </c>
    </row>
    <row r="80" spans="1:16" x14ac:dyDescent="0.2">
      <c r="A80" s="15" t="s">
        <v>688</v>
      </c>
      <c r="B80" s="14" t="s">
        <v>723</v>
      </c>
      <c r="C80" s="15" t="s">
        <v>689</v>
      </c>
      <c r="D80" s="15" t="s">
        <v>642</v>
      </c>
      <c r="E80" s="15" t="s">
        <v>682</v>
      </c>
      <c r="F80" s="15" t="s">
        <v>63</v>
      </c>
      <c r="G80" s="15" t="s">
        <v>108</v>
      </c>
      <c r="H80" s="15" t="s">
        <v>654</v>
      </c>
      <c r="I80" s="15" t="s">
        <v>61</v>
      </c>
      <c r="J80" s="15" t="s">
        <v>65</v>
      </c>
      <c r="K80" s="15"/>
      <c r="L80" s="14" t="s">
        <v>670</v>
      </c>
      <c r="M80" s="15">
        <v>1</v>
      </c>
      <c r="N80" s="15"/>
      <c r="O80" s="15"/>
      <c r="P80" s="14" t="s">
        <v>691</v>
      </c>
    </row>
    <row r="81" spans="1:16" x14ac:dyDescent="0.2">
      <c r="A81" s="15" t="s">
        <v>693</v>
      </c>
      <c r="B81" s="14" t="s">
        <v>728</v>
      </c>
      <c r="C81" s="15" t="s">
        <v>694</v>
      </c>
      <c r="D81" s="15" t="s">
        <v>642</v>
      </c>
      <c r="E81" s="15" t="s">
        <v>682</v>
      </c>
      <c r="F81" s="15" t="s">
        <v>63</v>
      </c>
      <c r="G81" s="15" t="s">
        <v>108</v>
      </c>
      <c r="H81" s="15" t="s">
        <v>101</v>
      </c>
      <c r="I81" s="15" t="s">
        <v>61</v>
      </c>
      <c r="J81" s="15" t="s">
        <v>351</v>
      </c>
      <c r="K81" s="15"/>
      <c r="L81" s="14" t="s">
        <v>670</v>
      </c>
      <c r="M81" s="15">
        <v>1</v>
      </c>
      <c r="N81" s="15"/>
      <c r="O81" s="15"/>
      <c r="P81" s="14" t="s">
        <v>696</v>
      </c>
    </row>
    <row r="82" spans="1:16" x14ac:dyDescent="0.2">
      <c r="A82" s="15" t="s">
        <v>698</v>
      </c>
      <c r="B82" s="14" t="s">
        <v>696</v>
      </c>
      <c r="C82" s="15" t="s">
        <v>699</v>
      </c>
      <c r="D82" s="15" t="s">
        <v>642</v>
      </c>
      <c r="E82" s="15" t="s">
        <v>682</v>
      </c>
      <c r="F82" s="15" t="s">
        <v>63</v>
      </c>
      <c r="G82" s="15" t="s">
        <v>700</v>
      </c>
      <c r="H82" s="15" t="s">
        <v>654</v>
      </c>
      <c r="I82" s="15" t="s">
        <v>1044</v>
      </c>
      <c r="J82" s="15" t="s">
        <v>65</v>
      </c>
      <c r="K82" s="15"/>
      <c r="L82" s="14" t="s">
        <v>691</v>
      </c>
      <c r="M82" s="15">
        <v>1</v>
      </c>
      <c r="N82" s="15"/>
      <c r="O82" s="15"/>
      <c r="P82" s="14" t="s">
        <v>444</v>
      </c>
    </row>
    <row r="83" spans="1:16" x14ac:dyDescent="0.2">
      <c r="A83" s="15" t="s">
        <v>703</v>
      </c>
      <c r="B83" s="14" t="s">
        <v>733</v>
      </c>
      <c r="C83" s="15" t="s">
        <v>704</v>
      </c>
      <c r="D83" s="15" t="s">
        <v>642</v>
      </c>
      <c r="E83" s="15" t="s">
        <v>682</v>
      </c>
      <c r="F83" s="15" t="s">
        <v>63</v>
      </c>
      <c r="G83" s="15" t="s">
        <v>108</v>
      </c>
      <c r="H83" s="15" t="s">
        <v>171</v>
      </c>
      <c r="I83" s="15" t="s">
        <v>61</v>
      </c>
      <c r="J83" s="15" t="s">
        <v>65</v>
      </c>
      <c r="K83" s="15"/>
      <c r="L83" s="14" t="s">
        <v>187</v>
      </c>
      <c r="M83" s="15">
        <v>1</v>
      </c>
      <c r="N83" s="15"/>
      <c r="O83" s="15"/>
      <c r="P83" s="14" t="s">
        <v>707</v>
      </c>
    </row>
    <row r="84" spans="1:16" x14ac:dyDescent="0.2">
      <c r="A84" s="15" t="s">
        <v>709</v>
      </c>
      <c r="B84" s="14" t="s">
        <v>735</v>
      </c>
      <c r="C84" s="15" t="s">
        <v>710</v>
      </c>
      <c r="D84" s="15" t="s">
        <v>642</v>
      </c>
      <c r="E84" s="15" t="s">
        <v>682</v>
      </c>
      <c r="F84" s="15" t="s">
        <v>63</v>
      </c>
      <c r="G84" s="14" t="s">
        <v>19</v>
      </c>
      <c r="H84" s="15" t="s">
        <v>101</v>
      </c>
      <c r="I84" s="15" t="s">
        <v>61</v>
      </c>
      <c r="J84" s="15" t="s">
        <v>65</v>
      </c>
      <c r="K84" s="15"/>
      <c r="L84" s="14" t="s">
        <v>711</v>
      </c>
      <c r="M84" s="15">
        <v>1</v>
      </c>
      <c r="N84" s="15"/>
      <c r="O84" s="15"/>
      <c r="P84" s="14" t="s">
        <v>712</v>
      </c>
    </row>
    <row r="85" spans="1:16" x14ac:dyDescent="0.2">
      <c r="A85" s="15" t="s">
        <v>716</v>
      </c>
      <c r="B85" s="14" t="s">
        <v>707</v>
      </c>
      <c r="C85" s="15" t="s">
        <v>718</v>
      </c>
      <c r="D85" s="15" t="s">
        <v>642</v>
      </c>
      <c r="E85" s="15" t="s">
        <v>717</v>
      </c>
      <c r="F85" s="15" t="s">
        <v>63</v>
      </c>
      <c r="G85" s="15" t="s">
        <v>721</v>
      </c>
      <c r="H85" s="15" t="s">
        <v>649</v>
      </c>
      <c r="I85" s="15" t="s">
        <v>787</v>
      </c>
      <c r="J85" s="15" t="s">
        <v>65</v>
      </c>
      <c r="K85" s="15"/>
      <c r="L85" s="14" t="s">
        <v>656</v>
      </c>
      <c r="M85" s="15">
        <v>1</v>
      </c>
      <c r="N85" s="15"/>
      <c r="O85" s="15"/>
      <c r="P85" s="14" t="s">
        <v>723</v>
      </c>
    </row>
    <row r="86" spans="1:16" x14ac:dyDescent="0.2">
      <c r="A86" s="15" t="s">
        <v>725</v>
      </c>
      <c r="B86" s="14" t="s">
        <v>671</v>
      </c>
      <c r="C86" s="15" t="s">
        <v>726</v>
      </c>
      <c r="D86" s="15" t="s">
        <v>642</v>
      </c>
      <c r="E86" s="15" t="s">
        <v>717</v>
      </c>
      <c r="F86" s="15" t="s">
        <v>63</v>
      </c>
      <c r="G86" s="15" t="s">
        <v>647</v>
      </c>
      <c r="H86" s="15" t="s">
        <v>654</v>
      </c>
      <c r="I86" s="15" t="s">
        <v>61</v>
      </c>
      <c r="J86" s="15" t="s">
        <v>65</v>
      </c>
      <c r="K86" s="15"/>
      <c r="L86" s="14" t="s">
        <v>444</v>
      </c>
      <c r="M86" s="15">
        <v>1</v>
      </c>
      <c r="N86" s="15"/>
      <c r="O86" s="15"/>
      <c r="P86" s="14" t="s">
        <v>728</v>
      </c>
    </row>
    <row r="87" spans="1:16" x14ac:dyDescent="0.2">
      <c r="A87" s="15" t="s">
        <v>730</v>
      </c>
      <c r="B87" s="14" t="s">
        <v>677</v>
      </c>
      <c r="C87" s="15" t="s">
        <v>731</v>
      </c>
      <c r="D87" s="15" t="s">
        <v>642</v>
      </c>
      <c r="E87" s="15" t="s">
        <v>717</v>
      </c>
      <c r="F87" s="15" t="s">
        <v>63</v>
      </c>
      <c r="G87" s="15" t="s">
        <v>108</v>
      </c>
      <c r="H87" s="15" t="s">
        <v>654</v>
      </c>
      <c r="I87" s="15" t="s">
        <v>61</v>
      </c>
      <c r="J87" s="15" t="s">
        <v>65</v>
      </c>
      <c r="K87" s="15"/>
      <c r="L87" s="14" t="s">
        <v>661</v>
      </c>
      <c r="M87" s="15">
        <v>1</v>
      </c>
      <c r="N87" s="15"/>
      <c r="O87" s="15"/>
      <c r="P87" s="14" t="s">
        <v>733</v>
      </c>
    </row>
    <row r="88" spans="1:16" x14ac:dyDescent="0.2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</row>
    <row r="89" spans="1:16" x14ac:dyDescent="0.2">
      <c r="A89" s="29" t="s">
        <v>1521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</row>
    <row r="90" spans="1:16" ht="42" customHeight="1" x14ac:dyDescent="0.2">
      <c r="A90" s="28" t="s">
        <v>33</v>
      </c>
      <c r="B90" s="28" t="s">
        <v>34</v>
      </c>
      <c r="C90" s="28" t="s">
        <v>756</v>
      </c>
      <c r="D90" s="28" t="s">
        <v>1522</v>
      </c>
      <c r="E90" s="28" t="s">
        <v>40</v>
      </c>
      <c r="F90" s="28" t="s">
        <v>42</v>
      </c>
      <c r="G90" s="28" t="s">
        <v>1523</v>
      </c>
      <c r="H90" s="28" t="s">
        <v>44</v>
      </c>
      <c r="I90" s="28" t="s">
        <v>45</v>
      </c>
      <c r="J90" s="28" t="s">
        <v>46</v>
      </c>
      <c r="K90" s="28" t="s">
        <v>51</v>
      </c>
      <c r="L90" s="28" t="s">
        <v>47</v>
      </c>
      <c r="M90" s="15"/>
      <c r="N90" s="15"/>
      <c r="O90" s="15"/>
      <c r="P90" s="15"/>
    </row>
    <row r="91" spans="1:16" x14ac:dyDescent="0.2">
      <c r="A91" s="15" t="s">
        <v>58</v>
      </c>
      <c r="B91" s="15" t="s">
        <v>59</v>
      </c>
      <c r="C91" s="14" t="s">
        <v>72</v>
      </c>
      <c r="D91" s="15" t="s">
        <v>64</v>
      </c>
      <c r="E91" s="15" t="s">
        <v>66</v>
      </c>
      <c r="F91" s="15" t="s">
        <v>67</v>
      </c>
      <c r="G91" s="15"/>
      <c r="H91" s="15">
        <v>1</v>
      </c>
      <c r="I91" s="15"/>
      <c r="J91" s="15" t="s">
        <v>66</v>
      </c>
      <c r="K91" s="15"/>
      <c r="L91" s="15" t="s">
        <v>69</v>
      </c>
      <c r="M91" s="15"/>
      <c r="N91" s="15"/>
      <c r="O91" s="15"/>
      <c r="P91" s="15"/>
    </row>
    <row r="92" spans="1:16" x14ac:dyDescent="0.2">
      <c r="A92" s="15" t="s">
        <v>73</v>
      </c>
      <c r="B92" s="15" t="s">
        <v>74</v>
      </c>
      <c r="C92" s="14" t="s">
        <v>82</v>
      </c>
      <c r="D92" s="15" t="s">
        <v>64</v>
      </c>
      <c r="E92" s="15" t="s">
        <v>66</v>
      </c>
      <c r="F92" s="15" t="s">
        <v>67</v>
      </c>
      <c r="G92" s="15"/>
      <c r="H92" s="15">
        <v>4</v>
      </c>
      <c r="I92" s="15"/>
      <c r="J92" s="15" t="s">
        <v>66</v>
      </c>
      <c r="K92" s="15" t="s">
        <v>81</v>
      </c>
      <c r="L92" s="15" t="s">
        <v>78</v>
      </c>
      <c r="M92" s="15"/>
      <c r="N92" s="15"/>
      <c r="O92" s="15"/>
      <c r="P92" s="15"/>
    </row>
    <row r="93" spans="1:16" x14ac:dyDescent="0.2">
      <c r="A93" s="15" t="s">
        <v>83</v>
      </c>
      <c r="B93" s="15" t="s">
        <v>84</v>
      </c>
      <c r="C93" s="14" t="s">
        <v>96</v>
      </c>
      <c r="D93" s="15" t="s">
        <v>64</v>
      </c>
      <c r="E93" s="15" t="s">
        <v>66</v>
      </c>
      <c r="F93" s="15" t="s">
        <v>67</v>
      </c>
      <c r="G93" s="15"/>
      <c r="H93" s="15">
        <v>1</v>
      </c>
      <c r="I93" s="15" t="s">
        <v>87</v>
      </c>
      <c r="J93" s="15" t="s">
        <v>66</v>
      </c>
      <c r="K93" s="15"/>
      <c r="L93" s="15" t="s">
        <v>88</v>
      </c>
      <c r="M93" s="15"/>
      <c r="N93" s="15"/>
      <c r="O93" s="15"/>
      <c r="P93" s="15"/>
    </row>
    <row r="94" spans="1:16" x14ac:dyDescent="0.2">
      <c r="A94" s="15" t="s">
        <v>91</v>
      </c>
      <c r="B94" s="15" t="s">
        <v>92</v>
      </c>
      <c r="C94" s="14" t="s">
        <v>102</v>
      </c>
      <c r="D94" s="15" t="s">
        <v>64</v>
      </c>
      <c r="E94" s="15" t="s">
        <v>66</v>
      </c>
      <c r="F94" s="15" t="s">
        <v>67</v>
      </c>
      <c r="G94" s="15"/>
      <c r="H94" s="15">
        <v>4</v>
      </c>
      <c r="I94" s="15"/>
      <c r="J94" s="15" t="s">
        <v>66</v>
      </c>
      <c r="K94" s="15"/>
      <c r="L94" s="15" t="s">
        <v>95</v>
      </c>
      <c r="M94" s="15"/>
      <c r="N94" s="15"/>
      <c r="O94" s="15"/>
      <c r="P94" s="15"/>
    </row>
    <row r="95" spans="1:16" x14ac:dyDescent="0.2">
      <c r="A95" s="15" t="s">
        <v>97</v>
      </c>
      <c r="B95" s="15" t="s">
        <v>98</v>
      </c>
      <c r="C95" s="14" t="s">
        <v>90</v>
      </c>
      <c r="D95" s="15" t="s">
        <v>64</v>
      </c>
      <c r="E95" s="15" t="s">
        <v>66</v>
      </c>
      <c r="F95" s="15" t="s">
        <v>67</v>
      </c>
      <c r="G95" s="15"/>
      <c r="H95" s="15">
        <v>4</v>
      </c>
      <c r="I95" s="15"/>
      <c r="J95" s="15" t="s">
        <v>66</v>
      </c>
      <c r="K95" s="15"/>
      <c r="L95" s="15" t="s">
        <v>1524</v>
      </c>
      <c r="M95" s="15"/>
      <c r="N95" s="15"/>
      <c r="O95" s="15"/>
      <c r="P95" s="15"/>
    </row>
    <row r="96" spans="1:16" x14ac:dyDescent="0.2">
      <c r="A96" s="15" t="s">
        <v>103</v>
      </c>
      <c r="B96" s="15" t="s">
        <v>104</v>
      </c>
      <c r="C96" s="14" t="s">
        <v>112</v>
      </c>
      <c r="D96" s="15" t="s">
        <v>64</v>
      </c>
      <c r="E96" s="15" t="s">
        <v>66</v>
      </c>
      <c r="F96" s="15" t="s">
        <v>107</v>
      </c>
      <c r="G96" s="15"/>
      <c r="H96" s="15">
        <v>1</v>
      </c>
      <c r="I96" s="15"/>
      <c r="J96" s="15" t="s">
        <v>109</v>
      </c>
      <c r="K96" s="15"/>
      <c r="L96" s="15" t="s">
        <v>110</v>
      </c>
      <c r="M96" s="15"/>
      <c r="N96" s="15"/>
      <c r="O96" s="15"/>
      <c r="P96" s="15"/>
    </row>
    <row r="97" spans="1:16" x14ac:dyDescent="0.2">
      <c r="A97" s="15" t="s">
        <v>113</v>
      </c>
      <c r="B97" s="15" t="s">
        <v>114</v>
      </c>
      <c r="C97" s="14" t="s">
        <v>119</v>
      </c>
      <c r="D97" s="15" t="s">
        <v>64</v>
      </c>
      <c r="E97" s="15" t="s">
        <v>66</v>
      </c>
      <c r="F97" s="15" t="s">
        <v>127</v>
      </c>
      <c r="G97" s="15"/>
      <c r="H97" s="15">
        <v>1</v>
      </c>
      <c r="I97" s="15"/>
      <c r="J97" s="15" t="s">
        <v>66</v>
      </c>
      <c r="K97" s="15"/>
      <c r="L97" s="15" t="s">
        <v>1525</v>
      </c>
      <c r="M97" s="15"/>
      <c r="N97" s="15"/>
      <c r="O97" s="15"/>
      <c r="P97" s="15"/>
    </row>
    <row r="98" spans="1:16" x14ac:dyDescent="0.2">
      <c r="A98" s="15" t="s">
        <v>122</v>
      </c>
      <c r="B98" s="15" t="s">
        <v>123</v>
      </c>
      <c r="C98" s="15" t="s">
        <v>1095</v>
      </c>
      <c r="D98" s="15" t="s">
        <v>126</v>
      </c>
      <c r="E98" s="15" t="s">
        <v>66</v>
      </c>
      <c r="F98" s="15" t="s">
        <v>127</v>
      </c>
      <c r="G98" s="15"/>
      <c r="H98" s="15">
        <v>4</v>
      </c>
      <c r="I98" s="15"/>
      <c r="J98" s="15" t="s">
        <v>66</v>
      </c>
      <c r="K98" s="15"/>
      <c r="L98" s="15" t="s">
        <v>128</v>
      </c>
      <c r="M98" s="15"/>
      <c r="N98" s="15"/>
      <c r="O98" s="15"/>
      <c r="P98" s="15"/>
    </row>
    <row r="99" spans="1:16" x14ac:dyDescent="0.2">
      <c r="A99" s="15" t="s">
        <v>133</v>
      </c>
      <c r="B99" s="15" t="s">
        <v>123</v>
      </c>
      <c r="C99" s="15" t="s">
        <v>1100</v>
      </c>
      <c r="D99" s="15" t="s">
        <v>134</v>
      </c>
      <c r="E99" s="15"/>
      <c r="F99" s="15" t="s">
        <v>127</v>
      </c>
      <c r="G99" s="15"/>
      <c r="H99" s="15">
        <v>4</v>
      </c>
      <c r="I99" s="15"/>
      <c r="J99" s="15" t="s">
        <v>66</v>
      </c>
      <c r="K99" s="15"/>
      <c r="L99" s="15" t="s">
        <v>135</v>
      </c>
      <c r="M99" s="15"/>
      <c r="N99" s="15"/>
      <c r="O99" s="15"/>
      <c r="P99" s="15"/>
    </row>
    <row r="100" spans="1:16" x14ac:dyDescent="0.2">
      <c r="A100" s="15" t="s">
        <v>136</v>
      </c>
      <c r="B100" s="15" t="s">
        <v>123</v>
      </c>
      <c r="C100" s="15" t="s">
        <v>1104</v>
      </c>
      <c r="D100" s="15" t="s">
        <v>137</v>
      </c>
      <c r="E100" s="15"/>
      <c r="F100" s="15" t="s">
        <v>127</v>
      </c>
      <c r="G100" s="15"/>
      <c r="H100" s="15">
        <v>4</v>
      </c>
      <c r="I100" s="15"/>
      <c r="J100" s="15" t="s">
        <v>66</v>
      </c>
      <c r="K100" s="15" t="s">
        <v>139</v>
      </c>
      <c r="L100" s="15" t="s">
        <v>138</v>
      </c>
      <c r="M100" s="15"/>
      <c r="N100" s="15"/>
      <c r="O100" s="15"/>
      <c r="P100" s="15"/>
    </row>
    <row r="101" spans="1:16" x14ac:dyDescent="0.2">
      <c r="A101" s="15" t="s">
        <v>140</v>
      </c>
      <c r="B101" s="15" t="s">
        <v>141</v>
      </c>
      <c r="C101" s="14" t="s">
        <v>1108</v>
      </c>
      <c r="D101" s="15" t="s">
        <v>64</v>
      </c>
      <c r="E101" s="15" t="s">
        <v>66</v>
      </c>
      <c r="F101" s="15" t="s">
        <v>127</v>
      </c>
      <c r="G101" s="15"/>
      <c r="H101" s="15">
        <v>4</v>
      </c>
      <c r="I101" s="15"/>
      <c r="J101" s="15" t="s">
        <v>66</v>
      </c>
      <c r="K101" s="15"/>
      <c r="L101" s="15" t="s">
        <v>143</v>
      </c>
      <c r="M101" s="15"/>
      <c r="N101" s="15"/>
      <c r="O101" s="15"/>
      <c r="P101" s="15"/>
    </row>
    <row r="102" spans="1:16" x14ac:dyDescent="0.2">
      <c r="A102" s="15" t="s">
        <v>145</v>
      </c>
      <c r="B102" s="15" t="s">
        <v>146</v>
      </c>
      <c r="C102" s="14" t="s">
        <v>144</v>
      </c>
      <c r="D102" s="15" t="s">
        <v>64</v>
      </c>
      <c r="E102" s="15" t="s">
        <v>66</v>
      </c>
      <c r="F102" s="15" t="s">
        <v>127</v>
      </c>
      <c r="G102" s="15"/>
      <c r="H102" s="15">
        <v>4</v>
      </c>
      <c r="I102" s="15"/>
      <c r="J102" s="15" t="s">
        <v>66</v>
      </c>
      <c r="K102" s="15" t="s">
        <v>150</v>
      </c>
      <c r="L102" s="15" t="s">
        <v>149</v>
      </c>
      <c r="M102" s="15"/>
      <c r="N102" s="15"/>
      <c r="O102" s="15"/>
      <c r="P102" s="15"/>
    </row>
    <row r="103" spans="1:16" x14ac:dyDescent="0.2">
      <c r="A103" s="15" t="s">
        <v>152</v>
      </c>
      <c r="B103" s="15" t="s">
        <v>153</v>
      </c>
      <c r="C103" s="14" t="s">
        <v>158</v>
      </c>
      <c r="D103" s="15" t="s">
        <v>64</v>
      </c>
      <c r="E103" s="15" t="s">
        <v>66</v>
      </c>
      <c r="F103" s="15" t="s">
        <v>67</v>
      </c>
      <c r="G103" s="15"/>
      <c r="H103" s="15">
        <v>4</v>
      </c>
      <c r="I103" s="15"/>
      <c r="J103" s="15" t="s">
        <v>66</v>
      </c>
      <c r="K103" s="15"/>
      <c r="L103" s="15" t="s">
        <v>157</v>
      </c>
      <c r="M103" s="15"/>
      <c r="N103" s="15"/>
      <c r="O103" s="15"/>
      <c r="P103" s="15"/>
    </row>
    <row r="104" spans="1:16" x14ac:dyDescent="0.2">
      <c r="A104" s="15" t="s">
        <v>159</v>
      </c>
      <c r="B104" s="15" t="s">
        <v>160</v>
      </c>
      <c r="C104" s="14" t="s">
        <v>166</v>
      </c>
      <c r="D104" s="15" t="s">
        <v>64</v>
      </c>
      <c r="E104" s="15" t="s">
        <v>66</v>
      </c>
      <c r="F104" s="15" t="s">
        <v>162</v>
      </c>
      <c r="G104" s="15"/>
      <c r="H104" s="15">
        <v>4</v>
      </c>
      <c r="I104" s="15"/>
      <c r="J104" s="15" t="s">
        <v>66</v>
      </c>
      <c r="K104" s="15"/>
      <c r="L104" s="15" t="s">
        <v>164</v>
      </c>
      <c r="M104" s="15"/>
      <c r="N104" s="15"/>
      <c r="O104" s="15"/>
      <c r="P104" s="15"/>
    </row>
    <row r="105" spans="1:16" x14ac:dyDescent="0.2">
      <c r="A105" s="15" t="s">
        <v>167</v>
      </c>
      <c r="B105" s="15" t="s">
        <v>168</v>
      </c>
      <c r="C105" s="14" t="s">
        <v>187</v>
      </c>
      <c r="D105" s="15" t="s">
        <v>64</v>
      </c>
      <c r="E105" s="15" t="s">
        <v>66</v>
      </c>
      <c r="F105" s="15" t="s">
        <v>67</v>
      </c>
      <c r="G105" s="15"/>
      <c r="H105" s="15">
        <v>2</v>
      </c>
      <c r="I105" s="15"/>
      <c r="J105" s="15" t="s">
        <v>66</v>
      </c>
      <c r="K105" s="15"/>
      <c r="L105" s="15" t="s">
        <v>170</v>
      </c>
      <c r="M105" s="15"/>
      <c r="N105" s="15"/>
      <c r="O105" s="15"/>
      <c r="P105" s="15"/>
    </row>
    <row r="106" spans="1:16" x14ac:dyDescent="0.2">
      <c r="A106" s="15" t="s">
        <v>173</v>
      </c>
      <c r="B106" s="15" t="s">
        <v>174</v>
      </c>
      <c r="C106" s="14" t="s">
        <v>172</v>
      </c>
      <c r="D106" s="15" t="s">
        <v>64</v>
      </c>
      <c r="E106" s="15" t="s">
        <v>66</v>
      </c>
      <c r="F106" s="15" t="s">
        <v>177</v>
      </c>
      <c r="G106" s="15"/>
      <c r="H106" s="15">
        <v>4</v>
      </c>
      <c r="I106" s="15"/>
      <c r="J106" s="15" t="s">
        <v>66</v>
      </c>
      <c r="K106" s="15"/>
      <c r="L106" s="15" t="s">
        <v>178</v>
      </c>
      <c r="M106" s="15"/>
      <c r="N106" s="15"/>
      <c r="O106" s="15"/>
      <c r="P106" s="15"/>
    </row>
    <row r="107" spans="1:16" x14ac:dyDescent="0.2">
      <c r="A107" s="15" t="s">
        <v>182</v>
      </c>
      <c r="B107" s="15" t="s">
        <v>183</v>
      </c>
      <c r="C107" s="14" t="s">
        <v>192</v>
      </c>
      <c r="D107" s="15" t="s">
        <v>64</v>
      </c>
      <c r="E107" s="15" t="s">
        <v>66</v>
      </c>
      <c r="F107" s="15" t="s">
        <v>127</v>
      </c>
      <c r="G107" s="15"/>
      <c r="H107" s="15">
        <v>1</v>
      </c>
      <c r="I107" s="15"/>
      <c r="J107" s="15" t="s">
        <v>66</v>
      </c>
      <c r="K107" s="15"/>
      <c r="L107" s="15" t="s">
        <v>186</v>
      </c>
      <c r="M107" s="15"/>
      <c r="N107" s="15"/>
      <c r="O107" s="15"/>
      <c r="P107" s="15"/>
    </row>
    <row r="108" spans="1:16" x14ac:dyDescent="0.2">
      <c r="A108" s="15" t="s">
        <v>188</v>
      </c>
      <c r="B108" s="15" t="s">
        <v>189</v>
      </c>
      <c r="C108" s="14" t="s">
        <v>197</v>
      </c>
      <c r="D108" s="15" t="s">
        <v>64</v>
      </c>
      <c r="E108" s="15" t="s">
        <v>66</v>
      </c>
      <c r="F108" s="15" t="s">
        <v>67</v>
      </c>
      <c r="G108" s="15"/>
      <c r="H108" s="15">
        <v>1</v>
      </c>
      <c r="I108" s="15"/>
      <c r="J108" s="15" t="s">
        <v>66</v>
      </c>
      <c r="K108" s="15"/>
      <c r="L108" s="15" t="s">
        <v>191</v>
      </c>
      <c r="M108" s="15"/>
      <c r="N108" s="15"/>
      <c r="O108" s="15"/>
      <c r="P108" s="15"/>
    </row>
    <row r="109" spans="1:16" x14ac:dyDescent="0.2">
      <c r="A109" s="15" t="s">
        <v>193</v>
      </c>
      <c r="B109" s="15" t="s">
        <v>194</v>
      </c>
      <c r="C109" s="14" t="s">
        <v>203</v>
      </c>
      <c r="D109" s="15" t="s">
        <v>64</v>
      </c>
      <c r="E109" s="15" t="s">
        <v>66</v>
      </c>
      <c r="F109" s="15" t="s">
        <v>67</v>
      </c>
      <c r="G109" s="15"/>
      <c r="H109" s="15">
        <v>1</v>
      </c>
      <c r="I109" s="15"/>
      <c r="J109" s="15" t="s">
        <v>66</v>
      </c>
      <c r="K109" s="15"/>
      <c r="L109" s="15" t="s">
        <v>196</v>
      </c>
      <c r="M109" s="15"/>
      <c r="N109" s="15"/>
      <c r="O109" s="15"/>
      <c r="P109" s="15"/>
    </row>
    <row r="110" spans="1:16" x14ac:dyDescent="0.2">
      <c r="A110" s="15" t="s">
        <v>198</v>
      </c>
      <c r="B110" s="15" t="s">
        <v>199</v>
      </c>
      <c r="C110" s="14" t="s">
        <v>208</v>
      </c>
      <c r="D110" s="15" t="s">
        <v>64</v>
      </c>
      <c r="E110" s="15" t="s">
        <v>66</v>
      </c>
      <c r="F110" s="15" t="s">
        <v>67</v>
      </c>
      <c r="G110" s="15"/>
      <c r="H110" s="15">
        <v>4</v>
      </c>
      <c r="I110" s="14" t="s">
        <v>21</v>
      </c>
      <c r="J110" s="15" t="s">
        <v>66</v>
      </c>
      <c r="K110" s="15"/>
      <c r="L110" s="15" t="s">
        <v>202</v>
      </c>
      <c r="M110" s="15"/>
      <c r="N110" s="15"/>
      <c r="O110" s="15"/>
      <c r="P110" s="15"/>
    </row>
    <row r="111" spans="1:16" x14ac:dyDescent="0.2">
      <c r="A111" s="15" t="s">
        <v>204</v>
      </c>
      <c r="B111" s="15" t="s">
        <v>205</v>
      </c>
      <c r="C111" s="14" t="s">
        <v>1142</v>
      </c>
      <c r="D111" s="15" t="s">
        <v>64</v>
      </c>
      <c r="E111" s="15" t="s">
        <v>66</v>
      </c>
      <c r="F111" s="15" t="s">
        <v>67</v>
      </c>
      <c r="G111" s="15"/>
      <c r="H111" s="15">
        <v>1</v>
      </c>
      <c r="I111" s="14" t="s">
        <v>21</v>
      </c>
      <c r="J111" s="15" t="s">
        <v>66</v>
      </c>
      <c r="K111" s="15"/>
      <c r="L111" s="15" t="s">
        <v>207</v>
      </c>
      <c r="M111" s="15"/>
      <c r="N111" s="15"/>
      <c r="O111" s="15"/>
      <c r="P111" s="15"/>
    </row>
    <row r="112" spans="1:16" x14ac:dyDescent="0.2">
      <c r="A112" s="15" t="s">
        <v>209</v>
      </c>
      <c r="B112" s="15" t="s">
        <v>210</v>
      </c>
      <c r="C112" s="14" t="s">
        <v>1146</v>
      </c>
      <c r="D112" s="15" t="s">
        <v>64</v>
      </c>
      <c r="E112" s="15" t="s">
        <v>66</v>
      </c>
      <c r="F112" s="15" t="s">
        <v>67</v>
      </c>
      <c r="G112" s="15"/>
      <c r="H112" s="15">
        <v>1</v>
      </c>
      <c r="I112" s="15" t="s">
        <v>212</v>
      </c>
      <c r="J112" s="15" t="s">
        <v>66</v>
      </c>
      <c r="K112" s="15"/>
      <c r="L112" s="15" t="s">
        <v>213</v>
      </c>
      <c r="M112" s="15"/>
      <c r="N112" s="15"/>
      <c r="O112" s="15"/>
      <c r="P112" s="15"/>
    </row>
    <row r="113" spans="1:16" x14ac:dyDescent="0.2">
      <c r="A113" s="15" t="s">
        <v>216</v>
      </c>
      <c r="B113" s="15" t="s">
        <v>217</v>
      </c>
      <c r="C113" s="14" t="s">
        <v>221</v>
      </c>
      <c r="D113" s="15" t="s">
        <v>64</v>
      </c>
      <c r="E113" s="15" t="s">
        <v>66</v>
      </c>
      <c r="F113" s="15" t="s">
        <v>67</v>
      </c>
      <c r="G113" s="15"/>
      <c r="H113" s="15">
        <v>1</v>
      </c>
      <c r="I113" s="15" t="s">
        <v>87</v>
      </c>
      <c r="J113" s="15" t="s">
        <v>66</v>
      </c>
      <c r="K113" s="15"/>
      <c r="L113" s="15" t="s">
        <v>220</v>
      </c>
      <c r="M113" s="15"/>
      <c r="N113" s="15"/>
      <c r="O113" s="15"/>
      <c r="P113" s="15"/>
    </row>
    <row r="114" spans="1:16" x14ac:dyDescent="0.2">
      <c r="A114" s="15" t="s">
        <v>223</v>
      </c>
      <c r="B114" s="15" t="s">
        <v>224</v>
      </c>
      <c r="C114" s="15" t="s">
        <v>1153</v>
      </c>
      <c r="D114" s="15" t="s">
        <v>226</v>
      </c>
      <c r="E114" s="15" t="s">
        <v>66</v>
      </c>
      <c r="F114" s="15" t="s">
        <v>67</v>
      </c>
      <c r="G114" s="15"/>
      <c r="H114" s="15">
        <v>1</v>
      </c>
      <c r="I114" s="15" t="s">
        <v>87</v>
      </c>
      <c r="J114" s="15" t="s">
        <v>66</v>
      </c>
      <c r="K114" s="15"/>
      <c r="L114" s="15" t="s">
        <v>227</v>
      </c>
      <c r="M114" s="15"/>
      <c r="N114" s="15"/>
      <c r="O114" s="15"/>
      <c r="P114" s="15"/>
    </row>
    <row r="115" spans="1:16" x14ac:dyDescent="0.2">
      <c r="A115" s="15" t="s">
        <v>230</v>
      </c>
      <c r="B115" s="15" t="s">
        <v>224</v>
      </c>
      <c r="C115" s="15" t="s">
        <v>1157</v>
      </c>
      <c r="D115" s="15" t="s">
        <v>231</v>
      </c>
      <c r="E115" s="15"/>
      <c r="F115" s="15" t="s">
        <v>67</v>
      </c>
      <c r="G115" s="15"/>
      <c r="H115" s="15">
        <v>1</v>
      </c>
      <c r="I115" s="15"/>
      <c r="J115" s="15" t="s">
        <v>66</v>
      </c>
      <c r="K115" s="15"/>
      <c r="L115" s="15" t="s">
        <v>232</v>
      </c>
      <c r="M115" s="15"/>
      <c r="N115" s="15"/>
      <c r="O115" s="15"/>
      <c r="P115" s="15"/>
    </row>
    <row r="116" spans="1:16" x14ac:dyDescent="0.2">
      <c r="A116" s="15" t="s">
        <v>233</v>
      </c>
      <c r="B116" s="15" t="s">
        <v>234</v>
      </c>
      <c r="C116" s="14" t="s">
        <v>237</v>
      </c>
      <c r="D116" s="15" t="s">
        <v>64</v>
      </c>
      <c r="E116" s="15" t="s">
        <v>66</v>
      </c>
      <c r="F116" s="15" t="s">
        <v>67</v>
      </c>
      <c r="G116" s="15"/>
      <c r="H116" s="15">
        <v>1</v>
      </c>
      <c r="I116" s="15" t="s">
        <v>87</v>
      </c>
      <c r="J116" s="15" t="s">
        <v>66</v>
      </c>
      <c r="K116" s="15"/>
      <c r="L116" s="15" t="s">
        <v>236</v>
      </c>
      <c r="M116" s="15"/>
      <c r="N116" s="15"/>
      <c r="O116" s="15"/>
      <c r="P116" s="15"/>
    </row>
    <row r="117" spans="1:16" x14ac:dyDescent="0.2">
      <c r="A117" s="15" t="s">
        <v>238</v>
      </c>
      <c r="B117" s="15" t="s">
        <v>239</v>
      </c>
      <c r="C117" s="15" t="s">
        <v>1164</v>
      </c>
      <c r="D117" s="15" t="s">
        <v>64</v>
      </c>
      <c r="E117" s="15" t="s">
        <v>66</v>
      </c>
      <c r="F117" s="15" t="s">
        <v>107</v>
      </c>
      <c r="G117" s="15"/>
      <c r="H117" s="15">
        <v>2</v>
      </c>
      <c r="I117" s="15"/>
      <c r="J117" s="15" t="s">
        <v>66</v>
      </c>
      <c r="K117" s="15"/>
      <c r="L117" s="15" t="s">
        <v>1526</v>
      </c>
      <c r="M117" s="15"/>
      <c r="N117" s="15"/>
      <c r="O117" s="15"/>
      <c r="P117" s="15"/>
    </row>
    <row r="118" spans="1:16" x14ac:dyDescent="0.2">
      <c r="A118" s="15" t="s">
        <v>251</v>
      </c>
      <c r="B118" s="15" t="s">
        <v>239</v>
      </c>
      <c r="C118" s="15" t="s">
        <v>1169</v>
      </c>
      <c r="D118" s="15" t="s">
        <v>252</v>
      </c>
      <c r="E118" s="15" t="s">
        <v>66</v>
      </c>
      <c r="F118" s="15" t="s">
        <v>107</v>
      </c>
      <c r="G118" s="15" t="s">
        <v>253</v>
      </c>
      <c r="H118" s="15">
        <v>2</v>
      </c>
      <c r="I118" s="15"/>
      <c r="J118" s="15" t="s">
        <v>66</v>
      </c>
      <c r="K118" s="15"/>
      <c r="L118" s="15" t="s">
        <v>254</v>
      </c>
      <c r="M118" s="15"/>
      <c r="N118" s="15"/>
      <c r="O118" s="15"/>
      <c r="P118" s="15"/>
    </row>
    <row r="119" spans="1:16" x14ac:dyDescent="0.2">
      <c r="A119" s="15" t="s">
        <v>255</v>
      </c>
      <c r="B119" s="15" t="s">
        <v>239</v>
      </c>
      <c r="C119" s="15" t="s">
        <v>1170</v>
      </c>
      <c r="D119" s="15" t="s">
        <v>1172</v>
      </c>
      <c r="E119" s="15"/>
      <c r="F119" s="15" t="s">
        <v>107</v>
      </c>
      <c r="G119" s="15" t="s">
        <v>108</v>
      </c>
      <c r="H119" s="15">
        <v>2</v>
      </c>
      <c r="I119" s="15"/>
      <c r="J119" s="15" t="s">
        <v>109</v>
      </c>
      <c r="K119" s="15"/>
      <c r="L119" s="15" t="s">
        <v>256</v>
      </c>
      <c r="M119" s="15"/>
      <c r="N119" s="15"/>
      <c r="O119" s="15"/>
      <c r="P119" s="15"/>
    </row>
    <row r="120" spans="1:16" x14ac:dyDescent="0.2">
      <c r="A120" s="15" t="s">
        <v>257</v>
      </c>
      <c r="B120" s="15" t="s">
        <v>258</v>
      </c>
      <c r="C120" s="15" t="s">
        <v>1175</v>
      </c>
      <c r="D120" s="15" t="s">
        <v>64</v>
      </c>
      <c r="E120" s="15" t="s">
        <v>66</v>
      </c>
      <c r="F120" s="15" t="s">
        <v>107</v>
      </c>
      <c r="G120" s="15"/>
      <c r="H120" s="15">
        <v>2</v>
      </c>
      <c r="I120" s="15"/>
      <c r="J120" s="15" t="s">
        <v>66</v>
      </c>
      <c r="K120" s="15"/>
      <c r="L120" s="15" t="s">
        <v>261</v>
      </c>
      <c r="M120" s="15"/>
      <c r="N120" s="15"/>
      <c r="O120" s="15"/>
      <c r="P120" s="15"/>
    </row>
    <row r="121" spans="1:16" x14ac:dyDescent="0.2">
      <c r="A121" s="15" t="s">
        <v>264</v>
      </c>
      <c r="B121" s="15" t="s">
        <v>258</v>
      </c>
      <c r="C121" s="15" t="s">
        <v>1181</v>
      </c>
      <c r="D121" s="15" t="s">
        <v>64</v>
      </c>
      <c r="E121" s="15"/>
      <c r="F121" s="15" t="s">
        <v>107</v>
      </c>
      <c r="G121" s="15"/>
      <c r="H121" s="15">
        <v>2</v>
      </c>
      <c r="I121" s="15"/>
      <c r="J121" s="15" t="s">
        <v>66</v>
      </c>
      <c r="K121" s="15"/>
      <c r="L121" s="15" t="s">
        <v>265</v>
      </c>
      <c r="M121" s="15"/>
      <c r="N121" s="15"/>
      <c r="O121" s="15"/>
      <c r="P121" s="15"/>
    </row>
    <row r="122" spans="1:16" x14ac:dyDescent="0.2">
      <c r="A122" s="15" t="s">
        <v>266</v>
      </c>
      <c r="B122" s="15" t="s">
        <v>267</v>
      </c>
      <c r="C122" s="14" t="s">
        <v>329</v>
      </c>
      <c r="D122" s="15" t="s">
        <v>64</v>
      </c>
      <c r="E122" s="15" t="s">
        <v>66</v>
      </c>
      <c r="F122" s="15" t="s">
        <v>107</v>
      </c>
      <c r="G122" s="15"/>
      <c r="H122" s="15">
        <v>2</v>
      </c>
      <c r="I122" s="15"/>
      <c r="J122" s="15" t="s">
        <v>66</v>
      </c>
      <c r="K122" s="15"/>
      <c r="L122" s="15" t="s">
        <v>269</v>
      </c>
      <c r="M122" s="15"/>
      <c r="N122" s="15"/>
      <c r="O122" s="15"/>
      <c r="P122" s="15"/>
    </row>
    <row r="123" spans="1:16" x14ac:dyDescent="0.2">
      <c r="A123" s="15" t="s">
        <v>271</v>
      </c>
      <c r="B123" s="15" t="s">
        <v>272</v>
      </c>
      <c r="C123" s="15" t="s">
        <v>1188</v>
      </c>
      <c r="D123" s="15" t="s">
        <v>274</v>
      </c>
      <c r="E123" s="15" t="s">
        <v>66</v>
      </c>
      <c r="F123" s="15" t="s">
        <v>107</v>
      </c>
      <c r="G123" s="15"/>
      <c r="H123" s="15">
        <v>2</v>
      </c>
      <c r="I123" s="15"/>
      <c r="J123" s="15" t="s">
        <v>66</v>
      </c>
      <c r="K123" s="15"/>
      <c r="L123" s="15" t="s">
        <v>276</v>
      </c>
      <c r="M123" s="15"/>
      <c r="N123" s="15"/>
      <c r="O123" s="15"/>
      <c r="P123" s="15"/>
    </row>
    <row r="124" spans="1:16" x14ac:dyDescent="0.2">
      <c r="A124" s="15" t="s">
        <v>279</v>
      </c>
      <c r="B124" s="15" t="s">
        <v>272</v>
      </c>
      <c r="C124" s="15" t="s">
        <v>1194</v>
      </c>
      <c r="D124" s="15" t="s">
        <v>1627</v>
      </c>
      <c r="E124" s="15"/>
      <c r="F124" s="15" t="s">
        <v>107</v>
      </c>
      <c r="G124" s="15"/>
      <c r="H124" s="15">
        <v>2</v>
      </c>
      <c r="I124" s="15"/>
      <c r="J124" s="15" t="s">
        <v>66</v>
      </c>
      <c r="K124" s="15"/>
      <c r="L124" s="15" t="s">
        <v>280</v>
      </c>
      <c r="M124" s="15"/>
      <c r="N124" s="15"/>
      <c r="O124" s="15"/>
      <c r="P124" s="15"/>
    </row>
    <row r="125" spans="1:16" x14ac:dyDescent="0.2">
      <c r="A125" s="15" t="s">
        <v>281</v>
      </c>
      <c r="B125" s="15" t="s">
        <v>282</v>
      </c>
      <c r="C125" s="14" t="s">
        <v>292</v>
      </c>
      <c r="D125" s="15" t="s">
        <v>64</v>
      </c>
      <c r="E125" s="15" t="s">
        <v>66</v>
      </c>
      <c r="F125" s="15" t="s">
        <v>67</v>
      </c>
      <c r="G125" s="15"/>
      <c r="H125" s="15">
        <v>1</v>
      </c>
      <c r="I125" s="15"/>
      <c r="J125" s="15" t="s">
        <v>66</v>
      </c>
      <c r="K125" s="15"/>
      <c r="L125" s="15" t="s">
        <v>285</v>
      </c>
      <c r="M125" s="15"/>
      <c r="N125" s="15"/>
      <c r="O125" s="15"/>
      <c r="P125" s="15"/>
    </row>
    <row r="126" spans="1:16" x14ac:dyDescent="0.2">
      <c r="A126" s="15" t="s">
        <v>287</v>
      </c>
      <c r="B126" s="15" t="s">
        <v>288</v>
      </c>
      <c r="C126" s="14" t="s">
        <v>1199</v>
      </c>
      <c r="D126" s="15" t="s">
        <v>64</v>
      </c>
      <c r="E126" s="15" t="s">
        <v>66</v>
      </c>
      <c r="F126" s="15" t="s">
        <v>67</v>
      </c>
      <c r="G126" s="15"/>
      <c r="H126" s="15">
        <v>1</v>
      </c>
      <c r="I126" s="15"/>
      <c r="J126" s="15" t="s">
        <v>66</v>
      </c>
      <c r="K126" s="15"/>
      <c r="L126" s="15" t="s">
        <v>290</v>
      </c>
      <c r="M126" s="15"/>
      <c r="N126" s="15"/>
      <c r="O126" s="15"/>
      <c r="P126" s="15"/>
    </row>
    <row r="127" spans="1:16" x14ac:dyDescent="0.2">
      <c r="A127" s="15" t="s">
        <v>293</v>
      </c>
      <c r="B127" s="15" t="s">
        <v>294</v>
      </c>
      <c r="C127" s="14" t="s">
        <v>1203</v>
      </c>
      <c r="D127" s="15" t="s">
        <v>64</v>
      </c>
      <c r="E127" s="15" t="s">
        <v>66</v>
      </c>
      <c r="F127" s="15" t="s">
        <v>67</v>
      </c>
      <c r="G127" s="15"/>
      <c r="H127" s="15">
        <v>2</v>
      </c>
      <c r="I127" s="15"/>
      <c r="J127" s="15" t="s">
        <v>66</v>
      </c>
      <c r="K127" s="15"/>
      <c r="L127" s="15" t="s">
        <v>296</v>
      </c>
      <c r="M127" s="15"/>
      <c r="N127" s="15"/>
      <c r="O127" s="15"/>
      <c r="P127" s="15"/>
    </row>
    <row r="128" spans="1:16" x14ac:dyDescent="0.2">
      <c r="A128" s="15" t="s">
        <v>300</v>
      </c>
      <c r="B128" s="15" t="s">
        <v>301</v>
      </c>
      <c r="C128" s="15" t="s">
        <v>1206</v>
      </c>
      <c r="D128" s="15" t="s">
        <v>64</v>
      </c>
      <c r="E128" s="15" t="s">
        <v>66</v>
      </c>
      <c r="F128" s="15" t="s">
        <v>67</v>
      </c>
      <c r="G128" s="15"/>
      <c r="H128" s="15">
        <v>1</v>
      </c>
      <c r="I128" s="15"/>
      <c r="J128" s="15" t="s">
        <v>109</v>
      </c>
      <c r="K128" s="15"/>
      <c r="L128" s="15" t="s">
        <v>1527</v>
      </c>
      <c r="M128" s="15"/>
      <c r="N128" s="15"/>
      <c r="O128" s="15"/>
      <c r="P128" s="15"/>
    </row>
    <row r="129" spans="1:16" x14ac:dyDescent="0.2">
      <c r="A129" s="15" t="s">
        <v>304</v>
      </c>
      <c r="B129" s="15" t="s">
        <v>301</v>
      </c>
      <c r="C129" s="15" t="s">
        <v>1210</v>
      </c>
      <c r="D129" s="15" t="s">
        <v>64</v>
      </c>
      <c r="E129" s="15"/>
      <c r="F129" s="15" t="s">
        <v>67</v>
      </c>
      <c r="G129" s="15"/>
      <c r="H129" s="15">
        <v>1</v>
      </c>
      <c r="I129" s="15"/>
      <c r="J129" s="15" t="s">
        <v>109</v>
      </c>
      <c r="K129" s="15"/>
      <c r="L129" s="15" t="s">
        <v>306</v>
      </c>
      <c r="M129" s="15"/>
      <c r="N129" s="15"/>
      <c r="O129" s="15"/>
      <c r="P129" s="15"/>
    </row>
    <row r="130" spans="1:16" x14ac:dyDescent="0.2">
      <c r="A130" s="15" t="s">
        <v>307</v>
      </c>
      <c r="B130" s="15" t="s">
        <v>301</v>
      </c>
      <c r="C130" s="15" t="s">
        <v>1212</v>
      </c>
      <c r="D130" s="15" t="s">
        <v>64</v>
      </c>
      <c r="E130" s="15"/>
      <c r="F130" s="15" t="s">
        <v>67</v>
      </c>
      <c r="G130" s="15"/>
      <c r="H130" s="15">
        <v>1</v>
      </c>
      <c r="I130" s="15"/>
      <c r="J130" s="15" t="s">
        <v>109</v>
      </c>
      <c r="K130" s="15"/>
      <c r="L130" s="15" t="s">
        <v>309</v>
      </c>
      <c r="M130" s="15"/>
      <c r="N130" s="15"/>
      <c r="O130" s="15"/>
      <c r="P130" s="15"/>
    </row>
    <row r="131" spans="1:16" x14ac:dyDescent="0.2">
      <c r="A131" s="15" t="s">
        <v>310</v>
      </c>
      <c r="B131" s="15" t="s">
        <v>301</v>
      </c>
      <c r="C131" s="15" t="s">
        <v>1214</v>
      </c>
      <c r="D131" s="15" t="s">
        <v>64</v>
      </c>
      <c r="E131" s="15"/>
      <c r="F131" s="15" t="s">
        <v>67</v>
      </c>
      <c r="G131" s="15"/>
      <c r="H131" s="15">
        <v>1</v>
      </c>
      <c r="I131" s="15"/>
      <c r="J131" s="15" t="s">
        <v>109</v>
      </c>
      <c r="K131" s="15"/>
      <c r="L131" s="15" t="s">
        <v>311</v>
      </c>
      <c r="M131" s="15"/>
      <c r="N131" s="15"/>
      <c r="O131" s="15"/>
      <c r="P131" s="15"/>
    </row>
    <row r="132" spans="1:16" x14ac:dyDescent="0.2">
      <c r="A132" s="15" t="s">
        <v>312</v>
      </c>
      <c r="B132" s="15" t="s">
        <v>313</v>
      </c>
      <c r="C132" s="14" t="s">
        <v>1216</v>
      </c>
      <c r="D132" s="15" t="s">
        <v>64</v>
      </c>
      <c r="E132" s="15" t="s">
        <v>66</v>
      </c>
      <c r="F132" s="15" t="s">
        <v>177</v>
      </c>
      <c r="G132" s="15"/>
      <c r="H132" s="15">
        <v>3</v>
      </c>
      <c r="I132" s="15"/>
      <c r="J132" s="15" t="s">
        <v>109</v>
      </c>
      <c r="K132" s="15" t="s">
        <v>319</v>
      </c>
      <c r="L132" s="15" t="s">
        <v>317</v>
      </c>
      <c r="M132" s="15"/>
      <c r="N132" s="15"/>
      <c r="O132" s="15"/>
      <c r="P132" s="15"/>
    </row>
    <row r="133" spans="1:16" x14ac:dyDescent="0.2">
      <c r="A133" s="15" t="s">
        <v>322</v>
      </c>
      <c r="B133" s="15" t="s">
        <v>323</v>
      </c>
      <c r="C133" s="14" t="s">
        <v>1220</v>
      </c>
      <c r="D133" s="15" t="s">
        <v>64</v>
      </c>
      <c r="E133" s="15" t="s">
        <v>66</v>
      </c>
      <c r="F133" s="15" t="s">
        <v>177</v>
      </c>
      <c r="G133" s="15"/>
      <c r="H133" s="15">
        <v>1</v>
      </c>
      <c r="I133" s="15"/>
      <c r="J133" s="15" t="s">
        <v>66</v>
      </c>
      <c r="K133" s="15" t="s">
        <v>328</v>
      </c>
      <c r="L133" s="15" t="s">
        <v>1528</v>
      </c>
      <c r="M133" s="15"/>
      <c r="N133" s="15"/>
      <c r="O133" s="15"/>
      <c r="P133" s="15"/>
    </row>
    <row r="134" spans="1:16" x14ac:dyDescent="0.2">
      <c r="A134" s="15" t="s">
        <v>331</v>
      </c>
      <c r="B134" s="15" t="s">
        <v>332</v>
      </c>
      <c r="C134" s="14" t="s">
        <v>1223</v>
      </c>
      <c r="D134" s="15" t="s">
        <v>64</v>
      </c>
      <c r="E134" s="15" t="s">
        <v>66</v>
      </c>
      <c r="F134" s="15" t="s">
        <v>177</v>
      </c>
      <c r="G134" s="15"/>
      <c r="H134" s="15">
        <v>1</v>
      </c>
      <c r="I134" s="15"/>
      <c r="J134" s="15" t="s">
        <v>66</v>
      </c>
      <c r="K134" s="15" t="s">
        <v>336</v>
      </c>
      <c r="L134" s="15" t="s">
        <v>1529</v>
      </c>
      <c r="M134" s="15"/>
      <c r="N134" s="15"/>
      <c r="O134" s="15"/>
      <c r="P134" s="15"/>
    </row>
    <row r="135" spans="1:16" x14ac:dyDescent="0.2">
      <c r="A135" s="15" t="s">
        <v>338</v>
      </c>
      <c r="B135" s="15" t="s">
        <v>339</v>
      </c>
      <c r="C135" s="14" t="s">
        <v>1226</v>
      </c>
      <c r="D135" s="15" t="s">
        <v>64</v>
      </c>
      <c r="E135" s="15" t="s">
        <v>66</v>
      </c>
      <c r="F135" s="15" t="s">
        <v>177</v>
      </c>
      <c r="G135" s="15"/>
      <c r="H135" s="15">
        <v>1</v>
      </c>
      <c r="I135" s="15"/>
      <c r="J135" s="15" t="s">
        <v>66</v>
      </c>
      <c r="K135" s="15"/>
      <c r="L135" s="15" t="s">
        <v>343</v>
      </c>
      <c r="M135" s="15"/>
      <c r="N135" s="15"/>
      <c r="O135" s="15"/>
      <c r="P135" s="15"/>
    </row>
    <row r="136" spans="1:16" x14ac:dyDescent="0.2">
      <c r="A136" s="15" t="s">
        <v>346</v>
      </c>
      <c r="B136" s="15" t="s">
        <v>347</v>
      </c>
      <c r="C136" s="14" t="s">
        <v>1229</v>
      </c>
      <c r="D136" s="15" t="s">
        <v>64</v>
      </c>
      <c r="E136" s="15" t="s">
        <v>66</v>
      </c>
      <c r="F136" s="15" t="s">
        <v>177</v>
      </c>
      <c r="G136" s="15"/>
      <c r="H136" s="15">
        <v>1</v>
      </c>
      <c r="I136" s="15"/>
      <c r="J136" s="15" t="s">
        <v>66</v>
      </c>
      <c r="K136" s="15"/>
      <c r="L136" s="15" t="s">
        <v>350</v>
      </c>
      <c r="M136" s="15"/>
      <c r="N136" s="15"/>
      <c r="O136" s="15"/>
      <c r="P136" s="15"/>
    </row>
    <row r="137" spans="1:16" x14ac:dyDescent="0.2">
      <c r="A137" s="15" t="s">
        <v>353</v>
      </c>
      <c r="B137" s="15" t="s">
        <v>354</v>
      </c>
      <c r="C137" s="14" t="s">
        <v>1233</v>
      </c>
      <c r="D137" s="15" t="s">
        <v>64</v>
      </c>
      <c r="E137" s="15" t="s">
        <v>66</v>
      </c>
      <c r="F137" s="15" t="s">
        <v>177</v>
      </c>
      <c r="G137" s="15"/>
      <c r="H137" s="15">
        <v>1</v>
      </c>
      <c r="I137" s="15"/>
      <c r="J137" s="15" t="s">
        <v>66</v>
      </c>
      <c r="K137" s="15"/>
      <c r="L137" s="15" t="s">
        <v>357</v>
      </c>
      <c r="M137" s="15"/>
      <c r="N137" s="15"/>
      <c r="O137" s="15"/>
      <c r="P137" s="15"/>
    </row>
    <row r="138" spans="1:16" x14ac:dyDescent="0.2">
      <c r="A138" s="15" t="s">
        <v>360</v>
      </c>
      <c r="B138" s="15" t="s">
        <v>361</v>
      </c>
      <c r="C138" s="14" t="s">
        <v>1236</v>
      </c>
      <c r="D138" s="15" t="s">
        <v>64</v>
      </c>
      <c r="E138" s="15" t="s">
        <v>66</v>
      </c>
      <c r="F138" s="15" t="s">
        <v>177</v>
      </c>
      <c r="G138" s="15"/>
      <c r="H138" s="15">
        <v>4</v>
      </c>
      <c r="I138" s="15"/>
      <c r="J138" s="15" t="s">
        <v>66</v>
      </c>
      <c r="K138" s="15"/>
      <c r="L138" s="15" t="s">
        <v>364</v>
      </c>
      <c r="M138" s="15"/>
      <c r="N138" s="15"/>
      <c r="O138" s="15"/>
      <c r="P138" s="15"/>
    </row>
    <row r="139" spans="1:16" x14ac:dyDescent="0.2">
      <c r="A139" s="15" t="s">
        <v>367</v>
      </c>
      <c r="B139" s="15" t="s">
        <v>368</v>
      </c>
      <c r="C139" s="15" t="s">
        <v>1240</v>
      </c>
      <c r="D139" s="15" t="s">
        <v>372</v>
      </c>
      <c r="E139" s="15"/>
      <c r="F139" s="15" t="s">
        <v>67</v>
      </c>
      <c r="G139" s="15"/>
      <c r="H139" s="15">
        <v>3</v>
      </c>
      <c r="I139" s="15" t="s">
        <v>212</v>
      </c>
      <c r="J139" s="15" t="s">
        <v>66</v>
      </c>
      <c r="K139" s="15"/>
      <c r="L139" s="15" t="s">
        <v>1530</v>
      </c>
      <c r="M139" s="15"/>
      <c r="N139" s="15"/>
      <c r="O139" s="15"/>
      <c r="P139" s="15"/>
    </row>
    <row r="140" spans="1:16" x14ac:dyDescent="0.2">
      <c r="A140" s="15" t="s">
        <v>376</v>
      </c>
      <c r="B140" s="15" t="s">
        <v>368</v>
      </c>
      <c r="C140" s="15" t="s">
        <v>1027</v>
      </c>
      <c r="D140" s="15" t="s">
        <v>377</v>
      </c>
      <c r="E140" s="15" t="s">
        <v>66</v>
      </c>
      <c r="F140" s="15" t="s">
        <v>67</v>
      </c>
      <c r="G140" s="15"/>
      <c r="H140" s="15">
        <v>3</v>
      </c>
      <c r="I140" s="15"/>
      <c r="J140" s="15" t="s">
        <v>66</v>
      </c>
      <c r="K140" s="15" t="s">
        <v>379</v>
      </c>
      <c r="L140" s="15" t="s">
        <v>378</v>
      </c>
      <c r="M140" s="15"/>
      <c r="N140" s="15"/>
      <c r="O140" s="15"/>
      <c r="P140" s="15"/>
    </row>
    <row r="141" spans="1:16" x14ac:dyDescent="0.2">
      <c r="A141" s="15" t="s">
        <v>380</v>
      </c>
      <c r="B141" s="15" t="s">
        <v>368</v>
      </c>
      <c r="C141" s="15" t="s">
        <v>1248</v>
      </c>
      <c r="D141" s="15" t="s">
        <v>381</v>
      </c>
      <c r="E141" s="15"/>
      <c r="F141" s="15" t="s">
        <v>67</v>
      </c>
      <c r="G141" s="15"/>
      <c r="H141" s="15">
        <v>3</v>
      </c>
      <c r="I141" s="15"/>
      <c r="J141" s="15" t="s">
        <v>66</v>
      </c>
      <c r="K141" s="15" t="s">
        <v>379</v>
      </c>
      <c r="L141" s="15" t="s">
        <v>382</v>
      </c>
      <c r="M141" s="15"/>
      <c r="N141" s="15"/>
      <c r="O141" s="15"/>
      <c r="P141" s="15"/>
    </row>
    <row r="142" spans="1:16" x14ac:dyDescent="0.2">
      <c r="A142" s="15" t="s">
        <v>383</v>
      </c>
      <c r="B142" s="15" t="s">
        <v>368</v>
      </c>
      <c r="C142" s="15" t="s">
        <v>1252</v>
      </c>
      <c r="D142" s="15" t="s">
        <v>384</v>
      </c>
      <c r="E142" s="15"/>
      <c r="F142" s="15" t="s">
        <v>67</v>
      </c>
      <c r="G142" s="15"/>
      <c r="H142" s="15">
        <v>3</v>
      </c>
      <c r="I142" s="15"/>
      <c r="J142" s="15" t="s">
        <v>66</v>
      </c>
      <c r="K142" s="15"/>
      <c r="L142" s="15" t="s">
        <v>385</v>
      </c>
      <c r="M142" s="15"/>
      <c r="N142" s="15"/>
      <c r="O142" s="15"/>
      <c r="P142" s="15"/>
    </row>
    <row r="143" spans="1:16" x14ac:dyDescent="0.2">
      <c r="A143" s="15" t="s">
        <v>386</v>
      </c>
      <c r="B143" s="15" t="s">
        <v>368</v>
      </c>
      <c r="C143" s="15" t="s">
        <v>1256</v>
      </c>
      <c r="D143" s="15" t="s">
        <v>387</v>
      </c>
      <c r="E143" s="15"/>
      <c r="F143" s="15" t="s">
        <v>67</v>
      </c>
      <c r="G143" s="15"/>
      <c r="H143" s="15">
        <v>3</v>
      </c>
      <c r="I143" s="15"/>
      <c r="J143" s="15" t="s">
        <v>66</v>
      </c>
      <c r="K143" s="15"/>
      <c r="L143" s="15" t="s">
        <v>388</v>
      </c>
      <c r="M143" s="15"/>
      <c r="N143" s="15"/>
      <c r="O143" s="15"/>
      <c r="P143" s="15"/>
    </row>
    <row r="144" spans="1:16" x14ac:dyDescent="0.2">
      <c r="A144" s="15" t="s">
        <v>389</v>
      </c>
      <c r="B144" s="15" t="s">
        <v>368</v>
      </c>
      <c r="C144" s="15" t="s">
        <v>1260</v>
      </c>
      <c r="D144" s="15" t="s">
        <v>390</v>
      </c>
      <c r="E144" s="15"/>
      <c r="F144" s="15" t="s">
        <v>67</v>
      </c>
      <c r="G144" s="15"/>
      <c r="H144" s="15">
        <v>2</v>
      </c>
      <c r="I144" s="15"/>
      <c r="J144" s="15" t="s">
        <v>66</v>
      </c>
      <c r="K144" s="15"/>
      <c r="L144" s="15" t="s">
        <v>391</v>
      </c>
      <c r="M144" s="15"/>
      <c r="N144" s="15"/>
      <c r="O144" s="15"/>
      <c r="P144" s="15"/>
    </row>
    <row r="145" spans="1:16" x14ac:dyDescent="0.2">
      <c r="A145" s="15" t="s">
        <v>392</v>
      </c>
      <c r="B145" s="15" t="s">
        <v>368</v>
      </c>
      <c r="C145" s="15" t="s">
        <v>1264</v>
      </c>
      <c r="D145" s="15" t="s">
        <v>393</v>
      </c>
      <c r="E145" s="15"/>
      <c r="F145" s="15" t="s">
        <v>67</v>
      </c>
      <c r="G145" s="15"/>
      <c r="H145" s="15">
        <v>2</v>
      </c>
      <c r="I145" s="14" t="s">
        <v>20</v>
      </c>
      <c r="J145" s="15" t="s">
        <v>66</v>
      </c>
      <c r="K145" s="15"/>
      <c r="L145" s="15" t="s">
        <v>394</v>
      </c>
      <c r="M145" s="15"/>
      <c r="N145" s="15"/>
      <c r="O145" s="15"/>
      <c r="P145" s="15"/>
    </row>
    <row r="146" spans="1:16" x14ac:dyDescent="0.2">
      <c r="A146" s="15" t="s">
        <v>395</v>
      </c>
      <c r="B146" s="15" t="s">
        <v>368</v>
      </c>
      <c r="C146" s="15" t="s">
        <v>1268</v>
      </c>
      <c r="D146" s="15" t="s">
        <v>396</v>
      </c>
      <c r="E146" s="15"/>
      <c r="F146" s="15" t="s">
        <v>67</v>
      </c>
      <c r="G146" s="15"/>
      <c r="H146" s="15">
        <v>2</v>
      </c>
      <c r="I146" s="15"/>
      <c r="J146" s="15" t="s">
        <v>66</v>
      </c>
      <c r="K146" s="15" t="s">
        <v>398</v>
      </c>
      <c r="L146" s="15" t="s">
        <v>397</v>
      </c>
      <c r="M146" s="15"/>
      <c r="N146" s="15"/>
      <c r="O146" s="15"/>
      <c r="P146" s="15"/>
    </row>
    <row r="147" spans="1:16" x14ac:dyDescent="0.2">
      <c r="A147" s="15" t="s">
        <v>399</v>
      </c>
      <c r="B147" s="15" t="s">
        <v>368</v>
      </c>
      <c r="C147" s="15" t="s">
        <v>1272</v>
      </c>
      <c r="D147" s="15" t="s">
        <v>400</v>
      </c>
      <c r="E147" s="15"/>
      <c r="F147" s="15" t="s">
        <v>67</v>
      </c>
      <c r="G147" s="15"/>
      <c r="H147" s="15">
        <v>2</v>
      </c>
      <c r="I147" s="15"/>
      <c r="J147" s="15" t="s">
        <v>66</v>
      </c>
      <c r="K147" s="15" t="s">
        <v>379</v>
      </c>
      <c r="L147" s="15" t="s">
        <v>394</v>
      </c>
      <c r="M147" s="15"/>
      <c r="N147" s="15"/>
      <c r="O147" s="15"/>
      <c r="P147" s="15"/>
    </row>
    <row r="148" spans="1:16" x14ac:dyDescent="0.2">
      <c r="A148" s="15" t="s">
        <v>401</v>
      </c>
      <c r="B148" s="15" t="s">
        <v>368</v>
      </c>
      <c r="C148" s="15" t="s">
        <v>1276</v>
      </c>
      <c r="D148" s="15" t="s">
        <v>402</v>
      </c>
      <c r="E148" s="15"/>
      <c r="F148" s="15" t="s">
        <v>67</v>
      </c>
      <c r="G148" s="15"/>
      <c r="H148" s="15">
        <v>2</v>
      </c>
      <c r="I148" s="15"/>
      <c r="J148" s="15" t="s">
        <v>66</v>
      </c>
      <c r="K148" s="15" t="s">
        <v>398</v>
      </c>
      <c r="L148" s="15" t="s">
        <v>397</v>
      </c>
      <c r="M148" s="15"/>
      <c r="N148" s="15"/>
      <c r="O148" s="15"/>
      <c r="P148" s="15"/>
    </row>
    <row r="149" spans="1:16" x14ac:dyDescent="0.2">
      <c r="A149" s="15" t="s">
        <v>403</v>
      </c>
      <c r="B149" s="15" t="s">
        <v>368</v>
      </c>
      <c r="C149" s="15" t="s">
        <v>1280</v>
      </c>
      <c r="D149" s="15" t="s">
        <v>404</v>
      </c>
      <c r="E149" s="15"/>
      <c r="F149" s="15" t="s">
        <v>67</v>
      </c>
      <c r="G149" s="15"/>
      <c r="H149" s="15">
        <v>2</v>
      </c>
      <c r="I149" s="15"/>
      <c r="J149" s="15" t="s">
        <v>66</v>
      </c>
      <c r="K149" s="15" t="s">
        <v>379</v>
      </c>
      <c r="L149" s="15" t="s">
        <v>394</v>
      </c>
      <c r="M149" s="15"/>
      <c r="N149" s="15"/>
      <c r="O149" s="15"/>
      <c r="P149" s="15"/>
    </row>
    <row r="150" spans="1:16" x14ac:dyDescent="0.2">
      <c r="A150" s="15" t="s">
        <v>405</v>
      </c>
      <c r="B150" s="15" t="s">
        <v>368</v>
      </c>
      <c r="C150" s="15" t="s">
        <v>1284</v>
      </c>
      <c r="D150" s="15" t="s">
        <v>406</v>
      </c>
      <c r="E150" s="15"/>
      <c r="F150" s="15" t="s">
        <v>67</v>
      </c>
      <c r="G150" s="15"/>
      <c r="H150" s="15">
        <v>2</v>
      </c>
      <c r="I150" s="15"/>
      <c r="J150" s="15" t="s">
        <v>66</v>
      </c>
      <c r="K150" s="15"/>
      <c r="L150" s="15" t="s">
        <v>407</v>
      </c>
      <c r="M150" s="15"/>
      <c r="N150" s="15"/>
      <c r="O150" s="15"/>
      <c r="P150" s="15"/>
    </row>
    <row r="151" spans="1:16" x14ac:dyDescent="0.2">
      <c r="A151" s="15" t="s">
        <v>408</v>
      </c>
      <c r="B151" s="15" t="s">
        <v>368</v>
      </c>
      <c r="C151" s="15" t="s">
        <v>1288</v>
      </c>
      <c r="D151" s="15" t="s">
        <v>409</v>
      </c>
      <c r="E151" s="15"/>
      <c r="F151" s="15" t="s">
        <v>67</v>
      </c>
      <c r="G151" s="15"/>
      <c r="H151" s="15">
        <v>2</v>
      </c>
      <c r="I151" s="15"/>
      <c r="J151" s="15" t="s">
        <v>66</v>
      </c>
      <c r="K151" s="15"/>
      <c r="L151" s="15" t="s">
        <v>394</v>
      </c>
      <c r="M151" s="15"/>
      <c r="N151" s="15"/>
      <c r="O151" s="15"/>
      <c r="P151" s="15"/>
    </row>
    <row r="152" spans="1:16" x14ac:dyDescent="0.2">
      <c r="A152" s="15" t="s">
        <v>410</v>
      </c>
      <c r="B152" s="15" t="s">
        <v>368</v>
      </c>
      <c r="C152" s="15" t="s">
        <v>1291</v>
      </c>
      <c r="D152" s="15" t="s">
        <v>411</v>
      </c>
      <c r="E152" s="15"/>
      <c r="F152" s="15" t="s">
        <v>67</v>
      </c>
      <c r="G152" s="15"/>
      <c r="H152" s="15">
        <v>2</v>
      </c>
      <c r="I152" s="15"/>
      <c r="J152" s="15" t="s">
        <v>66</v>
      </c>
      <c r="K152" s="15"/>
      <c r="L152" s="15" t="s">
        <v>412</v>
      </c>
      <c r="M152" s="15"/>
      <c r="N152" s="15"/>
      <c r="O152" s="15"/>
      <c r="P152" s="15"/>
    </row>
    <row r="153" spans="1:16" x14ac:dyDescent="0.2">
      <c r="A153" s="15" t="s">
        <v>413</v>
      </c>
      <c r="B153" s="15" t="s">
        <v>368</v>
      </c>
      <c r="C153" s="15" t="s">
        <v>1295</v>
      </c>
      <c r="D153" s="15" t="s">
        <v>414</v>
      </c>
      <c r="E153" s="15"/>
      <c r="F153" s="15" t="s">
        <v>67</v>
      </c>
      <c r="G153" s="15"/>
      <c r="H153" s="15">
        <v>2</v>
      </c>
      <c r="I153" s="15"/>
      <c r="J153" s="15" t="s">
        <v>66</v>
      </c>
      <c r="K153" s="15"/>
      <c r="L153" s="15" t="s">
        <v>394</v>
      </c>
      <c r="M153" s="15"/>
      <c r="N153" s="15"/>
      <c r="O153" s="15"/>
      <c r="P153" s="15"/>
    </row>
    <row r="154" spans="1:16" x14ac:dyDescent="0.2">
      <c r="A154" s="15" t="s">
        <v>415</v>
      </c>
      <c r="B154" s="15" t="s">
        <v>416</v>
      </c>
      <c r="C154" s="15" t="s">
        <v>1299</v>
      </c>
      <c r="D154" s="15" t="s">
        <v>418</v>
      </c>
      <c r="E154" s="15" t="s">
        <v>66</v>
      </c>
      <c r="F154" s="15" t="s">
        <v>67</v>
      </c>
      <c r="G154" s="15"/>
      <c r="H154" s="15">
        <v>2</v>
      </c>
      <c r="I154" s="15" t="s">
        <v>212</v>
      </c>
      <c r="J154" s="15" t="s">
        <v>66</v>
      </c>
      <c r="K154" s="15"/>
      <c r="L154" s="15" t="s">
        <v>1531</v>
      </c>
      <c r="M154" s="15"/>
      <c r="N154" s="15"/>
      <c r="O154" s="15"/>
      <c r="P154" s="15"/>
    </row>
    <row r="155" spans="1:16" x14ac:dyDescent="0.2">
      <c r="A155" s="15" t="s">
        <v>421</v>
      </c>
      <c r="B155" s="15" t="s">
        <v>416</v>
      </c>
      <c r="C155" s="15" t="s">
        <v>1304</v>
      </c>
      <c r="D155" s="15" t="s">
        <v>422</v>
      </c>
      <c r="E155" s="15"/>
      <c r="F155" s="15" t="s">
        <v>67</v>
      </c>
      <c r="G155" s="15"/>
      <c r="H155" s="15">
        <v>2</v>
      </c>
      <c r="I155" s="14" t="s">
        <v>20</v>
      </c>
      <c r="J155" s="15" t="s">
        <v>66</v>
      </c>
      <c r="K155" s="15"/>
      <c r="L155" s="15" t="s">
        <v>423</v>
      </c>
      <c r="M155" s="15"/>
      <c r="N155" s="15"/>
      <c r="O155" s="15"/>
      <c r="P155" s="15"/>
    </row>
    <row r="156" spans="1:16" x14ac:dyDescent="0.2">
      <c r="A156" s="15" t="s">
        <v>424</v>
      </c>
      <c r="B156" s="15" t="s">
        <v>425</v>
      </c>
      <c r="C156" s="14" t="s">
        <v>419</v>
      </c>
      <c r="D156" s="15" t="s">
        <v>64</v>
      </c>
      <c r="E156" s="15" t="s">
        <v>66</v>
      </c>
      <c r="F156" s="15" t="s">
        <v>67</v>
      </c>
      <c r="G156" s="15"/>
      <c r="H156" s="15">
        <v>3</v>
      </c>
      <c r="I156" s="15" t="s">
        <v>212</v>
      </c>
      <c r="J156" s="15" t="s">
        <v>66</v>
      </c>
      <c r="K156" s="15"/>
      <c r="L156" s="15" t="s">
        <v>427</v>
      </c>
      <c r="M156" s="15"/>
      <c r="N156" s="15"/>
      <c r="O156" s="15"/>
      <c r="P156" s="15"/>
    </row>
    <row r="157" spans="1:16" x14ac:dyDescent="0.2">
      <c r="A157" s="15" t="s">
        <v>429</v>
      </c>
      <c r="B157" s="15" t="s">
        <v>430</v>
      </c>
      <c r="C157" s="14" t="s">
        <v>420</v>
      </c>
      <c r="D157" s="15" t="s">
        <v>64</v>
      </c>
      <c r="E157" s="15" t="s">
        <v>66</v>
      </c>
      <c r="F157" s="15" t="s">
        <v>67</v>
      </c>
      <c r="G157" s="15"/>
      <c r="H157" s="15">
        <v>3</v>
      </c>
      <c r="I157" s="15"/>
      <c r="J157" s="15" t="s">
        <v>66</v>
      </c>
      <c r="K157" s="15"/>
      <c r="L157" s="15" t="s">
        <v>432</v>
      </c>
      <c r="M157" s="15"/>
      <c r="N157" s="15"/>
      <c r="O157" s="15"/>
      <c r="P157" s="15"/>
    </row>
    <row r="158" spans="1:16" x14ac:dyDescent="0.2">
      <c r="A158" s="15" t="s">
        <v>433</v>
      </c>
      <c r="B158" s="15" t="s">
        <v>434</v>
      </c>
      <c r="C158" s="14" t="s">
        <v>373</v>
      </c>
      <c r="D158" s="15" t="s">
        <v>64</v>
      </c>
      <c r="E158" s="15" t="s">
        <v>66</v>
      </c>
      <c r="F158" s="15" t="s">
        <v>67</v>
      </c>
      <c r="G158" s="15"/>
      <c r="H158" s="15">
        <v>3</v>
      </c>
      <c r="I158" s="15"/>
      <c r="J158" s="15" t="s">
        <v>66</v>
      </c>
      <c r="K158" s="15"/>
      <c r="L158" s="15" t="s">
        <v>436</v>
      </c>
      <c r="M158" s="15"/>
      <c r="N158" s="15"/>
      <c r="O158" s="15"/>
      <c r="P158" s="15"/>
    </row>
    <row r="159" spans="1:16" x14ac:dyDescent="0.2">
      <c r="A159" s="15" t="s">
        <v>438</v>
      </c>
      <c r="B159" s="15" t="s">
        <v>439</v>
      </c>
      <c r="C159" s="15" t="s">
        <v>1317</v>
      </c>
      <c r="D159" s="15" t="s">
        <v>116</v>
      </c>
      <c r="E159" s="15"/>
      <c r="F159" s="15" t="s">
        <v>118</v>
      </c>
      <c r="G159" s="15"/>
      <c r="H159" s="15">
        <v>3</v>
      </c>
      <c r="I159" s="15"/>
      <c r="J159" s="15" t="s">
        <v>109</v>
      </c>
      <c r="K159" s="15"/>
      <c r="L159" s="15" t="s">
        <v>442</v>
      </c>
      <c r="M159" s="15"/>
      <c r="N159" s="15"/>
      <c r="O159" s="15"/>
      <c r="P159" s="15"/>
    </row>
    <row r="160" spans="1:16" x14ac:dyDescent="0.2">
      <c r="A160" s="15" t="s">
        <v>445</v>
      </c>
      <c r="B160" s="15" t="s">
        <v>439</v>
      </c>
      <c r="C160" s="15" t="s">
        <v>1321</v>
      </c>
      <c r="D160" s="15" t="s">
        <v>120</v>
      </c>
      <c r="E160" s="15" t="s">
        <v>66</v>
      </c>
      <c r="F160" s="15" t="s">
        <v>118</v>
      </c>
      <c r="G160" s="15"/>
      <c r="H160" s="15">
        <v>3</v>
      </c>
      <c r="I160" s="15"/>
      <c r="J160" s="15" t="s">
        <v>109</v>
      </c>
      <c r="K160" s="15"/>
      <c r="L160" s="15" t="s">
        <v>446</v>
      </c>
      <c r="M160" s="15"/>
      <c r="N160" s="15"/>
      <c r="O160" s="15"/>
      <c r="P160" s="15"/>
    </row>
    <row r="161" spans="1:16" x14ac:dyDescent="0.2">
      <c r="A161" s="15" t="s">
        <v>447</v>
      </c>
      <c r="B161" s="15" t="s">
        <v>439</v>
      </c>
      <c r="C161" s="15" t="s">
        <v>1325</v>
      </c>
      <c r="D161" s="15" t="s">
        <v>121</v>
      </c>
      <c r="E161" s="15"/>
      <c r="F161" s="15" t="s">
        <v>118</v>
      </c>
      <c r="G161" s="15"/>
      <c r="H161" s="15">
        <v>3</v>
      </c>
      <c r="I161" s="15"/>
      <c r="J161" s="15" t="s">
        <v>109</v>
      </c>
      <c r="K161" s="15"/>
      <c r="L161" s="15" t="s">
        <v>448</v>
      </c>
      <c r="M161" s="15"/>
      <c r="N161" s="15"/>
      <c r="O161" s="15"/>
      <c r="P161" s="15"/>
    </row>
    <row r="162" spans="1:16" x14ac:dyDescent="0.2">
      <c r="A162" s="15" t="s">
        <v>449</v>
      </c>
      <c r="B162" s="15" t="s">
        <v>450</v>
      </c>
      <c r="C162" s="15" t="s">
        <v>1328</v>
      </c>
      <c r="D162" s="15" t="s">
        <v>418</v>
      </c>
      <c r="E162" s="15" t="s">
        <v>66</v>
      </c>
      <c r="F162" s="15" t="s">
        <v>67</v>
      </c>
      <c r="G162" s="15"/>
      <c r="H162" s="15">
        <v>3</v>
      </c>
      <c r="I162" s="15" t="s">
        <v>212</v>
      </c>
      <c r="J162" s="15" t="s">
        <v>66</v>
      </c>
      <c r="K162" s="15"/>
      <c r="L162" s="15" t="s">
        <v>452</v>
      </c>
      <c r="M162" s="15"/>
      <c r="N162" s="15"/>
      <c r="O162" s="15"/>
      <c r="P162" s="15"/>
    </row>
    <row r="163" spans="1:16" x14ac:dyDescent="0.2">
      <c r="A163" s="15" t="s">
        <v>455</v>
      </c>
      <c r="B163" s="15" t="s">
        <v>450</v>
      </c>
      <c r="C163" s="15" t="s">
        <v>1332</v>
      </c>
      <c r="D163" s="15" t="s">
        <v>418</v>
      </c>
      <c r="E163" s="15"/>
      <c r="F163" s="15" t="s">
        <v>67</v>
      </c>
      <c r="G163" s="15"/>
      <c r="H163" s="15">
        <v>3</v>
      </c>
      <c r="I163" s="15" t="s">
        <v>212</v>
      </c>
      <c r="J163" s="15" t="s">
        <v>66</v>
      </c>
      <c r="K163" s="15"/>
      <c r="L163" s="15" t="s">
        <v>457</v>
      </c>
      <c r="M163" s="15"/>
      <c r="N163" s="15"/>
      <c r="O163" s="15"/>
      <c r="P163" s="15"/>
    </row>
    <row r="164" spans="1:16" x14ac:dyDescent="0.2">
      <c r="A164" s="15" t="s">
        <v>458</v>
      </c>
      <c r="B164" s="15" t="s">
        <v>450</v>
      </c>
      <c r="C164" s="15" t="s">
        <v>1335</v>
      </c>
      <c r="D164" s="15" t="s">
        <v>459</v>
      </c>
      <c r="E164" s="15"/>
      <c r="F164" s="15" t="s">
        <v>67</v>
      </c>
      <c r="G164" s="15"/>
      <c r="H164" s="15">
        <v>2</v>
      </c>
      <c r="I164" s="14" t="s">
        <v>20</v>
      </c>
      <c r="J164" s="15" t="s">
        <v>66</v>
      </c>
      <c r="K164" s="15"/>
      <c r="L164" s="15" t="s">
        <v>460</v>
      </c>
      <c r="M164" s="15"/>
      <c r="N164" s="15"/>
      <c r="O164" s="15"/>
      <c r="P164" s="15"/>
    </row>
    <row r="165" spans="1:16" x14ac:dyDescent="0.2">
      <c r="A165" s="15" t="s">
        <v>461</v>
      </c>
      <c r="B165" s="15" t="s">
        <v>462</v>
      </c>
      <c r="C165" s="15" t="s">
        <v>1338</v>
      </c>
      <c r="D165" s="15" t="s">
        <v>418</v>
      </c>
      <c r="E165" s="15" t="s">
        <v>66</v>
      </c>
      <c r="F165" s="15" t="s">
        <v>67</v>
      </c>
      <c r="G165" s="15"/>
      <c r="H165" s="15">
        <v>2</v>
      </c>
      <c r="I165" s="15" t="s">
        <v>212</v>
      </c>
      <c r="J165" s="15" t="s">
        <v>66</v>
      </c>
      <c r="K165" s="15"/>
      <c r="L165" s="15" t="s">
        <v>464</v>
      </c>
      <c r="M165" s="15"/>
      <c r="N165" s="15"/>
      <c r="O165" s="15"/>
      <c r="P165" s="15"/>
    </row>
    <row r="166" spans="1:16" x14ac:dyDescent="0.2">
      <c r="A166" s="15" t="s">
        <v>466</v>
      </c>
      <c r="B166" s="15" t="s">
        <v>462</v>
      </c>
      <c r="C166" s="15" t="s">
        <v>1342</v>
      </c>
      <c r="D166" s="15" t="s">
        <v>467</v>
      </c>
      <c r="E166" s="15"/>
      <c r="F166" s="15" t="s">
        <v>67</v>
      </c>
      <c r="G166" s="15"/>
      <c r="H166" s="15">
        <v>2</v>
      </c>
      <c r="I166" s="14" t="s">
        <v>20</v>
      </c>
      <c r="J166" s="15" t="s">
        <v>66</v>
      </c>
      <c r="K166" s="15"/>
      <c r="L166" s="15" t="s">
        <v>468</v>
      </c>
      <c r="M166" s="15"/>
      <c r="N166" s="15"/>
      <c r="O166" s="15"/>
      <c r="P166" s="15"/>
    </row>
    <row r="167" spans="1:16" x14ac:dyDescent="0.2">
      <c r="A167" s="15" t="s">
        <v>469</v>
      </c>
      <c r="B167" s="15" t="s">
        <v>470</v>
      </c>
      <c r="C167" s="14" t="s">
        <v>1346</v>
      </c>
      <c r="D167" s="15" t="s">
        <v>64</v>
      </c>
      <c r="E167" s="15" t="s">
        <v>66</v>
      </c>
      <c r="F167" s="15" t="s">
        <v>67</v>
      </c>
      <c r="G167" s="15"/>
      <c r="H167" s="15">
        <v>3</v>
      </c>
      <c r="I167" s="15" t="s">
        <v>212</v>
      </c>
      <c r="J167" s="15" t="s">
        <v>66</v>
      </c>
      <c r="K167" s="15"/>
      <c r="L167" s="15" t="s">
        <v>472</v>
      </c>
      <c r="M167" s="15"/>
      <c r="N167" s="15"/>
      <c r="O167" s="15"/>
      <c r="P167" s="15"/>
    </row>
    <row r="168" spans="1:16" x14ac:dyDescent="0.2">
      <c r="A168" s="15" t="s">
        <v>474</v>
      </c>
      <c r="B168" s="15" t="s">
        <v>475</v>
      </c>
      <c r="C168" s="15" t="s">
        <v>1349</v>
      </c>
      <c r="D168" s="15" t="s">
        <v>477</v>
      </c>
      <c r="E168" s="15"/>
      <c r="F168" s="15" t="s">
        <v>118</v>
      </c>
      <c r="G168" s="15"/>
      <c r="H168" s="15">
        <v>3</v>
      </c>
      <c r="I168" s="15"/>
      <c r="J168" s="15" t="s">
        <v>109</v>
      </c>
      <c r="K168" s="15"/>
      <c r="L168" s="15" t="s">
        <v>478</v>
      </c>
      <c r="M168" s="15"/>
      <c r="N168" s="15"/>
      <c r="O168" s="15"/>
      <c r="P168" s="15"/>
    </row>
    <row r="169" spans="1:16" x14ac:dyDescent="0.2">
      <c r="A169" s="15" t="s">
        <v>481</v>
      </c>
      <c r="B169" s="15" t="s">
        <v>475</v>
      </c>
      <c r="C169" s="15" t="s">
        <v>1353</v>
      </c>
      <c r="D169" s="15" t="s">
        <v>482</v>
      </c>
      <c r="E169" s="15"/>
      <c r="F169" s="15" t="s">
        <v>118</v>
      </c>
      <c r="G169" s="15"/>
      <c r="H169" s="15">
        <v>3</v>
      </c>
      <c r="I169" s="15"/>
      <c r="J169" s="15" t="s">
        <v>109</v>
      </c>
      <c r="K169" s="15"/>
      <c r="L169" s="15" t="s">
        <v>483</v>
      </c>
      <c r="M169" s="15"/>
      <c r="N169" s="15"/>
      <c r="O169" s="15"/>
      <c r="P169" s="15"/>
    </row>
    <row r="170" spans="1:16" x14ac:dyDescent="0.2">
      <c r="A170" s="15" t="s">
        <v>484</v>
      </c>
      <c r="B170" s="15" t="s">
        <v>475</v>
      </c>
      <c r="C170" s="15" t="s">
        <v>1356</v>
      </c>
      <c r="D170" s="15" t="s">
        <v>485</v>
      </c>
      <c r="E170" s="15" t="s">
        <v>66</v>
      </c>
      <c r="F170" s="15" t="s">
        <v>118</v>
      </c>
      <c r="G170" s="15"/>
      <c r="H170" s="15">
        <v>3</v>
      </c>
      <c r="I170" s="15"/>
      <c r="J170" s="15" t="s">
        <v>109</v>
      </c>
      <c r="K170" s="15"/>
      <c r="L170" s="15" t="s">
        <v>486</v>
      </c>
      <c r="M170" s="15"/>
      <c r="N170" s="15"/>
      <c r="O170" s="15"/>
      <c r="P170" s="15"/>
    </row>
    <row r="171" spans="1:16" x14ac:dyDescent="0.2">
      <c r="A171" s="15" t="s">
        <v>487</v>
      </c>
      <c r="B171" s="15" t="s">
        <v>475</v>
      </c>
      <c r="C171" s="15" t="s">
        <v>1359</v>
      </c>
      <c r="D171" s="15" t="s">
        <v>488</v>
      </c>
      <c r="E171" s="15"/>
      <c r="F171" s="15" t="s">
        <v>118</v>
      </c>
      <c r="G171" s="15"/>
      <c r="H171" s="15">
        <v>3</v>
      </c>
      <c r="I171" s="15"/>
      <c r="J171" s="15" t="s">
        <v>109</v>
      </c>
      <c r="K171" s="15"/>
      <c r="L171" s="15" t="s">
        <v>489</v>
      </c>
      <c r="M171" s="15"/>
      <c r="N171" s="15"/>
      <c r="O171" s="15"/>
      <c r="P171" s="15"/>
    </row>
    <row r="172" spans="1:16" x14ac:dyDescent="0.2">
      <c r="A172" s="15" t="s">
        <v>490</v>
      </c>
      <c r="B172" s="15" t="s">
        <v>475</v>
      </c>
      <c r="C172" s="15" t="s">
        <v>1362</v>
      </c>
      <c r="D172" s="15" t="s">
        <v>491</v>
      </c>
      <c r="E172" s="15"/>
      <c r="F172" s="15" t="s">
        <v>118</v>
      </c>
      <c r="G172" s="15"/>
      <c r="H172" s="15">
        <v>3</v>
      </c>
      <c r="I172" s="15"/>
      <c r="J172" s="15" t="s">
        <v>109</v>
      </c>
      <c r="K172" s="15"/>
      <c r="L172" s="15" t="s">
        <v>492</v>
      </c>
      <c r="M172" s="15"/>
      <c r="N172" s="15"/>
      <c r="O172" s="15"/>
      <c r="P172" s="15"/>
    </row>
    <row r="173" spans="1:16" x14ac:dyDescent="0.2">
      <c r="A173" s="15" t="s">
        <v>493</v>
      </c>
      <c r="B173" s="15" t="s">
        <v>475</v>
      </c>
      <c r="C173" s="15" t="s">
        <v>1366</v>
      </c>
      <c r="D173" s="15" t="s">
        <v>494</v>
      </c>
      <c r="E173" s="15"/>
      <c r="F173" s="15" t="s">
        <v>118</v>
      </c>
      <c r="G173" s="15"/>
      <c r="H173" s="15">
        <v>3</v>
      </c>
      <c r="I173" s="15"/>
      <c r="J173" s="15" t="s">
        <v>109</v>
      </c>
      <c r="K173" s="15"/>
      <c r="L173" s="15" t="s">
        <v>495</v>
      </c>
      <c r="M173" s="15"/>
      <c r="N173" s="15"/>
      <c r="O173" s="15"/>
      <c r="P173" s="15"/>
    </row>
    <row r="174" spans="1:16" x14ac:dyDescent="0.2">
      <c r="A174" s="15" t="s">
        <v>496</v>
      </c>
      <c r="B174" s="15" t="s">
        <v>497</v>
      </c>
      <c r="C174" s="14" t="s">
        <v>507</v>
      </c>
      <c r="D174" s="15" t="s">
        <v>64</v>
      </c>
      <c r="E174" s="15" t="s">
        <v>66</v>
      </c>
      <c r="F174" s="15" t="s">
        <v>67</v>
      </c>
      <c r="G174" s="15"/>
      <c r="H174" s="15">
        <v>3</v>
      </c>
      <c r="I174" s="15" t="s">
        <v>212</v>
      </c>
      <c r="J174" s="15" t="s">
        <v>66</v>
      </c>
      <c r="K174" s="15"/>
      <c r="L174" s="15" t="s">
        <v>500</v>
      </c>
      <c r="M174" s="15"/>
      <c r="N174" s="15"/>
      <c r="O174" s="15"/>
      <c r="P174" s="15"/>
    </row>
    <row r="175" spans="1:16" x14ac:dyDescent="0.2">
      <c r="A175" s="15" t="s">
        <v>502</v>
      </c>
      <c r="B175" s="15" t="s">
        <v>503</v>
      </c>
      <c r="C175" s="14" t="s">
        <v>298</v>
      </c>
      <c r="D175" s="15" t="s">
        <v>64</v>
      </c>
      <c r="E175" s="15" t="s">
        <v>66</v>
      </c>
      <c r="F175" s="15" t="s">
        <v>67</v>
      </c>
      <c r="G175" s="15"/>
      <c r="H175" s="15">
        <v>3</v>
      </c>
      <c r="I175" s="15"/>
      <c r="J175" s="15" t="s">
        <v>66</v>
      </c>
      <c r="K175" s="15"/>
      <c r="L175" s="15" t="s">
        <v>505</v>
      </c>
      <c r="M175" s="15"/>
      <c r="N175" s="15"/>
      <c r="O175" s="15"/>
      <c r="P175" s="15"/>
    </row>
    <row r="176" spans="1:16" x14ac:dyDescent="0.2">
      <c r="A176" s="15" t="s">
        <v>508</v>
      </c>
      <c r="B176" s="15" t="s">
        <v>509</v>
      </c>
      <c r="C176" s="14" t="s">
        <v>365</v>
      </c>
      <c r="D176" s="15" t="s">
        <v>64</v>
      </c>
      <c r="E176" s="15" t="s">
        <v>66</v>
      </c>
      <c r="F176" s="15" t="s">
        <v>107</v>
      </c>
      <c r="G176" s="15"/>
      <c r="H176" s="15">
        <v>3</v>
      </c>
      <c r="I176" s="15"/>
      <c r="J176" s="15" t="s">
        <v>66</v>
      </c>
      <c r="K176" s="15"/>
      <c r="L176" s="15" t="s">
        <v>513</v>
      </c>
      <c r="M176" s="15"/>
      <c r="N176" s="15"/>
      <c r="O176" s="15"/>
      <c r="P176" s="15"/>
    </row>
    <row r="177" spans="1:16" x14ac:dyDescent="0.2">
      <c r="A177" s="15" t="s">
        <v>517</v>
      </c>
      <c r="B177" s="15" t="s">
        <v>518</v>
      </c>
      <c r="C177" s="14" t="s">
        <v>437</v>
      </c>
      <c r="D177" s="15" t="s">
        <v>64</v>
      </c>
      <c r="E177" s="15" t="s">
        <v>66</v>
      </c>
      <c r="F177" s="15" t="s">
        <v>67</v>
      </c>
      <c r="G177" s="15"/>
      <c r="H177" s="15">
        <v>2</v>
      </c>
      <c r="I177" s="15"/>
      <c r="J177" s="15" t="s">
        <v>66</v>
      </c>
      <c r="K177" s="15"/>
      <c r="L177" s="15" t="s">
        <v>521</v>
      </c>
      <c r="M177" s="15"/>
      <c r="N177" s="15"/>
      <c r="O177" s="15"/>
      <c r="P177" s="15"/>
    </row>
    <row r="178" spans="1:16" x14ac:dyDescent="0.2">
      <c r="A178" s="15" t="s">
        <v>524</v>
      </c>
      <c r="B178" s="15" t="s">
        <v>525</v>
      </c>
      <c r="C178" s="14" t="s">
        <v>563</v>
      </c>
      <c r="D178" s="15" t="s">
        <v>64</v>
      </c>
      <c r="E178" s="15" t="s">
        <v>66</v>
      </c>
      <c r="F178" s="15" t="s">
        <v>67</v>
      </c>
      <c r="G178" s="15"/>
      <c r="H178" s="15">
        <v>3</v>
      </c>
      <c r="I178" s="15"/>
      <c r="J178" s="15" t="s">
        <v>66</v>
      </c>
      <c r="K178" s="15"/>
      <c r="L178" s="15" t="s">
        <v>527</v>
      </c>
      <c r="M178" s="15"/>
      <c r="N178" s="15"/>
      <c r="O178" s="15"/>
      <c r="P178" s="15"/>
    </row>
    <row r="179" spans="1:16" x14ac:dyDescent="0.2">
      <c r="A179" s="15" t="s">
        <v>529</v>
      </c>
      <c r="B179" s="15" t="s">
        <v>530</v>
      </c>
      <c r="C179" s="15" t="s">
        <v>1381</v>
      </c>
      <c r="D179" s="15" t="s">
        <v>532</v>
      </c>
      <c r="E179" s="15" t="s">
        <v>66</v>
      </c>
      <c r="F179" s="15" t="s">
        <v>107</v>
      </c>
      <c r="G179" s="15"/>
      <c r="H179" s="15">
        <v>3</v>
      </c>
      <c r="I179" s="15"/>
      <c r="J179" s="15" t="s">
        <v>66</v>
      </c>
      <c r="K179" s="15"/>
      <c r="L179" s="15" t="s">
        <v>534</v>
      </c>
      <c r="M179" s="15"/>
      <c r="N179" s="15"/>
      <c r="O179" s="15"/>
      <c r="P179" s="15"/>
    </row>
    <row r="180" spans="1:16" x14ac:dyDescent="0.2">
      <c r="A180" s="15" t="s">
        <v>537</v>
      </c>
      <c r="B180" s="15" t="s">
        <v>530</v>
      </c>
      <c r="C180" s="15" t="s">
        <v>1387</v>
      </c>
      <c r="D180" s="15" t="s">
        <v>538</v>
      </c>
      <c r="E180" s="15"/>
      <c r="F180" s="15" t="s">
        <v>107</v>
      </c>
      <c r="G180" s="14" t="s">
        <v>19</v>
      </c>
      <c r="H180" s="15">
        <v>3</v>
      </c>
      <c r="I180" s="15"/>
      <c r="J180" s="15" t="s">
        <v>66</v>
      </c>
      <c r="K180" s="15"/>
      <c r="L180" s="15" t="s">
        <v>539</v>
      </c>
      <c r="M180" s="15"/>
      <c r="N180" s="15"/>
      <c r="O180" s="15"/>
      <c r="P180" s="15"/>
    </row>
    <row r="181" spans="1:16" x14ac:dyDescent="0.2">
      <c r="A181" s="15" t="s">
        <v>540</v>
      </c>
      <c r="B181" s="15" t="s">
        <v>530</v>
      </c>
      <c r="C181" s="15" t="s">
        <v>1391</v>
      </c>
      <c r="D181" s="15" t="s">
        <v>541</v>
      </c>
      <c r="E181" s="15"/>
      <c r="F181" s="15" t="s">
        <v>107</v>
      </c>
      <c r="G181" s="14" t="s">
        <v>19</v>
      </c>
      <c r="H181" s="15">
        <v>3</v>
      </c>
      <c r="I181" s="15"/>
      <c r="J181" s="15" t="s">
        <v>66</v>
      </c>
      <c r="K181" s="15"/>
      <c r="L181" s="15" t="s">
        <v>542</v>
      </c>
      <c r="M181" s="15"/>
      <c r="N181" s="15"/>
      <c r="O181" s="15"/>
      <c r="P181" s="15"/>
    </row>
    <row r="182" spans="1:16" x14ac:dyDescent="0.2">
      <c r="A182" s="15" t="s">
        <v>543</v>
      </c>
      <c r="B182" s="15" t="s">
        <v>544</v>
      </c>
      <c r="C182" s="14" t="s">
        <v>1395</v>
      </c>
      <c r="D182" s="15" t="s">
        <v>64</v>
      </c>
      <c r="E182" s="15" t="s">
        <v>66</v>
      </c>
      <c r="F182" s="15" t="s">
        <v>548</v>
      </c>
      <c r="G182" s="15"/>
      <c r="H182" s="15">
        <v>3</v>
      </c>
      <c r="I182" s="15"/>
      <c r="J182" s="15" t="s">
        <v>109</v>
      </c>
      <c r="K182" s="15" t="s">
        <v>550</v>
      </c>
      <c r="L182" s="15" t="s">
        <v>1042</v>
      </c>
      <c r="M182" s="15"/>
      <c r="N182" s="15"/>
      <c r="O182" s="15"/>
      <c r="P182" s="15"/>
    </row>
    <row r="183" spans="1:16" x14ac:dyDescent="0.2">
      <c r="A183" s="15" t="s">
        <v>551</v>
      </c>
      <c r="B183" s="15" t="s">
        <v>552</v>
      </c>
      <c r="C183" s="14" t="s">
        <v>528</v>
      </c>
      <c r="D183" s="15" t="s">
        <v>64</v>
      </c>
      <c r="E183" s="15" t="s">
        <v>66</v>
      </c>
      <c r="F183" s="15" t="s">
        <v>555</v>
      </c>
      <c r="G183" s="15"/>
      <c r="H183" s="15">
        <v>3</v>
      </c>
      <c r="I183" s="15"/>
      <c r="J183" s="15" t="s">
        <v>109</v>
      </c>
      <c r="K183" s="15"/>
      <c r="L183" s="15" t="s">
        <v>1043</v>
      </c>
      <c r="M183" s="15"/>
      <c r="N183" s="15"/>
      <c r="O183" s="15"/>
      <c r="P183" s="15"/>
    </row>
    <row r="184" spans="1:16" x14ac:dyDescent="0.2">
      <c r="A184" s="15" t="s">
        <v>556</v>
      </c>
      <c r="B184" s="15" t="s">
        <v>557</v>
      </c>
      <c r="C184" s="14" t="s">
        <v>536</v>
      </c>
      <c r="D184" s="15" t="s">
        <v>64</v>
      </c>
      <c r="E184" s="15" t="s">
        <v>66</v>
      </c>
      <c r="F184" s="15" t="s">
        <v>107</v>
      </c>
      <c r="G184" s="15"/>
      <c r="H184" s="15">
        <v>3</v>
      </c>
      <c r="I184" s="15"/>
      <c r="J184" s="15" t="s">
        <v>66</v>
      </c>
      <c r="K184" s="15" t="s">
        <v>562</v>
      </c>
      <c r="L184" s="15" t="s">
        <v>561</v>
      </c>
      <c r="M184" s="15"/>
      <c r="N184" s="15"/>
      <c r="O184" s="15"/>
      <c r="P184" s="15"/>
    </row>
    <row r="185" spans="1:16" x14ac:dyDescent="0.2">
      <c r="A185" s="15" t="s">
        <v>564</v>
      </c>
      <c r="B185" s="15" t="s">
        <v>565</v>
      </c>
      <c r="C185" s="15" t="s">
        <v>1403</v>
      </c>
      <c r="D185" s="15" t="s">
        <v>116</v>
      </c>
      <c r="E185" s="15"/>
      <c r="F185" s="15" t="s">
        <v>118</v>
      </c>
      <c r="G185" s="15"/>
      <c r="H185" s="15">
        <v>3</v>
      </c>
      <c r="I185" s="15"/>
      <c r="J185" s="15" t="s">
        <v>109</v>
      </c>
      <c r="K185" s="15"/>
      <c r="L185" s="15" t="s">
        <v>568</v>
      </c>
      <c r="M185" s="15"/>
      <c r="N185" s="15"/>
      <c r="O185" s="15"/>
      <c r="P185" s="15"/>
    </row>
    <row r="186" spans="1:16" x14ac:dyDescent="0.2">
      <c r="A186" s="15" t="s">
        <v>571</v>
      </c>
      <c r="B186" s="15" t="s">
        <v>565</v>
      </c>
      <c r="C186" s="15" t="s">
        <v>1405</v>
      </c>
      <c r="D186" s="15" t="s">
        <v>120</v>
      </c>
      <c r="E186" s="15" t="s">
        <v>66</v>
      </c>
      <c r="F186" s="15" t="s">
        <v>118</v>
      </c>
      <c r="G186" s="15"/>
      <c r="H186" s="15">
        <v>3</v>
      </c>
      <c r="I186" s="15"/>
      <c r="J186" s="15" t="s">
        <v>109</v>
      </c>
      <c r="K186" s="15"/>
      <c r="L186" s="15" t="s">
        <v>572</v>
      </c>
      <c r="M186" s="15"/>
      <c r="N186" s="15"/>
      <c r="O186" s="15"/>
      <c r="P186" s="15"/>
    </row>
    <row r="187" spans="1:16" x14ac:dyDescent="0.2">
      <c r="A187" s="15" t="s">
        <v>573</v>
      </c>
      <c r="B187" s="15" t="s">
        <v>565</v>
      </c>
      <c r="C187" s="15" t="s">
        <v>1407</v>
      </c>
      <c r="D187" s="15" t="s">
        <v>121</v>
      </c>
      <c r="E187" s="15"/>
      <c r="F187" s="15" t="s">
        <v>118</v>
      </c>
      <c r="G187" s="15"/>
      <c r="H187" s="15">
        <v>3</v>
      </c>
      <c r="I187" s="15"/>
      <c r="J187" s="15" t="s">
        <v>109</v>
      </c>
      <c r="K187" s="15"/>
      <c r="L187" s="15" t="s">
        <v>574</v>
      </c>
      <c r="M187" s="15"/>
      <c r="N187" s="15"/>
      <c r="O187" s="15"/>
      <c r="P187" s="15"/>
    </row>
    <row r="188" spans="1:16" x14ac:dyDescent="0.2">
      <c r="A188" s="15" t="s">
        <v>575</v>
      </c>
      <c r="B188" s="15" t="s">
        <v>576</v>
      </c>
      <c r="C188" s="15" t="s">
        <v>1409</v>
      </c>
      <c r="D188" s="15" t="s">
        <v>116</v>
      </c>
      <c r="E188" s="15"/>
      <c r="F188" s="15" t="s">
        <v>118</v>
      </c>
      <c r="G188" s="15"/>
      <c r="H188" s="15">
        <v>3</v>
      </c>
      <c r="I188" s="15"/>
      <c r="J188" s="15" t="s">
        <v>109</v>
      </c>
      <c r="K188" s="15"/>
      <c r="L188" s="15" t="s">
        <v>578</v>
      </c>
      <c r="M188" s="15"/>
      <c r="N188" s="15"/>
      <c r="O188" s="15"/>
      <c r="P188" s="15"/>
    </row>
    <row r="189" spans="1:16" x14ac:dyDescent="0.2">
      <c r="A189" s="15" t="s">
        <v>580</v>
      </c>
      <c r="B189" s="15" t="s">
        <v>576</v>
      </c>
      <c r="C189" s="15" t="s">
        <v>1412</v>
      </c>
      <c r="D189" s="15" t="s">
        <v>120</v>
      </c>
      <c r="E189" s="15" t="s">
        <v>66</v>
      </c>
      <c r="F189" s="15" t="s">
        <v>118</v>
      </c>
      <c r="G189" s="15"/>
      <c r="H189" s="15">
        <v>3</v>
      </c>
      <c r="I189" s="15"/>
      <c r="J189" s="15" t="s">
        <v>109</v>
      </c>
      <c r="K189" s="15"/>
      <c r="L189" s="15" t="s">
        <v>581</v>
      </c>
      <c r="M189" s="15"/>
      <c r="N189" s="15"/>
      <c r="O189" s="15"/>
      <c r="P189" s="15"/>
    </row>
    <row r="190" spans="1:16" x14ac:dyDescent="0.2">
      <c r="A190" s="15" t="s">
        <v>582</v>
      </c>
      <c r="B190" s="15" t="s">
        <v>576</v>
      </c>
      <c r="C190" s="15" t="s">
        <v>1414</v>
      </c>
      <c r="D190" s="15" t="s">
        <v>121</v>
      </c>
      <c r="E190" s="15"/>
      <c r="F190" s="15" t="s">
        <v>118</v>
      </c>
      <c r="G190" s="15"/>
      <c r="H190" s="15">
        <v>3</v>
      </c>
      <c r="I190" s="15"/>
      <c r="J190" s="15" t="s">
        <v>109</v>
      </c>
      <c r="K190" s="15"/>
      <c r="L190" s="15" t="s">
        <v>583</v>
      </c>
      <c r="M190" s="15"/>
      <c r="N190" s="15"/>
      <c r="O190" s="15"/>
      <c r="P190" s="15"/>
    </row>
    <row r="191" spans="1:16" x14ac:dyDescent="0.2">
      <c r="A191" s="15" t="s">
        <v>584</v>
      </c>
      <c r="B191" s="15" t="s">
        <v>585</v>
      </c>
      <c r="C191" s="14" t="s">
        <v>1416</v>
      </c>
      <c r="D191" s="15" t="s">
        <v>64</v>
      </c>
      <c r="E191" s="15" t="s">
        <v>66</v>
      </c>
      <c r="F191" s="15" t="s">
        <v>177</v>
      </c>
      <c r="G191" s="15"/>
      <c r="H191" s="15">
        <v>3</v>
      </c>
      <c r="I191" s="15"/>
      <c r="J191" s="15" t="s">
        <v>66</v>
      </c>
      <c r="K191" s="15"/>
      <c r="L191" s="15" t="s">
        <v>588</v>
      </c>
      <c r="M191" s="15"/>
      <c r="N191" s="15"/>
      <c r="O191" s="15"/>
      <c r="P191" s="15"/>
    </row>
    <row r="192" spans="1:16" x14ac:dyDescent="0.2">
      <c r="A192" s="15" t="s">
        <v>590</v>
      </c>
      <c r="B192" s="15" t="s">
        <v>591</v>
      </c>
      <c r="C192" s="14" t="s">
        <v>589</v>
      </c>
      <c r="D192" s="15" t="s">
        <v>64</v>
      </c>
      <c r="E192" s="15" t="s">
        <v>66</v>
      </c>
      <c r="F192" s="15" t="s">
        <v>107</v>
      </c>
      <c r="G192" s="15"/>
      <c r="H192" s="15">
        <v>3</v>
      </c>
      <c r="I192" s="15"/>
      <c r="J192" s="15" t="s">
        <v>66</v>
      </c>
      <c r="K192" s="15"/>
      <c r="L192" s="15" t="s">
        <v>595</v>
      </c>
      <c r="M192" s="15"/>
      <c r="N192" s="15"/>
      <c r="O192" s="15"/>
      <c r="P192" s="15"/>
    </row>
    <row r="193" spans="1:16" x14ac:dyDescent="0.2">
      <c r="A193" s="15" t="s">
        <v>597</v>
      </c>
      <c r="B193" s="15" t="s">
        <v>598</v>
      </c>
      <c r="C193" s="14" t="s">
        <v>579</v>
      </c>
      <c r="D193" s="15" t="s">
        <v>64</v>
      </c>
      <c r="E193" s="15" t="s">
        <v>66</v>
      </c>
      <c r="F193" s="15" t="s">
        <v>107</v>
      </c>
      <c r="G193" s="15"/>
      <c r="H193" s="15">
        <v>3</v>
      </c>
      <c r="I193" s="15"/>
      <c r="J193" s="15" t="s">
        <v>66</v>
      </c>
      <c r="K193" s="15"/>
      <c r="L193" s="15" t="s">
        <v>601</v>
      </c>
      <c r="M193" s="15"/>
      <c r="N193" s="15"/>
      <c r="O193" s="15"/>
      <c r="P193" s="15"/>
    </row>
    <row r="194" spans="1:16" x14ac:dyDescent="0.2">
      <c r="A194" s="15" t="s">
        <v>604</v>
      </c>
      <c r="B194" s="15" t="s">
        <v>605</v>
      </c>
      <c r="C194" s="15" t="s">
        <v>1424</v>
      </c>
      <c r="D194" s="15" t="s">
        <v>116</v>
      </c>
      <c r="E194" s="15"/>
      <c r="F194" s="15" t="s">
        <v>118</v>
      </c>
      <c r="G194" s="15"/>
      <c r="H194" s="15">
        <v>3</v>
      </c>
      <c r="I194" s="15"/>
      <c r="J194" s="15" t="s">
        <v>109</v>
      </c>
      <c r="K194" s="15"/>
      <c r="L194" s="15" t="s">
        <v>607</v>
      </c>
      <c r="M194" s="15"/>
      <c r="N194" s="15"/>
      <c r="O194" s="15"/>
      <c r="P194" s="15"/>
    </row>
    <row r="195" spans="1:16" x14ac:dyDescent="0.2">
      <c r="A195" s="15" t="s">
        <v>609</v>
      </c>
      <c r="B195" s="15" t="s">
        <v>605</v>
      </c>
      <c r="C195" s="15" t="s">
        <v>1427</v>
      </c>
      <c r="D195" s="15" t="s">
        <v>120</v>
      </c>
      <c r="E195" s="15" t="s">
        <v>66</v>
      </c>
      <c r="F195" s="15" t="s">
        <v>118</v>
      </c>
      <c r="G195" s="15"/>
      <c r="H195" s="15">
        <v>3</v>
      </c>
      <c r="I195" s="15"/>
      <c r="J195" s="15" t="s">
        <v>109</v>
      </c>
      <c r="K195" s="15"/>
      <c r="L195" s="15" t="s">
        <v>610</v>
      </c>
      <c r="M195" s="15"/>
      <c r="N195" s="15"/>
      <c r="O195" s="15"/>
      <c r="P195" s="15"/>
    </row>
    <row r="196" spans="1:16" x14ac:dyDescent="0.2">
      <c r="A196" s="15" t="s">
        <v>611</v>
      </c>
      <c r="B196" s="15" t="s">
        <v>605</v>
      </c>
      <c r="C196" s="15" t="s">
        <v>1429</v>
      </c>
      <c r="D196" s="15" t="s">
        <v>121</v>
      </c>
      <c r="E196" s="15"/>
      <c r="F196" s="15" t="s">
        <v>118</v>
      </c>
      <c r="G196" s="15"/>
      <c r="H196" s="15">
        <v>3</v>
      </c>
      <c r="I196" s="15"/>
      <c r="J196" s="15" t="s">
        <v>109</v>
      </c>
      <c r="K196" s="15"/>
      <c r="L196" s="15" t="s">
        <v>612</v>
      </c>
      <c r="M196" s="15"/>
      <c r="N196" s="15"/>
      <c r="O196" s="15"/>
      <c r="P196" s="15"/>
    </row>
    <row r="197" spans="1:16" x14ac:dyDescent="0.2">
      <c r="A197" s="15" t="s">
        <v>736</v>
      </c>
      <c r="B197" s="15" t="s">
        <v>737</v>
      </c>
      <c r="C197" s="14" t="s">
        <v>1431</v>
      </c>
      <c r="D197" s="15" t="s">
        <v>64</v>
      </c>
      <c r="E197" s="15" t="s">
        <v>66</v>
      </c>
      <c r="F197" s="15" t="s">
        <v>67</v>
      </c>
      <c r="G197" s="15"/>
      <c r="H197" s="15">
        <v>3</v>
      </c>
      <c r="I197" s="15"/>
      <c r="J197" s="15" t="s">
        <v>66</v>
      </c>
      <c r="K197" s="15"/>
      <c r="L197" s="15" t="s">
        <v>740</v>
      </c>
      <c r="M197" s="15"/>
      <c r="N197" s="15"/>
      <c r="O197" s="15"/>
      <c r="P197" s="15"/>
    </row>
    <row r="198" spans="1:16" x14ac:dyDescent="0.2">
      <c r="A198" s="15" t="s">
        <v>613</v>
      </c>
      <c r="B198" s="15" t="s">
        <v>614</v>
      </c>
      <c r="C198" s="15" t="s">
        <v>1435</v>
      </c>
      <c r="D198" s="15" t="s">
        <v>617</v>
      </c>
      <c r="E198" s="15" t="s">
        <v>66</v>
      </c>
      <c r="F198" s="15" t="s">
        <v>67</v>
      </c>
      <c r="G198" s="15"/>
      <c r="H198" s="15">
        <v>1</v>
      </c>
      <c r="I198" s="15"/>
      <c r="J198" s="15" t="s">
        <v>66</v>
      </c>
      <c r="K198" s="15"/>
      <c r="L198" s="15" t="s">
        <v>618</v>
      </c>
      <c r="M198" s="15"/>
      <c r="N198" s="15"/>
      <c r="O198" s="15"/>
      <c r="P198" s="15"/>
    </row>
    <row r="199" spans="1:16" x14ac:dyDescent="0.2">
      <c r="A199" s="15" t="s">
        <v>622</v>
      </c>
      <c r="B199" s="15" t="s">
        <v>614</v>
      </c>
      <c r="C199" s="15" t="s">
        <v>1439</v>
      </c>
      <c r="D199" s="15" t="s">
        <v>623</v>
      </c>
      <c r="E199" s="15"/>
      <c r="F199" s="15" t="s">
        <v>67</v>
      </c>
      <c r="G199" s="15"/>
      <c r="H199" s="15">
        <v>1</v>
      </c>
      <c r="I199" s="15"/>
      <c r="J199" s="15" t="s">
        <v>66</v>
      </c>
      <c r="K199" s="15"/>
      <c r="L199" s="15" t="s">
        <v>624</v>
      </c>
      <c r="M199" s="15"/>
      <c r="N199" s="15"/>
      <c r="O199" s="15"/>
      <c r="P199" s="15"/>
    </row>
    <row r="200" spans="1:16" x14ac:dyDescent="0.2">
      <c r="A200" s="15" t="s">
        <v>625</v>
      </c>
      <c r="B200" s="15" t="s">
        <v>614</v>
      </c>
      <c r="C200" s="15" t="s">
        <v>1443</v>
      </c>
      <c r="D200" s="15" t="s">
        <v>626</v>
      </c>
      <c r="E200" s="15"/>
      <c r="F200" s="15" t="s">
        <v>67</v>
      </c>
      <c r="G200" s="15"/>
      <c r="H200" s="15">
        <v>1</v>
      </c>
      <c r="I200" s="15"/>
      <c r="J200" s="15" t="s">
        <v>66</v>
      </c>
      <c r="K200" s="15"/>
      <c r="L200" s="15" t="s">
        <v>627</v>
      </c>
      <c r="M200" s="15"/>
      <c r="N200" s="15"/>
      <c r="O200" s="15"/>
      <c r="P200" s="15"/>
    </row>
    <row r="201" spans="1:16" x14ac:dyDescent="0.2">
      <c r="A201" s="15" t="s">
        <v>628</v>
      </c>
      <c r="B201" s="15" t="s">
        <v>629</v>
      </c>
      <c r="C201" s="14" t="s">
        <v>1447</v>
      </c>
      <c r="D201" s="15" t="s">
        <v>64</v>
      </c>
      <c r="E201" s="15" t="s">
        <v>66</v>
      </c>
      <c r="F201" s="15" t="s">
        <v>67</v>
      </c>
      <c r="G201" s="15"/>
      <c r="H201" s="15">
        <v>4</v>
      </c>
      <c r="I201" s="14" t="s">
        <v>21</v>
      </c>
      <c r="J201" s="15" t="s">
        <v>66</v>
      </c>
      <c r="K201" s="15"/>
      <c r="L201" s="15" t="s">
        <v>631</v>
      </c>
      <c r="M201" s="15"/>
      <c r="N201" s="15"/>
      <c r="O201" s="15"/>
      <c r="P201" s="15"/>
    </row>
    <row r="202" spans="1:16" x14ac:dyDescent="0.2">
      <c r="A202" s="15" t="s">
        <v>634</v>
      </c>
      <c r="B202" s="15" t="s">
        <v>635</v>
      </c>
      <c r="C202" s="14" t="s">
        <v>639</v>
      </c>
      <c r="D202" s="15" t="s">
        <v>64</v>
      </c>
      <c r="E202" s="15" t="s">
        <v>66</v>
      </c>
      <c r="F202" s="15" t="s">
        <v>127</v>
      </c>
      <c r="G202" s="15"/>
      <c r="H202" s="15">
        <v>1</v>
      </c>
      <c r="I202" s="15"/>
      <c r="J202" s="15" t="s">
        <v>66</v>
      </c>
      <c r="K202" s="15"/>
      <c r="L202" s="15" t="s">
        <v>638</v>
      </c>
      <c r="M202" s="15"/>
      <c r="N202" s="15"/>
      <c r="O202" s="15"/>
      <c r="P202" s="15"/>
    </row>
    <row r="203" spans="1:16" x14ac:dyDescent="0.2">
      <c r="A203" s="15" t="s">
        <v>640</v>
      </c>
      <c r="B203" s="15" t="s">
        <v>641</v>
      </c>
      <c r="C203" s="14" t="s">
        <v>111</v>
      </c>
      <c r="D203" s="15" t="s">
        <v>64</v>
      </c>
      <c r="E203" s="15" t="s">
        <v>66</v>
      </c>
      <c r="F203" s="15" t="s">
        <v>646</v>
      </c>
      <c r="G203" s="15"/>
      <c r="H203" s="15">
        <v>1</v>
      </c>
      <c r="I203" s="15"/>
      <c r="J203" s="15" t="s">
        <v>66</v>
      </c>
      <c r="K203" s="15"/>
      <c r="L203" s="15" t="s">
        <v>648</v>
      </c>
      <c r="M203" s="15"/>
      <c r="N203" s="15"/>
      <c r="O203" s="15"/>
      <c r="P203" s="15"/>
    </row>
    <row r="204" spans="1:16" x14ac:dyDescent="0.2">
      <c r="A204" s="15" t="s">
        <v>650</v>
      </c>
      <c r="B204" s="15" t="s">
        <v>651</v>
      </c>
      <c r="C204" s="14" t="s">
        <v>670</v>
      </c>
      <c r="D204" s="15" t="s">
        <v>64</v>
      </c>
      <c r="E204" s="15" t="s">
        <v>66</v>
      </c>
      <c r="F204" s="15" t="s">
        <v>646</v>
      </c>
      <c r="G204" s="15"/>
      <c r="H204" s="15">
        <v>1</v>
      </c>
      <c r="I204" s="15"/>
      <c r="J204" s="15" t="s">
        <v>66</v>
      </c>
      <c r="K204" s="15"/>
      <c r="L204" s="15" t="s">
        <v>653</v>
      </c>
      <c r="M204" s="15"/>
      <c r="N204" s="15"/>
      <c r="O204" s="15"/>
      <c r="P204" s="15"/>
    </row>
    <row r="205" spans="1:16" x14ac:dyDescent="0.2">
      <c r="A205" s="15" t="s">
        <v>657</v>
      </c>
      <c r="B205" s="15" t="s">
        <v>658</v>
      </c>
      <c r="C205" s="14" t="s">
        <v>691</v>
      </c>
      <c r="D205" s="15" t="s">
        <v>64</v>
      </c>
      <c r="E205" s="15" t="s">
        <v>66</v>
      </c>
      <c r="F205" s="15" t="s">
        <v>67</v>
      </c>
      <c r="G205" s="15"/>
      <c r="H205" s="15">
        <v>1</v>
      </c>
      <c r="I205" s="15"/>
      <c r="J205" s="15" t="s">
        <v>66</v>
      </c>
      <c r="K205" s="15"/>
      <c r="L205" s="15" t="s">
        <v>660</v>
      </c>
      <c r="M205" s="15"/>
      <c r="N205" s="15"/>
      <c r="O205" s="15"/>
      <c r="P205" s="15"/>
    </row>
    <row r="206" spans="1:16" x14ac:dyDescent="0.2">
      <c r="A206" s="15" t="s">
        <v>662</v>
      </c>
      <c r="B206" s="15" t="s">
        <v>663</v>
      </c>
      <c r="C206" s="14" t="s">
        <v>656</v>
      </c>
      <c r="D206" s="15" t="s">
        <v>64</v>
      </c>
      <c r="E206" s="15" t="s">
        <v>66</v>
      </c>
      <c r="F206" s="15" t="s">
        <v>67</v>
      </c>
      <c r="G206" s="15"/>
      <c r="H206" s="15">
        <v>1</v>
      </c>
      <c r="I206" s="15"/>
      <c r="J206" s="15" t="s">
        <v>66</v>
      </c>
      <c r="K206" s="15"/>
      <c r="L206" s="15" t="s">
        <v>665</v>
      </c>
      <c r="M206" s="15"/>
      <c r="N206" s="15"/>
      <c r="O206" s="15"/>
      <c r="P206" s="15"/>
    </row>
    <row r="207" spans="1:16" x14ac:dyDescent="0.2">
      <c r="A207" s="15" t="s">
        <v>666</v>
      </c>
      <c r="B207" s="15" t="s">
        <v>667</v>
      </c>
      <c r="C207" s="15" t="s">
        <v>1466</v>
      </c>
      <c r="D207" s="15" t="s">
        <v>116</v>
      </c>
      <c r="E207" s="15"/>
      <c r="F207" s="15" t="s">
        <v>118</v>
      </c>
      <c r="G207" s="15"/>
      <c r="H207" s="15">
        <v>1</v>
      </c>
      <c r="I207" s="15"/>
      <c r="J207" s="15" t="s">
        <v>109</v>
      </c>
      <c r="K207" s="15"/>
      <c r="L207" s="15" t="s">
        <v>669</v>
      </c>
      <c r="M207" s="15"/>
      <c r="N207" s="15"/>
      <c r="O207" s="15"/>
      <c r="P207" s="15"/>
    </row>
    <row r="208" spans="1:16" x14ac:dyDescent="0.2">
      <c r="A208" s="15" t="s">
        <v>672</v>
      </c>
      <c r="B208" s="15" t="s">
        <v>667</v>
      </c>
      <c r="C208" s="15" t="s">
        <v>1469</v>
      </c>
      <c r="D208" s="15" t="s">
        <v>120</v>
      </c>
      <c r="E208" s="15" t="s">
        <v>66</v>
      </c>
      <c r="F208" s="15" t="s">
        <v>118</v>
      </c>
      <c r="G208" s="15"/>
      <c r="H208" s="15">
        <v>1</v>
      </c>
      <c r="I208" s="15"/>
      <c r="J208" s="15" t="s">
        <v>109</v>
      </c>
      <c r="K208" s="15"/>
      <c r="L208" s="15" t="s">
        <v>669</v>
      </c>
      <c r="M208" s="15"/>
      <c r="N208" s="15"/>
      <c r="O208" s="15"/>
      <c r="P208" s="15"/>
    </row>
    <row r="209" spans="1:16" x14ac:dyDescent="0.2">
      <c r="A209" s="15" t="s">
        <v>673</v>
      </c>
      <c r="B209" s="15" t="s">
        <v>667</v>
      </c>
      <c r="C209" s="15" t="s">
        <v>1471</v>
      </c>
      <c r="D209" s="15" t="s">
        <v>121</v>
      </c>
      <c r="E209" s="15"/>
      <c r="F209" s="15" t="s">
        <v>118</v>
      </c>
      <c r="G209" s="15"/>
      <c r="H209" s="15">
        <v>1</v>
      </c>
      <c r="I209" s="15"/>
      <c r="J209" s="15" t="s">
        <v>109</v>
      </c>
      <c r="K209" s="15"/>
      <c r="L209" s="15" t="s">
        <v>669</v>
      </c>
      <c r="M209" s="15"/>
      <c r="N209" s="15"/>
      <c r="O209" s="15"/>
      <c r="P209" s="15"/>
    </row>
    <row r="210" spans="1:16" x14ac:dyDescent="0.2">
      <c r="A210" s="15" t="s">
        <v>674</v>
      </c>
      <c r="B210" s="15" t="s">
        <v>675</v>
      </c>
      <c r="C210" s="15" t="s">
        <v>1473</v>
      </c>
      <c r="D210" s="15" t="s">
        <v>116</v>
      </c>
      <c r="E210" s="15"/>
      <c r="F210" s="15" t="s">
        <v>118</v>
      </c>
      <c r="G210" s="15"/>
      <c r="H210" s="15">
        <v>1</v>
      </c>
      <c r="I210" s="15"/>
      <c r="J210" s="15" t="s">
        <v>109</v>
      </c>
      <c r="K210" s="15"/>
      <c r="L210" s="15" t="s">
        <v>669</v>
      </c>
      <c r="M210" s="15"/>
      <c r="N210" s="15"/>
      <c r="O210" s="15"/>
      <c r="P210" s="15"/>
    </row>
    <row r="211" spans="1:16" x14ac:dyDescent="0.2">
      <c r="A211" s="15" t="s">
        <v>678</v>
      </c>
      <c r="B211" s="15" t="s">
        <v>675</v>
      </c>
      <c r="C211" s="15" t="s">
        <v>1476</v>
      </c>
      <c r="D211" s="15" t="s">
        <v>120</v>
      </c>
      <c r="E211" s="15" t="s">
        <v>66</v>
      </c>
      <c r="F211" s="15" t="s">
        <v>118</v>
      </c>
      <c r="G211" s="15"/>
      <c r="H211" s="15">
        <v>1</v>
      </c>
      <c r="I211" s="15"/>
      <c r="J211" s="15" t="s">
        <v>109</v>
      </c>
      <c r="K211" s="15"/>
      <c r="L211" s="15" t="s">
        <v>669</v>
      </c>
      <c r="M211" s="15"/>
      <c r="N211" s="15"/>
      <c r="O211" s="15"/>
      <c r="P211" s="15"/>
    </row>
    <row r="212" spans="1:16" x14ac:dyDescent="0.2">
      <c r="A212" s="15" t="s">
        <v>679</v>
      </c>
      <c r="B212" s="15" t="s">
        <v>675</v>
      </c>
      <c r="C212" s="15" t="s">
        <v>1478</v>
      </c>
      <c r="D212" s="15" t="s">
        <v>121</v>
      </c>
      <c r="E212" s="15"/>
      <c r="F212" s="15" t="s">
        <v>118</v>
      </c>
      <c r="G212" s="15"/>
      <c r="H212" s="15">
        <v>1</v>
      </c>
      <c r="I212" s="15"/>
      <c r="J212" s="15" t="s">
        <v>109</v>
      </c>
      <c r="K212" s="15"/>
      <c r="L212" s="15" t="s">
        <v>669</v>
      </c>
      <c r="M212" s="15"/>
      <c r="N212" s="15"/>
      <c r="O212" s="15"/>
      <c r="P212" s="15"/>
    </row>
    <row r="213" spans="1:16" x14ac:dyDescent="0.2">
      <c r="A213" s="15" t="s">
        <v>680</v>
      </c>
      <c r="B213" s="15" t="s">
        <v>681</v>
      </c>
      <c r="C213" s="14" t="s">
        <v>444</v>
      </c>
      <c r="D213" s="15" t="s">
        <v>64</v>
      </c>
      <c r="E213" s="15" t="s">
        <v>66</v>
      </c>
      <c r="F213" s="15" t="s">
        <v>646</v>
      </c>
      <c r="G213" s="15"/>
      <c r="H213" s="15">
        <v>1</v>
      </c>
      <c r="I213" s="15"/>
      <c r="J213" s="15" t="s">
        <v>66</v>
      </c>
      <c r="K213" s="15"/>
      <c r="L213" s="15" t="s">
        <v>686</v>
      </c>
      <c r="M213" s="15"/>
      <c r="N213" s="15"/>
      <c r="O213" s="15"/>
      <c r="P213" s="15"/>
    </row>
    <row r="214" spans="1:16" x14ac:dyDescent="0.2">
      <c r="A214" s="15" t="s">
        <v>687</v>
      </c>
      <c r="B214" s="15" t="s">
        <v>688</v>
      </c>
      <c r="C214" s="14" t="s">
        <v>723</v>
      </c>
      <c r="D214" s="15" t="s">
        <v>64</v>
      </c>
      <c r="E214" s="15" t="s">
        <v>66</v>
      </c>
      <c r="F214" s="15" t="s">
        <v>107</v>
      </c>
      <c r="G214" s="15"/>
      <c r="H214" s="15">
        <v>1</v>
      </c>
      <c r="I214" s="15"/>
      <c r="J214" s="15" t="s">
        <v>66</v>
      </c>
      <c r="K214" s="15"/>
      <c r="L214" s="15" t="s">
        <v>690</v>
      </c>
      <c r="M214" s="15"/>
      <c r="N214" s="15"/>
      <c r="O214" s="15"/>
      <c r="P214" s="15"/>
    </row>
    <row r="215" spans="1:16" x14ac:dyDescent="0.2">
      <c r="A215" s="15" t="s">
        <v>692</v>
      </c>
      <c r="B215" s="15" t="s">
        <v>693</v>
      </c>
      <c r="C215" s="14" t="s">
        <v>728</v>
      </c>
      <c r="D215" s="15" t="s">
        <v>64</v>
      </c>
      <c r="E215" s="15" t="s">
        <v>66</v>
      </c>
      <c r="F215" s="15" t="s">
        <v>177</v>
      </c>
      <c r="G215" s="15"/>
      <c r="H215" s="15">
        <v>1</v>
      </c>
      <c r="I215" s="15"/>
      <c r="J215" s="15" t="s">
        <v>66</v>
      </c>
      <c r="K215" s="15"/>
      <c r="L215" s="15" t="s">
        <v>695</v>
      </c>
      <c r="M215" s="15"/>
      <c r="N215" s="15"/>
      <c r="O215" s="15"/>
      <c r="P215" s="15"/>
    </row>
    <row r="216" spans="1:16" x14ac:dyDescent="0.2">
      <c r="A216" s="15" t="s">
        <v>697</v>
      </c>
      <c r="B216" s="15" t="s">
        <v>698</v>
      </c>
      <c r="C216" s="14" t="s">
        <v>696</v>
      </c>
      <c r="D216" s="15" t="s">
        <v>64</v>
      </c>
      <c r="E216" s="15" t="s">
        <v>66</v>
      </c>
      <c r="F216" s="15" t="s">
        <v>646</v>
      </c>
      <c r="G216" s="15"/>
      <c r="H216" s="15">
        <v>1</v>
      </c>
      <c r="I216" s="15"/>
      <c r="J216" s="15" t="s">
        <v>66</v>
      </c>
      <c r="K216" s="15"/>
      <c r="L216" s="15" t="s">
        <v>701</v>
      </c>
      <c r="M216" s="15"/>
      <c r="N216" s="15"/>
      <c r="O216" s="15"/>
      <c r="P216" s="15"/>
    </row>
    <row r="217" spans="1:16" x14ac:dyDescent="0.2">
      <c r="A217" s="15" t="s">
        <v>702</v>
      </c>
      <c r="B217" s="15" t="s">
        <v>703</v>
      </c>
      <c r="C217" s="14" t="s">
        <v>733</v>
      </c>
      <c r="D217" s="15" t="s">
        <v>64</v>
      </c>
      <c r="E217" s="15" t="s">
        <v>66</v>
      </c>
      <c r="F217" s="15" t="s">
        <v>177</v>
      </c>
      <c r="G217" s="15"/>
      <c r="H217" s="15">
        <v>1</v>
      </c>
      <c r="I217" s="15"/>
      <c r="J217" s="15" t="s">
        <v>66</v>
      </c>
      <c r="K217" s="15"/>
      <c r="L217" s="15" t="s">
        <v>706</v>
      </c>
      <c r="M217" s="15"/>
      <c r="N217" s="15"/>
      <c r="O217" s="15"/>
      <c r="P217" s="15"/>
    </row>
    <row r="218" spans="1:16" x14ac:dyDescent="0.2">
      <c r="A218" s="15" t="s">
        <v>708</v>
      </c>
      <c r="B218" s="15" t="s">
        <v>709</v>
      </c>
      <c r="C218" s="15" t="s">
        <v>1498</v>
      </c>
      <c r="D218" s="15" t="s">
        <v>116</v>
      </c>
      <c r="E218" s="15"/>
      <c r="F218" s="15" t="s">
        <v>118</v>
      </c>
      <c r="G218" s="15"/>
      <c r="H218" s="15">
        <v>1</v>
      </c>
      <c r="I218" s="15"/>
      <c r="J218" s="15" t="s">
        <v>109</v>
      </c>
      <c r="K218" s="15"/>
      <c r="L218" s="15" t="s">
        <v>1532</v>
      </c>
      <c r="M218" s="15"/>
      <c r="N218" s="15"/>
      <c r="O218" s="15"/>
      <c r="P218" s="15"/>
    </row>
    <row r="219" spans="1:16" x14ac:dyDescent="0.2">
      <c r="A219" s="15" t="s">
        <v>713</v>
      </c>
      <c r="B219" s="15" t="s">
        <v>709</v>
      </c>
      <c r="C219" s="15" t="s">
        <v>1501</v>
      </c>
      <c r="D219" s="15" t="s">
        <v>120</v>
      </c>
      <c r="E219" s="15" t="s">
        <v>66</v>
      </c>
      <c r="F219" s="15" t="s">
        <v>118</v>
      </c>
      <c r="G219" s="15"/>
      <c r="H219" s="15">
        <v>1</v>
      </c>
      <c r="I219" s="15"/>
      <c r="J219" s="15" t="s">
        <v>109</v>
      </c>
      <c r="K219" s="15"/>
      <c r="L219" s="15" t="s">
        <v>669</v>
      </c>
      <c r="M219" s="15"/>
      <c r="N219" s="15"/>
      <c r="O219" s="15"/>
      <c r="P219" s="15"/>
    </row>
    <row r="220" spans="1:16" x14ac:dyDescent="0.2">
      <c r="A220" s="15" t="s">
        <v>714</v>
      </c>
      <c r="B220" s="15" t="s">
        <v>709</v>
      </c>
      <c r="C220" s="15" t="s">
        <v>1503</v>
      </c>
      <c r="D220" s="15" t="s">
        <v>121</v>
      </c>
      <c r="E220" s="15"/>
      <c r="F220" s="15" t="s">
        <v>118</v>
      </c>
      <c r="G220" s="15"/>
      <c r="H220" s="15">
        <v>1</v>
      </c>
      <c r="I220" s="15"/>
      <c r="J220" s="15" t="s">
        <v>109</v>
      </c>
      <c r="K220" s="15"/>
      <c r="L220" s="15" t="s">
        <v>669</v>
      </c>
      <c r="M220" s="15"/>
      <c r="N220" s="15"/>
      <c r="O220" s="15"/>
      <c r="P220" s="15"/>
    </row>
    <row r="221" spans="1:16" x14ac:dyDescent="0.2">
      <c r="A221" s="15" t="s">
        <v>715</v>
      </c>
      <c r="B221" s="15" t="s">
        <v>716</v>
      </c>
      <c r="C221" s="14" t="s">
        <v>707</v>
      </c>
      <c r="D221" s="15" t="s">
        <v>64</v>
      </c>
      <c r="E221" s="15" t="s">
        <v>66</v>
      </c>
      <c r="F221" s="15" t="s">
        <v>720</v>
      </c>
      <c r="G221" s="15"/>
      <c r="H221" s="15">
        <v>1</v>
      </c>
      <c r="I221" s="15"/>
      <c r="J221" s="15" t="s">
        <v>66</v>
      </c>
      <c r="K221" s="15"/>
      <c r="L221" s="15" t="s">
        <v>722</v>
      </c>
      <c r="M221" s="15"/>
      <c r="N221" s="15"/>
      <c r="O221" s="15"/>
      <c r="P221" s="15"/>
    </row>
    <row r="222" spans="1:16" x14ac:dyDescent="0.2">
      <c r="A222" s="15" t="s">
        <v>724</v>
      </c>
      <c r="B222" s="15" t="s">
        <v>725</v>
      </c>
      <c r="C222" s="14" t="s">
        <v>671</v>
      </c>
      <c r="D222" s="15" t="s">
        <v>64</v>
      </c>
      <c r="E222" s="15" t="s">
        <v>66</v>
      </c>
      <c r="F222" s="15" t="s">
        <v>646</v>
      </c>
      <c r="G222" s="15"/>
      <c r="H222" s="15">
        <v>1</v>
      </c>
      <c r="I222" s="15"/>
      <c r="J222" s="15" t="s">
        <v>66</v>
      </c>
      <c r="K222" s="15"/>
      <c r="L222" s="15" t="s">
        <v>727</v>
      </c>
      <c r="M222" s="15"/>
      <c r="N222" s="15"/>
      <c r="O222" s="15"/>
      <c r="P222" s="15"/>
    </row>
    <row r="223" spans="1:16" x14ac:dyDescent="0.2">
      <c r="A223" s="15" t="s">
        <v>729</v>
      </c>
      <c r="B223" s="15" t="s">
        <v>730</v>
      </c>
      <c r="C223" s="14" t="s">
        <v>677</v>
      </c>
      <c r="D223" s="15" t="s">
        <v>64</v>
      </c>
      <c r="E223" s="15" t="s">
        <v>66</v>
      </c>
      <c r="F223" s="15" t="s">
        <v>107</v>
      </c>
      <c r="G223" s="15"/>
      <c r="H223" s="15">
        <v>1</v>
      </c>
      <c r="I223" s="15"/>
      <c r="J223" s="15" t="s">
        <v>66</v>
      </c>
      <c r="K223" s="15"/>
      <c r="L223" s="15" t="s">
        <v>732</v>
      </c>
      <c r="M223" s="15"/>
      <c r="N223" s="15"/>
      <c r="O223" s="15"/>
      <c r="P223" s="15"/>
    </row>
    <row r="224" spans="1:16" x14ac:dyDescent="0.2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Instructions</vt:lpstr>
      <vt:lpstr>2. Rates</vt:lpstr>
      <vt:lpstr>3. Settings</vt:lpstr>
      <vt:lpstr>4. Scope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Nabil kayali</cp:lastModifiedBy>
  <cp:revision>0</cp:revision>
  <dcterms:created xsi:type="dcterms:W3CDTF">2026-09-23T11:59:34Z</dcterms:created>
  <dcterms:modified xsi:type="dcterms:W3CDTF">2026-09-28T20:56:28Z</dcterms:modified>
  <dc:language>en-US</dc:language>
</cp:coreProperties>
</file>