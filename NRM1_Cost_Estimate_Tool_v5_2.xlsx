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<sst xmlns="http://schemas.openxmlformats.org/spreadsheetml/2006/main" count="4226" uniqueCount="1752">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</sst>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1"/>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1744</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51" x14ac:dyDescent="0.2">
      <c r="A21" s="15" t="s">
        <v>1708</v>
      </c>
      <c r="B21" s="17" t="s">
        <v>1745</v>
      </c>
      <c r="C21" s="33"/>
    </row>
    <row r="22" spans="1:3" ht="63.75" customHeight="1" x14ac:dyDescent="0.2">
      <c r="A22" s="15" t="s">
        <v>1746</v>
      </c>
      <c r="B22" s="17" t="s">
        <v>1747</v>
      </c>
      <c r="C22" s="33"/>
    </row>
    <row r="23" spans="1:3" x14ac:dyDescent="0.2">
      <c r="A23" s="13" t="s">
        <v>1568</v>
      </c>
      <c r="B23" s="16"/>
      <c r="C23" s="34"/>
    </row>
    <row r="24" spans="1:3" x14ac:dyDescent="0.2">
      <c r="A24" s="15" t="s">
        <v>1076</v>
      </c>
      <c r="B24" s="17" t="s">
        <v>1569</v>
      </c>
      <c r="C24" s="33"/>
    </row>
    <row r="25" spans="1:3" x14ac:dyDescent="0.2">
      <c r="A25" s="15" t="s">
        <v>1098</v>
      </c>
      <c r="B25" s="17" t="s">
        <v>1570</v>
      </c>
      <c r="C25" s="33"/>
    </row>
    <row r="26" spans="1:3" x14ac:dyDescent="0.2">
      <c r="A26" s="15" t="s">
        <v>1118</v>
      </c>
      <c r="B26" s="17" t="s">
        <v>1571</v>
      </c>
      <c r="C26" s="33"/>
    </row>
    <row r="27" spans="1:3" x14ac:dyDescent="0.2">
      <c r="A27" s="15" t="s">
        <v>1179</v>
      </c>
      <c r="B27" s="17" t="s">
        <v>1572</v>
      </c>
      <c r="C27" s="33"/>
    </row>
    <row r="28" spans="1:3" x14ac:dyDescent="0.2">
      <c r="A28" s="15" t="s">
        <v>1174</v>
      </c>
      <c r="B28" s="17" t="s">
        <v>1573</v>
      </c>
      <c r="C28" s="33"/>
    </row>
    <row r="29" spans="1:3" x14ac:dyDescent="0.2">
      <c r="A29" s="15" t="s">
        <v>1637</v>
      </c>
      <c r="B29" s="17" t="s">
        <v>1710</v>
      </c>
      <c r="C29" s="33"/>
    </row>
    <row r="30" spans="1:3" x14ac:dyDescent="0.2">
      <c r="A30" s="15"/>
      <c r="B30" s="17"/>
      <c r="C30" s="33"/>
    </row>
    <row r="31" spans="1:3" x14ac:dyDescent="0.2">
      <c r="A31" s="13" t="s">
        <v>7</v>
      </c>
      <c r="B31" s="16"/>
      <c r="C31" s="34"/>
    </row>
    <row r="32" spans="1:3" x14ac:dyDescent="0.2">
      <c r="A32" s="15" t="s">
        <v>1574</v>
      </c>
      <c r="B32" s="17" t="s">
        <v>1575</v>
      </c>
      <c r="C32" s="33"/>
    </row>
    <row r="33" spans="1:3" x14ac:dyDescent="0.2">
      <c r="A33" s="15" t="s">
        <v>8</v>
      </c>
      <c r="B33" s="17" t="s">
        <v>1576</v>
      </c>
      <c r="C33" s="33"/>
    </row>
    <row r="34" spans="1:3" x14ac:dyDescent="0.2">
      <c r="A34" s="15" t="s">
        <v>1577</v>
      </c>
      <c r="B34" s="17" t="s">
        <v>1578</v>
      </c>
      <c r="C34" s="33"/>
    </row>
    <row r="35" spans="1:3" x14ac:dyDescent="0.2">
      <c r="A35" s="15" t="s">
        <v>1579</v>
      </c>
      <c r="B35" s="32" t="s">
        <v>1580</v>
      </c>
      <c r="C35" s="33"/>
    </row>
    <row r="36" spans="1:3" x14ac:dyDescent="0.2">
      <c r="A36" s="15" t="s">
        <v>1581</v>
      </c>
      <c r="B36" s="32" t="s">
        <v>1582</v>
      </c>
      <c r="C36" s="33"/>
    </row>
    <row r="37" spans="1:3" x14ac:dyDescent="0.2">
      <c r="A37" s="15" t="s">
        <v>9</v>
      </c>
      <c r="B37" s="17" t="s">
        <v>1583</v>
      </c>
      <c r="C37" s="33"/>
    </row>
    <row r="38" spans="1:3" x14ac:dyDescent="0.2">
      <c r="A38" s="15" t="s">
        <v>2</v>
      </c>
      <c r="B38" s="17" t="s">
        <v>1584</v>
      </c>
      <c r="C38" s="33"/>
    </row>
    <row r="39" spans="1:3" x14ac:dyDescent="0.2">
      <c r="A39" s="15"/>
      <c r="B39" s="17"/>
      <c r="C39" s="33"/>
    </row>
    <row r="40" spans="1:3" x14ac:dyDescent="0.2">
      <c r="A40" s="13" t="s">
        <v>1585</v>
      </c>
      <c r="B40" s="16"/>
      <c r="C40" s="34"/>
    </row>
    <row r="41" spans="1:3" ht="25.5" x14ac:dyDescent="0.2">
      <c r="A41" s="15" t="s">
        <v>1586</v>
      </c>
      <c r="B41" s="17" t="s">
        <v>1587</v>
      </c>
      <c r="C41" s="33"/>
    </row>
    <row r="42" spans="1:3" ht="25.5" x14ac:dyDescent="0.2">
      <c r="A42" s="15" t="s">
        <v>1588</v>
      </c>
      <c r="B42" s="17" t="s">
        <v>3</v>
      </c>
      <c r="C42" s="33"/>
    </row>
    <row r="43" spans="1:3" x14ac:dyDescent="0.2">
      <c r="A43" s="15" t="s">
        <v>1589</v>
      </c>
      <c r="B43" s="17" t="s">
        <v>1590</v>
      </c>
      <c r="C43" s="33"/>
    </row>
    <row r="44" spans="1:3" x14ac:dyDescent="0.2">
      <c r="A44" s="15" t="s">
        <v>1591</v>
      </c>
      <c r="B44" s="17" t="s">
        <v>1592</v>
      </c>
      <c r="C44" s="33"/>
    </row>
    <row r="45" spans="1:3" x14ac:dyDescent="0.2">
      <c r="A45" s="15" t="s">
        <v>5</v>
      </c>
      <c r="B45" s="17" t="s">
        <v>1593</v>
      </c>
      <c r="C45" s="33"/>
    </row>
    <row r="46" spans="1:3" ht="25.5" x14ac:dyDescent="0.2">
      <c r="A46" s="15" t="s">
        <v>40</v>
      </c>
      <c r="B46" s="17" t="s">
        <v>1633</v>
      </c>
      <c r="C46" s="33"/>
    </row>
    <row r="47" spans="1:3" x14ac:dyDescent="0.2">
      <c r="A47" s="15" t="s">
        <v>43</v>
      </c>
      <c r="B47" s="17" t="s">
        <v>1594</v>
      </c>
      <c r="C47" s="33"/>
    </row>
    <row r="48" spans="1:3" ht="25.5" x14ac:dyDescent="0.2">
      <c r="A48" s="15" t="s">
        <v>1595</v>
      </c>
      <c r="B48" s="17" t="s">
        <v>1596</v>
      </c>
      <c r="C48" s="33"/>
    </row>
    <row r="49" spans="1:3" ht="25.5" x14ac:dyDescent="0.2">
      <c r="A49" s="15" t="s">
        <v>1597</v>
      </c>
      <c r="B49" s="17" t="s">
        <v>1598</v>
      </c>
      <c r="C49" s="33"/>
    </row>
    <row r="50" spans="1:3" x14ac:dyDescent="0.2">
      <c r="A50" s="15" t="s">
        <v>1599</v>
      </c>
      <c r="B50" s="17" t="s">
        <v>1600</v>
      </c>
      <c r="C50" s="33"/>
    </row>
    <row r="51" spans="1:3" x14ac:dyDescent="0.2">
      <c r="A51" s="15" t="s">
        <v>1601</v>
      </c>
      <c r="B51" s="17" t="s">
        <v>1602</v>
      </c>
      <c r="C51" s="33"/>
    </row>
    <row r="52" spans="1:3" x14ac:dyDescent="0.2">
      <c r="A52" s="15" t="s">
        <v>4</v>
      </c>
      <c r="B52" s="17" t="s">
        <v>1603</v>
      </c>
      <c r="C52" s="33"/>
    </row>
    <row r="53" spans="1:3" ht="25.5" x14ac:dyDescent="0.2">
      <c r="A53" s="15" t="s">
        <v>6</v>
      </c>
      <c r="B53" s="17" t="s">
        <v>1604</v>
      </c>
      <c r="C53" s="33"/>
    </row>
    <row r="54" spans="1:3" x14ac:dyDescent="0.2">
      <c r="A54" s="15" t="s">
        <v>1605</v>
      </c>
      <c r="B54" s="17" t="s">
        <v>1606</v>
      </c>
      <c r="C54" s="33"/>
    </row>
    <row r="55" spans="1:3" x14ac:dyDescent="0.2">
      <c r="A55" s="15" t="s">
        <v>46</v>
      </c>
      <c r="B55" s="17" t="s">
        <v>1607</v>
      </c>
      <c r="C55" s="33"/>
    </row>
    <row r="56" spans="1:3" x14ac:dyDescent="0.2">
      <c r="A56" s="15" t="s">
        <v>1608</v>
      </c>
      <c r="B56" s="17" t="s">
        <v>1609</v>
      </c>
      <c r="C56" s="33"/>
    </row>
    <row r="57" spans="1:3" x14ac:dyDescent="0.2">
      <c r="A57" s="15" t="s">
        <v>56</v>
      </c>
      <c r="B57" s="17" t="s">
        <v>1610</v>
      </c>
      <c r="C57" s="33"/>
    </row>
    <row r="58" spans="1:3" x14ac:dyDescent="0.2">
      <c r="A58" s="15"/>
      <c r="B58" s="17"/>
      <c r="C58" s="33"/>
    </row>
    <row r="59" spans="1:3" x14ac:dyDescent="0.2">
      <c r="A59" s="13" t="s">
        <v>11</v>
      </c>
      <c r="B59" s="16"/>
      <c r="C59" s="34"/>
    </row>
    <row r="60" spans="1:3" x14ac:dyDescent="0.2">
      <c r="A60" s="15" t="s">
        <v>1611</v>
      </c>
      <c r="B60" s="17"/>
      <c r="C60" s="33">
        <f>SUMPRODUCT(('2. Rates'!O6:O152&lt;&gt;"")*(COUNTIF('2. Rates'!O6:O152,'2. Rates'!O6:O152)&gt;1))</f>
        <v>0</v>
      </c>
    </row>
    <row r="61" spans="1:3" x14ac:dyDescent="0.2">
      <c r="A61" s="15" t="s">
        <v>1612</v>
      </c>
      <c r="B61" s="17"/>
      <c r="C61" s="33">
        <f>SUMPRODUCT(('2. Rates'!O6:O152&lt;&gt;"")*(COUNTIF('4. Scope rules'!A91:A229,'2. Rates'!O6:O152)=0))</f>
        <v>0</v>
      </c>
    </row>
    <row r="62" spans="1:3" x14ac:dyDescent="0.2">
      <c r="A62" s="15" t="s">
        <v>1613</v>
      </c>
      <c r="B62" s="17"/>
      <c r="C62" s="33">
        <f>SUMPRODUCT(('4. Scope rules'!A91:A229&lt;&gt;"")*(COUNTIF('2. Rates'!O6:O152,'4. Scope rules'!A91:A229)=0))</f>
        <v>0</v>
      </c>
    </row>
    <row r="63" spans="1:3" x14ac:dyDescent="0.2">
      <c r="A63" s="15" t="s">
        <v>1614</v>
      </c>
      <c r="B63" s="17"/>
      <c r="C63" s="33">
        <f>SUMPRODUCT(('4. Scope rules'!A91:A229&lt;&gt;"")*(COUNTIF('4. Scope rules'!A6:A87,'4. Scope rules'!B91:B229)=0))</f>
        <v>0</v>
      </c>
    </row>
    <row r="64" spans="1:3" x14ac:dyDescent="0.2">
      <c r="A64" s="15" t="s">
        <v>1615</v>
      </c>
      <c r="B64" s="17"/>
      <c r="C64" s="33">
        <f>SUMPRODUCT(('2. Rates'!O6:O152&lt;&gt;"")*('2. Rates'!M6:M152=""))</f>
        <v>0</v>
      </c>
    </row>
    <row r="65" spans="1:3" x14ac:dyDescent="0.2">
      <c r="A65" s="15" t="s">
        <v>1616</v>
      </c>
      <c r="B65" s="17"/>
      <c r="C65" s="33">
        <f>SUMPRODUCT(('4. Scope rules'!A6:A87&lt;&gt;"")*(ROUND('4. Scope rules'!M6:M87+'4. Scope rules'!O6:O87,4)&lt;&gt;1))</f>
        <v>0</v>
      </c>
    </row>
    <row r="66" spans="1:3" x14ac:dyDescent="0.2">
      <c r="A66" s="15" t="s">
        <v>14</v>
      </c>
      <c r="B66" s="17"/>
      <c r="C66" s="33">
        <f>SUMPRODUCT(('4. Scope rules'!A6:A87&lt;&gt;"")*(COUNTIFS('4. Scope rules'!B91:B229,'4. Scope rules'!A6:A87,'4. Scope rules'!E91:E229,"Yes")=0))</f>
        <v>0</v>
      </c>
    </row>
    <row r="67" spans="1:3" x14ac:dyDescent="0.2">
      <c r="A67" s="15" t="s">
        <v>1617</v>
      </c>
      <c r="B67" s="17"/>
      <c r="C67" s="33">
        <f>SUMPRODUCT(('4. Scope rules'!A6:A87&lt;&gt;"")*('4. Scope rules'!F6:F87="One")*(COUNTIFS('4. Scope rules'!B91:B229,'4. Scope rules'!A6:A87,'4. Scope rules'!E91:E229,"Yes")&gt;1))</f>
        <v>0</v>
      </c>
    </row>
    <row r="68" spans="1:3" x14ac:dyDescent="0.2">
      <c r="A68" s="15" t="s">
        <v>1618</v>
      </c>
      <c r="B68" s="17"/>
      <c r="C68" s="33">
        <f>SUMPRODUCT(('4. Scope rules'!A6:A87&lt;&gt;"")*('4. Scope rules'!G6:G87=""))</f>
        <v>0</v>
      </c>
    </row>
    <row r="69" spans="1:3" x14ac:dyDescent="0.2">
      <c r="A69" s="15" t="s">
        <v>12</v>
      </c>
      <c r="B69" s="17"/>
      <c r="C69"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0" spans="1:3" x14ac:dyDescent="0.2">
      <c r="A70" s="15" t="s">
        <v>13</v>
      </c>
      <c r="B70" s="17"/>
      <c r="C70"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1" spans="1:3" x14ac:dyDescent="0.2">
      <c r="A71" s="15" t="s">
        <v>15</v>
      </c>
      <c r="B71" s="17"/>
      <c r="C71" s="33">
        <f>SUMPRODUCT(('3. Settings'!A96:A123&lt;&gt;"")*(COUNTIFS('3. Settings'!A96:A123,'3. Settings'!A96:A123,'3. Settings'!B96:B123,"ALL")=0))</f>
        <v>0</v>
      </c>
    </row>
    <row r="72" spans="1:3" x14ac:dyDescent="0.2">
      <c r="A72" s="15" t="s">
        <v>16</v>
      </c>
      <c r="B72" s="17"/>
      <c r="C72" s="33">
        <f>SUMPRODUCT(('3. Settings'!A96:A123&lt;&gt;"")*('3. Settings'!C96:C123=""))</f>
        <v>0</v>
      </c>
    </row>
    <row r="73" spans="1:3" x14ac:dyDescent="0.2">
      <c r="A73" s="15"/>
      <c r="B73" s="17"/>
      <c r="C73" s="33"/>
    </row>
    <row r="74" spans="1:3" x14ac:dyDescent="0.2">
      <c r="A74" s="13" t="s">
        <v>17</v>
      </c>
      <c r="B74" s="16"/>
      <c r="C74" s="34"/>
    </row>
    <row r="75" spans="1:3" x14ac:dyDescent="0.2">
      <c r="A75" s="15" t="s">
        <v>18</v>
      </c>
      <c r="B75" s="17"/>
      <c r="C75" s="33">
        <f>COUNTA('4. Scope rules'!A6:A87)</f>
        <v>82</v>
      </c>
    </row>
    <row r="76" spans="1:3" x14ac:dyDescent="0.2">
      <c r="A76" s="15" t="s">
        <v>1619</v>
      </c>
      <c r="B76" s="17"/>
      <c r="C76" s="33">
        <f>COUNTA('2. Rates'!O6:O152)</f>
        <v>139</v>
      </c>
    </row>
    <row r="77" spans="1:3" x14ac:dyDescent="0.2">
      <c r="A77" s="15"/>
      <c r="B77" s="17"/>
      <c r="C77" s="33"/>
    </row>
    <row r="78" spans="1:3" x14ac:dyDescent="0.2">
      <c r="A78" s="13" t="s">
        <v>22</v>
      </c>
      <c r="B78" s="16"/>
      <c r="C78" s="34"/>
    </row>
    <row r="79" spans="1:3" s="54" customFormat="1" ht="89.25" customHeight="1" x14ac:dyDescent="0.2">
      <c r="A79" s="17" t="s">
        <v>1748</v>
      </c>
      <c r="B79" s="17" t="s">
        <v>1749</v>
      </c>
      <c r="C79" s="60"/>
    </row>
    <row r="80" spans="1:3" s="54" customFormat="1" ht="76.5" x14ac:dyDescent="0.2">
      <c r="A80" s="17" t="s">
        <v>1722</v>
      </c>
      <c r="B80" s="17" t="s">
        <v>1737</v>
      </c>
      <c r="C80" s="60"/>
    </row>
    <row r="81" spans="1:3" s="54" customFormat="1" ht="76.5" x14ac:dyDescent="0.2">
      <c r="A81" s="17" t="s">
        <v>1711</v>
      </c>
      <c r="B81" s="17" t="s">
        <v>1712</v>
      </c>
      <c r="C81" s="60"/>
    </row>
    <row r="82" spans="1:3" s="54" customFormat="1" ht="76.5" x14ac:dyDescent="0.2">
      <c r="A82" s="17" t="s">
        <v>1632</v>
      </c>
      <c r="B82" s="17" t="s">
        <v>1634</v>
      </c>
      <c r="C82" s="60"/>
    </row>
    <row r="83" spans="1:3" ht="102" x14ac:dyDescent="0.2">
      <c r="A83" s="15" t="s">
        <v>1620</v>
      </c>
      <c r="B83" s="17" t="s">
        <v>1621</v>
      </c>
      <c r="C83" s="33"/>
    </row>
    <row r="84" spans="1:3" ht="51" x14ac:dyDescent="0.2">
      <c r="A84" s="15" t="s">
        <v>1060</v>
      </c>
      <c r="B84" s="17" t="s">
        <v>1061</v>
      </c>
      <c r="C84" s="33"/>
    </row>
    <row r="85" spans="1:3" ht="38.25" x14ac:dyDescent="0.2">
      <c r="A85" s="15" t="s">
        <v>1051</v>
      </c>
      <c r="B85" s="17" t="s">
        <v>1052</v>
      </c>
      <c r="C85" s="33"/>
    </row>
    <row r="86" spans="1:3" x14ac:dyDescent="0.2">
      <c r="A86" s="15" t="s">
        <v>23</v>
      </c>
      <c r="B86" s="17" t="s">
        <v>24</v>
      </c>
      <c r="C86" s="33"/>
    </row>
    <row r="87" spans="1:3" ht="38.25" x14ac:dyDescent="0.2">
      <c r="A87" s="15" t="s">
        <v>25</v>
      </c>
      <c r="B87" s="17" t="s">
        <v>26</v>
      </c>
      <c r="C87" s="33"/>
    </row>
    <row r="88" spans="1:3" ht="25.5" x14ac:dyDescent="0.2">
      <c r="A88" s="15" t="s">
        <v>27</v>
      </c>
      <c r="B88" s="17" t="s">
        <v>28</v>
      </c>
      <c r="C88" s="33"/>
    </row>
    <row r="89" spans="1:3" x14ac:dyDescent="0.2">
      <c r="A89" s="15" t="s">
        <v>29</v>
      </c>
      <c r="B89" s="17" t="s">
        <v>30</v>
      </c>
      <c r="C89" s="33"/>
    </row>
    <row r="90" spans="1:3" x14ac:dyDescent="0.2">
      <c r="A90" s="15" t="s">
        <v>31</v>
      </c>
      <c r="B90" s="17" t="s">
        <v>32</v>
      </c>
      <c r="C90" s="33"/>
    </row>
    <row r="91" spans="1:3" x14ac:dyDescent="0.2">
      <c r="A91" s="15"/>
      <c r="B91" s="17"/>
      <c r="C91"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R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6384" width="9.140625" style="8"/>
  </cols>
  <sheetData>
    <row r="1" spans="1:16" ht="18" x14ac:dyDescent="0.25">
      <c r="A1" s="9" t="s">
        <v>1062</v>
      </c>
    </row>
    <row r="2" spans="1:16" x14ac:dyDescent="0.2">
      <c r="A2" s="10" t="s">
        <v>1063</v>
      </c>
    </row>
    <row r="3" spans="1:16" x14ac:dyDescent="0.2">
      <c r="A3" s="10" t="s">
        <v>1064</v>
      </c>
    </row>
    <row r="5" spans="1:1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1738</v>
      </c>
      <c r="R5" s="12" t="s">
        <v>1739</v>
      </c>
    </row>
    <row r="6" spans="1:16" x14ac:dyDescent="0.2">
      <c r="A6" s="18" t="s">
        <v>1072</v>
      </c>
      <c r="B6" s="19"/>
      <c r="C6" s="19"/>
      <c r="D6" s="18"/>
      <c r="E6" s="19"/>
      <c r="F6" s="19"/>
      <c r="G6" s="18"/>
      <c r="H6" s="37"/>
      <c r="I6" s="38"/>
      <c r="J6" s="37"/>
      <c r="K6" s="38"/>
      <c r="L6" s="37"/>
      <c r="M6" s="19"/>
      <c r="N6" s="19"/>
      <c r="O6" s="20"/>
    </row>
    <row r="7" spans="1:1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1740</v>
      </c>
      <c r="R7" s="22">
        <v>10.1</v>
      </c>
    </row>
    <row r="8" spans="1:18"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c r="Q8" s="22" t="s">
        <v>1741</v>
      </c>
      <c r="R8" s="22">
        <v>91.4</v>
      </c>
    </row>
    <row r="9" spans="1:17" ht="38.2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1665</v>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1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1742</v>
      </c>
      <c r="R13" s="22">
        <v>40.2</v>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17" ht="102"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1713</v>
      </c>
    </row>
    <row r="26" spans="1:17"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row>
    <row r="27" spans="1:17"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1730</v>
      </c>
    </row>
    <row r="28" spans="1:17" ht="165.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1731</v>
      </c>
    </row>
    <row r="29" spans="1:15"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row>
    <row r="30" spans="1:15"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row>
    <row r="31" spans="1:17" ht="38.25"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1677</v>
      </c>
    </row>
    <row r="32" spans="1:15" x14ac:dyDescent="0.2">
      <c r="A32" s="25" t="s">
        <v>1149</v>
      </c>
      <c r="B32" s="26"/>
      <c r="C32" s="26"/>
      <c r="D32" s="25"/>
      <c r="E32" s="26"/>
      <c r="F32" s="26"/>
      <c r="G32" s="25"/>
      <c r="H32" s="41"/>
      <c r="I32" s="42"/>
      <c r="J32" s="41"/>
      <c r="K32" s="42"/>
      <c r="L32" s="41"/>
      <c r="M32" s="26"/>
      <c r="N32" s="26"/>
      <c r="O32" s="27"/>
    </row>
    <row r="33" spans="1:17" ht="25.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1678</v>
      </c>
    </row>
    <row r="34" spans="1:17"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17" ht="25.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1658</v>
      </c>
    </row>
    <row r="37" spans="1:17"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row>
    <row r="38" spans="1:17" ht="25.5"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1654</v>
      </c>
    </row>
    <row r="39" spans="1:16" x14ac:dyDescent="0.2">
      <c r="A39" s="25" t="s">
        <v>1163</v>
      </c>
      <c r="B39" s="26"/>
      <c r="C39" s="26"/>
      <c r="D39" s="25"/>
      <c r="E39" s="26"/>
      <c r="F39" s="26"/>
      <c r="G39" s="25"/>
      <c r="H39" s="41"/>
      <c r="I39" s="42"/>
      <c r="J39" s="41"/>
      <c r="K39" s="42"/>
      <c r="L39" s="41"/>
      <c r="M39" s="26"/>
      <c r="N39" s="26"/>
      <c r="O39" s="27"/>
    </row>
    <row r="40" spans="1:16"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row>
    <row r="41" spans="1:16"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17" ht="25.5"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49" t="s">
        <v>1666</v>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17"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row>
    <row r="47" spans="1:16"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row>
    <row r="48" spans="1:16" ht="25.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row>
    <row r="49" spans="1:16"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15"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17" ht="140.2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1732</v>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15"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15" ht="38.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row>
    <row r="79" spans="1:17"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row>
    <row r="80" spans="1:17" ht="25.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1682</v>
      </c>
    </row>
    <row r="81" spans="1:17" ht="25.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1649</v>
      </c>
    </row>
    <row r="82" spans="1:15"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row>
    <row r="83" spans="1:15" ht="25.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15"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row>
    <row r="88" spans="1:17" ht="25.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1668</v>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17" ht="25.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1683</v>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17" ht="25.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1685</v>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17"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row>
    <row r="103" spans="1:17" ht="25.5"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1643</v>
      </c>
    </row>
    <row r="104" spans="1:17" x14ac:dyDescent="0.2">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1687</v>
      </c>
    </row>
    <row r="105" spans="1:15" ht="25.5"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17"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1733</v>
      </c>
    </row>
    <row r="124" spans="1:17" ht="38.2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1639</v>
      </c>
    </row>
    <row r="125" spans="1:15" x14ac:dyDescent="0.2">
      <c r="A125" s="25" t="s">
        <v>1434</v>
      </c>
      <c r="B125" s="26"/>
      <c r="C125" s="26"/>
      <c r="D125" s="25"/>
      <c r="E125" s="26"/>
      <c r="F125" s="26"/>
      <c r="G125" s="25"/>
      <c r="H125" s="41"/>
      <c r="I125" s="42"/>
      <c r="J125" s="41"/>
      <c r="K125" s="42"/>
      <c r="L125" s="41"/>
      <c r="M125" s="26"/>
      <c r="N125" s="26"/>
      <c r="O125" s="27"/>
    </row>
    <row r="126" spans="1:17"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5" ht="25.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row>
    <row r="129" spans="1:15"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15"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row>
    <row r="135" spans="1:15"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1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1743</v>
      </c>
      <c r="R145" s="22">
        <v>2.2</v>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1750</v>
      </c>
      <c r="C6" s="2" t="s">
        <v>750</v>
      </c>
    </row>
    <row r="7" spans="1:7" x14ac:dyDescent="0.25">
      <c r="A7" s="2" t="s">
        <v>751</v>
      </c>
      <c r="B7" s="30" t="s">
        <v>1751</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