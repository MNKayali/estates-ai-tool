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<sst xmlns="http://schemas.openxmlformats.org/spreadsheetml/2006/main" count="4236" uniqueCount="1790">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</sst>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5"/>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1788</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v5.11 — 4 Oct 2026</t>
        </is>
      </c>
      <c r="B81"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t>
        </is>
      </c>
    </row>
    <row r="82" spans="1:3" s="54" customFormat="1" ht="104.0" customHeight="1" x14ac:dyDescent="0.2">
      <c r="A82" s="17" t="s">
        <v>1778</v>
      </c>
      <c r="B82" s="17" t="s">
        <v>1779</v>
      </c>
      <c r="C82" s="60"/>
    </row>
    <row r="83" spans="1:3" s="54" customFormat="1" ht="89.25" customHeight="1" x14ac:dyDescent="0.2">
      <c r="A83" s="17" t="s">
        <v>1748</v>
      </c>
      <c r="B83" s="17" t="s">
        <v>1783</v>
      </c>
      <c r="C83" s="60"/>
    </row>
    <row r="84" spans="1:3" s="54" customFormat="1" ht="76.5" x14ac:dyDescent="0.2">
      <c r="A84" s="17" t="s">
        <v>1722</v>
      </c>
      <c r="B84" s="17" t="s">
        <v>1737</v>
      </c>
      <c r="C84" s="60"/>
    </row>
    <row r="85" spans="1:3" s="54" customFormat="1" ht="76.5" x14ac:dyDescent="0.2">
      <c r="A85" s="17" t="s">
        <v>1711</v>
      </c>
      <c r="B85" s="17" t="s">
        <v>1712</v>
      </c>
      <c r="C85" s="60"/>
    </row>
    <row r="86" spans="1:3" s="54" customFormat="1" ht="76.5" x14ac:dyDescent="0.2">
      <c r="A86" s="17" t="s">
        <v>1632</v>
      </c>
      <c r="B86" s="17" t="s">
        <v>1634</v>
      </c>
      <c r="C86" s="60"/>
    </row>
    <row r="87" spans="1:3" ht="102" x14ac:dyDescent="0.2">
      <c r="A87" s="15" t="s">
        <v>1620</v>
      </c>
      <c r="B87" s="17" t="s">
        <v>1621</v>
      </c>
      <c r="C87" s="33"/>
    </row>
    <row r="88" spans="1:3" ht="51" x14ac:dyDescent="0.2">
      <c r="A88" s="15" t="s">
        <v>1060</v>
      </c>
      <c r="B88" s="17" t="s">
        <v>1061</v>
      </c>
      <c r="C88" s="33"/>
    </row>
    <row r="89" spans="1:3" ht="38.25" x14ac:dyDescent="0.2">
      <c r="A89" s="15" t="s">
        <v>1051</v>
      </c>
      <c r="B89" s="17" t="s">
        <v>1052</v>
      </c>
      <c r="C89" s="33"/>
    </row>
    <row r="90" spans="1:3" x14ac:dyDescent="0.2">
      <c r="A90" s="15" t="s">
        <v>23</v>
      </c>
      <c r="B90" s="17" t="s">
        <v>24</v>
      </c>
      <c r="C90" s="33"/>
    </row>
    <row r="91" spans="1:3" ht="38.25" x14ac:dyDescent="0.2">
      <c r="A91" s="15" t="s">
        <v>25</v>
      </c>
      <c r="B91" s="17" t="s">
        <v>26</v>
      </c>
      <c r="C91" s="33"/>
    </row>
    <row r="92" spans="1:3" ht="25.5" x14ac:dyDescent="0.2">
      <c r="A92" s="15" t="s">
        <v>27</v>
      </c>
      <c r="B92" s="17" t="s">
        <v>28</v>
      </c>
      <c r="C92" s="33"/>
    </row>
    <row r="93" spans="1:3" x14ac:dyDescent="0.2">
      <c r="A93" s="15" t="s">
        <v>29</v>
      </c>
      <c r="B93" s="17" t="s">
        <v>30</v>
      </c>
      <c r="C93" s="33"/>
    </row>
    <row r="94" spans="1:3" x14ac:dyDescent="0.2">
      <c r="A94" s="15" t="s">
        <v>31</v>
      </c>
      <c r="B94" s="17" t="s">
        <v>32</v>
      </c>
      <c r="C94" s="33"/>
    </row>
    <row r="95" spans="1:3" x14ac:dyDescent="0.2">
      <c r="A95" s="15"/>
      <c r="B95" s="17"/>
      <c r="C95"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Z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16384" width="9.140625" style="8"/>
  </cols>
  <sheetData>
    <row r="1" spans="1:16" ht="18" x14ac:dyDescent="0.25">
      <c r="A1" s="9" t="s">
        <v>1062</v>
      </c>
    </row>
    <row r="2" spans="1:16" x14ac:dyDescent="0.2">
      <c r="A2" s="10" t="s">
        <v>1063</v>
      </c>
    </row>
    <row r="3" spans="1:16" x14ac:dyDescent="0.2">
      <c r="A3" s="10" t="s">
        <v>1064</v>
      </c>
    </row>
    <row r="5" spans="1:26"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row>
    <row r="6" spans="1:16" x14ac:dyDescent="0.2">
      <c r="A6" s="18" t="s">
        <v>1072</v>
      </c>
      <c r="B6" s="19"/>
      <c r="C6" s="19"/>
      <c r="D6" s="18"/>
      <c r="E6" s="19"/>
      <c r="F6" s="19"/>
      <c r="G6" s="18"/>
      <c r="H6" s="37"/>
      <c r="I6" s="38"/>
      <c r="J6" s="37"/>
      <c r="K6" s="38"/>
      <c r="L6" s="37"/>
      <c r="M6" s="19"/>
      <c r="N6" s="19"/>
      <c r="O6" s="20"/>
    </row>
    <row r="7" spans="1:26"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row>
    <row r="8" spans="1:26"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c r="Q8" s="22" t="s">
        <v>1785</v>
      </c>
      <c r="R8" s="22" t="n">
        <v>73.3</v>
      </c>
      <c r="Z8" s="40">
        <f>AVERAGE(R8:Y8)</f>
        <v>73.3</v>
      </c>
    </row>
    <row r="9" spans="1:26"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6"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6" ht="218.75"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1755</v>
      </c>
      <c r="S25" s="22">
        <v>516.9</v>
      </c>
      <c r="U25" s="22">
        <v>182</v>
      </c>
      <c r="Z25" s="40">
        <f>AVERAGE(R25:Y25)</f>
        <v>349.45</v>
      </c>
    </row>
    <row r="26" spans="1:26"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row>
    <row r="27" spans="1:26"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1730</v>
      </c>
      <c r="U27" s="22">
        <v>48</v>
      </c>
      <c r="Y27" s="22">
        <v>170.5</v>
      </c>
      <c r="Z27" s="40">
        <f>AVERAGE(R27:Y27)</f>
        <v>109.25</v>
      </c>
    </row>
    <row r="28" spans="1:26" ht="165.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1731</v>
      </c>
      <c r="U28" s="22">
        <v>210</v>
      </c>
      <c r="W28" s="22">
        <v>24.4</v>
      </c>
      <c r="Y28" s="22">
        <v>146.7</v>
      </c>
      <c r="Z28" s="40">
        <f>AVERAGE(R28:Y28)</f>
        <v>127.033333</v>
      </c>
    </row>
    <row r="29" spans="1:26"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c r="W29" s="22">
        <v>26.4</v>
      </c>
      <c r="Y29" s="22">
        <v>246.9</v>
      </c>
      <c r="Z29" s="40">
        <f>AVERAGE(R29:Y29)</f>
        <v>136.65</v>
      </c>
    </row>
    <row r="30" spans="1:26"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c r="V30" s="22">
        <v>99</v>
      </c>
      <c r="W30" s="22">
        <v>9.1</v>
      </c>
      <c r="Y30" s="22">
        <v>163.7</v>
      </c>
      <c r="Z30" s="40">
        <f>AVERAGE(R30:Y30)</f>
        <v>90.6</v>
      </c>
    </row>
    <row r="31" spans="1:26"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row>
    <row r="32" spans="1:15" x14ac:dyDescent="0.2">
      <c r="A32" s="25" t="s">
        <v>1149</v>
      </c>
      <c r="B32" s="26"/>
      <c r="C32" s="26"/>
      <c r="D32" s="25"/>
      <c r="E32" s="26"/>
      <c r="F32" s="26"/>
      <c r="G32" s="25"/>
      <c r="H32" s="41"/>
      <c r="I32" s="42"/>
      <c r="J32" s="41"/>
      <c r="K32" s="42"/>
      <c r="L32" s="41"/>
      <c r="M32" s="26"/>
      <c r="N32" s="26"/>
      <c r="O32" s="27"/>
    </row>
    <row r="33" spans="1:26"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row>
    <row r="34" spans="1:26"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c r="V34" s="22">
        <v>177</v>
      </c>
      <c r="W34" s="22">
        <v>21.5</v>
      </c>
      <c r="Y34" s="22">
        <v>95.3</v>
      </c>
      <c r="Z34" s="40">
        <f>AVERAGE(R34:Y34)</f>
        <v>97.933333</v>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6"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row>
    <row r="37" spans="1:26"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c r="V37" s="22">
        <v>129</v>
      </c>
      <c r="W37" s="22">
        <v>21.0</v>
      </c>
      <c r="Y37" s="22">
        <v>109.6</v>
      </c>
      <c r="Z37" s="40">
        <f>AVERAGE(R37:Y37)</f>
        <v>86.533333</v>
      </c>
    </row>
    <row r="38" spans="1:26"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row>
    <row r="39" spans="1:16" x14ac:dyDescent="0.2">
      <c r="A39" s="25" t="s">
        <v>1163</v>
      </c>
      <c r="B39" s="26"/>
      <c r="C39" s="26"/>
      <c r="D39" s="25"/>
      <c r="E39" s="26"/>
      <c r="F39" s="26"/>
      <c r="G39" s="25"/>
      <c r="H39" s="41"/>
      <c r="I39" s="42"/>
      <c r="J39" s="41"/>
      <c r="K39" s="42"/>
      <c r="L39" s="41"/>
      <c r="M39" s="26"/>
      <c r="N39" s="26"/>
      <c r="O39" s="27"/>
    </row>
    <row r="40" spans="1:26"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row>
    <row r="41" spans="1:26"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6"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6"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row>
    <row r="47" spans="1:26"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c r="Y47" s="22">
        <v>10276</v>
      </c>
      <c r="Z47" s="40">
        <f>AVERAGE(R47:Y47)</f>
        <v>10276.0</v>
      </c>
    </row>
    <row r="48" spans="1:26"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row>
    <row r="49" spans="1:26"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c r="W49" s="22">
        <v>16.4</v>
      </c>
      <c r="Y49" s="22">
        <v>12.2</v>
      </c>
      <c r="Z49" s="40">
        <f>AVERAGE(R49:Y49)</f>
        <v>14.3</v>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6"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c r="X55" s="22">
        <v>1438</v>
      </c>
      <c r="Z55" s="40">
        <f>AVERAGE(R55:Y55)</f>
        <v>1438.0</v>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6" ht="140.2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1732</v>
      </c>
      <c r="U64" s="22">
        <v>224</v>
      </c>
      <c r="Z64" s="40">
        <f>AVERAGE(R64:Y64)</f>
        <v>224.0</v>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6"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c r="Y66" s="22">
        <v>134.7</v>
      </c>
      <c r="Z66" s="40">
        <f>AVERAGE(R66:Y66)</f>
        <v>134.7</v>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6" ht="91.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c r="Q78" s="22" t="s">
        <v>1762</v>
      </c>
      <c r="S78" s="22">
        <v>38.9</v>
      </c>
      <c r="V78" s="22">
        <v>209</v>
      </c>
      <c r="W78" s="22">
        <v>18.2</v>
      </c>
      <c r="X78" s="22">
        <v>124</v>
      </c>
      <c r="Y78" s="22">
        <v>104.5</v>
      </c>
      <c r="Z78" s="40">
        <f>AVERAGE(R78:Y78)</f>
        <v>98.92</v>
      </c>
    </row>
    <row r="79" spans="1:26"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c r="T79" s="22">
        <v>20</v>
      </c>
      <c r="Z79" s="40">
        <f>AVERAGE(R79:Y79)</f>
        <v>20.0</v>
      </c>
    </row>
    <row r="80" spans="1:26" ht="78.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1763</v>
      </c>
      <c r="W80" s="22">
        <v>73.1</v>
      </c>
      <c r="Y80" s="22">
        <v>172.4</v>
      </c>
      <c r="Z80" s="40">
        <f>AVERAGE(R80:Y80)</f>
        <v>122.75</v>
      </c>
    </row>
    <row r="81" spans="1:26" ht="91.2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1764</v>
      </c>
      <c r="S81" s="22">
        <v>28.2</v>
      </c>
      <c r="T81" s="22">
        <v>18.5</v>
      </c>
      <c r="V81" s="22">
        <v>62</v>
      </c>
      <c r="Z81" s="40">
        <f>AVERAGE(R81:Y81)</f>
        <v>36.233333</v>
      </c>
    </row>
    <row r="82" spans="1:26"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row>
    <row r="83" spans="1:26" ht="40.2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c r="Q83" s="22" t="s">
        <v>1765</v>
      </c>
      <c r="S83" s="22">
        <v>4.3</v>
      </c>
      <c r="W83" s="22">
        <v>11.5</v>
      </c>
      <c r="Y83" s="22">
        <v>59.1</v>
      </c>
      <c r="Z83" s="40">
        <f>AVERAGE(R83:Y83)</f>
        <v>24.966667</v>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6"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row>
    <row r="88" spans="1:26"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6" ht="65.7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1767</v>
      </c>
      <c r="S90" s="22">
        <v>113.2</v>
      </c>
      <c r="V90" s="22">
        <v>84</v>
      </c>
      <c r="W90" s="22">
        <v>80.6</v>
      </c>
      <c r="X90" s="22">
        <v>51</v>
      </c>
      <c r="Y90" s="22">
        <v>198.0</v>
      </c>
      <c r="Z90" s="40">
        <f>AVERAGE(R90:Y90)</f>
        <v>105.36</v>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6" ht="65.7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1768</v>
      </c>
      <c r="S99" s="22">
        <v>64.7</v>
      </c>
      <c r="T99" s="22">
        <v>18.6</v>
      </c>
      <c r="V99" s="22">
        <v>77</v>
      </c>
      <c r="W99" s="22">
        <v>28.4</v>
      </c>
      <c r="Y99" s="22">
        <v>43.5</v>
      </c>
      <c r="Z99" s="40">
        <f>AVERAGE(R99:Y99)</f>
        <v>46.44</v>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6"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c r="T102" s="22">
        <v>19.4</v>
      </c>
      <c r="X102" s="22">
        <v>5.3</v>
      </c>
      <c r="Y102" s="22">
        <v>33.6</v>
      </c>
      <c r="Z102" s="40">
        <f>AVERAGE(R102:Y102)</f>
        <v>19.433333</v>
      </c>
    </row>
    <row r="103" spans="1:26"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row>
    <row r="104" spans="1:26" x14ac:dyDescent="0.2" ht="53.0" customHeight="1">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1770</v>
      </c>
      <c r="S104" s="22">
        <v>4.5</v>
      </c>
      <c r="W104" s="22">
        <v>57.8</v>
      </c>
      <c r="Y104" s="22">
        <v>22.0</v>
      </c>
      <c r="Z104" s="40">
        <f>AVERAGE(R104:Y104)</f>
        <v>28.1</v>
      </c>
    </row>
    <row r="105" spans="1:26" ht="53.0"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c r="Q105" s="22" t="s">
        <v>1771</v>
      </c>
      <c r="S105" s="22">
        <v>112847</v>
      </c>
      <c r="Z105" s="40">
        <f>AVERAGE(R105:Y105)</f>
        <v>112847.0</v>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6"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1733</v>
      </c>
      <c r="U123" s="22">
        <v>8</v>
      </c>
      <c r="W123" s="22">
        <v>3.1</v>
      </c>
      <c r="Z123" s="40">
        <f>AVERAGE(R123:Y123)</f>
        <v>5.55</v>
      </c>
    </row>
    <row r="124" spans="1:26"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row>
    <row r="125" spans="1:15" x14ac:dyDescent="0.2">
      <c r="A125" s="25" t="s">
        <v>1434</v>
      </c>
      <c r="B125" s="26"/>
      <c r="C125" s="26"/>
      <c r="D125" s="25"/>
      <c r="E125" s="26"/>
      <c r="F125" s="26"/>
      <c r="G125" s="25"/>
      <c r="H125" s="41"/>
      <c r="I125" s="42"/>
      <c r="J125" s="41"/>
      <c r="K125" s="42"/>
      <c r="L125" s="41"/>
      <c r="M125" s="26"/>
      <c r="N125" s="26"/>
      <c r="O125" s="27"/>
    </row>
    <row r="126" spans="1:26"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6"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6"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c r="Y134" s="22">
        <v>35.4</v>
      </c>
      <c r="Z134" s="40">
        <f>AVERAGE(R134:Y134)</f>
        <v>35.4</v>
      </c>
    </row>
    <row r="135" spans="1:26"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c r="Y135" s="22">
        <v>67.6</v>
      </c>
      <c r="Z135" s="40">
        <f>AVERAGE(R135:Y135)</f>
        <v>67.6</v>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6"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507</v>
      </c>
      <c r="C6" s="2" t="s">
        <v>750</v>
      </c>
    </row>
    <row r="7" spans="1:7" x14ac:dyDescent="0.25">
      <c r="A7" s="2" t="s">
        <v>751</v>
      </c>
      <c r="B7" s="30" t="s">
        <v>1789</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