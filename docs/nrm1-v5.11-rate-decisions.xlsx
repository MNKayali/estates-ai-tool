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. Rates with evidence" sheetId="2" state="visible" r:id="rId2"/>
    <sheet name="B. Your #31 figures" sheetId="3" state="visible" r:id="rId3"/>
    <sheet name="C. #31 market estimates" sheetId="4" state="visible" r:id="rId4"/>
    <sheet name="D. Prelims, OH&amp;P, fees, risk" sheetId="5" state="visible" r:id="rId5"/>
    <sheet name="E. New items and checks" sheetId="6" state="visible" r:id="rId6"/>
  </sheets>
  <definedNames>
    <definedName name="_xlnm._FilterDatabase" localSheetId="1" hidden="1">'A. Rates with evidence'!$A$4:$X$33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+0%;-0%;&quot;&quot;"/>
  </numFmts>
  <fonts count="9">
    <font>
      <name val="Calibri"/>
      <family val="2"/>
      <color theme="1"/>
      <sz val="11"/>
      <scheme val="minor"/>
    </font>
    <font>
      <b val="1"/>
      <color rgb="001A2E4A"/>
      <sz val="14"/>
    </font>
    <font>
      <sz val="10"/>
    </font>
    <font>
      <b val="1"/>
      <color rgb="001A2E4A"/>
      <sz val="11"/>
    </font>
    <font>
      <i val="1"/>
      <color rgb="004A4F5E"/>
      <sz val="10"/>
    </font>
    <font>
      <b val="1"/>
      <color rgb="00FFFFFF"/>
      <sz val="10"/>
    </font>
    <font>
      <sz val="9"/>
    </font>
    <font>
      <b val="1"/>
      <sz val="9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E3EFE3"/>
      </patternFill>
    </fill>
    <fill>
      <patternFill patternType="solid">
        <fgColor rgb="00FFF8D6"/>
      </patternFill>
    </fill>
    <fill>
      <patternFill patternType="solid">
        <fgColor rgb="00FCE9C8"/>
      </patternFill>
    </fill>
    <fill>
      <patternFill patternType="solid">
        <fgColor rgb="00E8E8EE"/>
      </patternFill>
    </fill>
  </fills>
  <borders count="2">
    <border>
      <left/>
      <right/>
      <top/>
      <bottom/>
      <diagonal/>
    </border>
    <border>
      <left style="thin">
        <color rgb="00C9CBD3"/>
      </left>
      <right style="thin">
        <color rgb="00C9CBD3"/>
      </right>
      <top style="thin">
        <color rgb="00C9CBD3"/>
      </top>
      <bottom style="thin">
        <color rgb="00C9CB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165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zoomScale="10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NRM1 v5.11 — rate decision table (3 October 2026)</t>
        </is>
      </c>
    </row>
    <row r="2">
      <c r="A2" s="2" t="inlineStr">
        <is>
          <t>Purpose: one place to decide every rate change suggested by your four real projects, before a single v5.11 workbook release.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Work down each tab. The yellow "Your decision" column has a drop-down: Accept / Reject / Amend. For Amend, put your figure in "Your figure (B / S / H)".</t>
        </is>
      </c>
    </row>
    <row r="6">
      <c r="A6" s="2" t="inlineStr">
        <is>
          <t>2. Recommendation colours: amber = change proposed, green = keep (evidence confirms), grey = hold (not enough evidence yet).</t>
        </is>
      </c>
    </row>
    <row r="7">
      <c r="A7" s="2" t="inlineStr">
        <is>
          <t>3. Send it back and I build v5.11 from it: one workbook edit, the update log, tests, and a before/after on all four projects.</t>
        </is>
      </c>
    </row>
    <row r="8">
      <c r="A8" s="2" t="inlineStr"/>
    </row>
    <row r="9">
      <c r="A9" s="3" t="inlineStr">
        <is>
          <t>Baseline</t>
        </is>
      </c>
    </row>
    <row r="10">
      <c r="A10" s="2" t="inlineStr">
        <is>
          <t>"Live" = the v5.7 rates in production (unchanged by v5.8–v5.10, which only added evidence).</t>
        </is>
      </c>
    </row>
    <row r="11">
      <c r="A11" s="2" t="inlineStr">
        <is>
          <t>"#31" = your own 29 Sept rate review (PR #31, not merged). It holds ~40 of your figures that never reached main. Proposals start from your #31 figure where you set one.</t>
        </is>
      </c>
    </row>
    <row r="12">
      <c r="A12" s="2" t="inlineStr">
        <is>
          <t>All figures are Refurb &amp; Fit-out columns (Basic / Std / High), £ per the row's unit, before location factor, prelims and OH&amp;P. New build columns are not changed unless a row says so.</t>
        </is>
      </c>
    </row>
    <row r="13">
      <c r="A13" s="2" t="inlineStr"/>
    </row>
    <row r="14">
      <c r="A14" s="3" t="inlineStr">
        <is>
          <t>Evidence (all converted to the workbook basis: West Midlands ÷ 0.94, rebased to Q3 2026, excluding the contractor's prelims and OH&amp;P)</t>
        </is>
      </c>
    </row>
    <row r="15">
      <c r="A15" s="2" t="inlineStr">
        <is>
          <t>L  = Lakeside Staff &amp; Family Flats — tender, Sep 2026, median of 4 bids, 3,306 m². Already used in v5.7 (live).</t>
        </is>
      </c>
    </row>
    <row r="16">
      <c r="A16" s="2" t="inlineStr">
        <is>
          <t>CS = Computer Science decarbonisation — tender Mar 2024 (2 bids, × 1.07) and final account Jul 2026, 3,495 m² GIA. PR #34.</t>
        </is>
      </c>
    </row>
    <row r="17">
      <c r="A17" s="2" t="inlineStr">
        <is>
          <t>WF = Whitefields demolition — Total Reclaims contract 2026 (× 1.014). Quantities confirmed by you on 3 Oct: 17 blocks, 3,740 m² GIA, 2,210 m² footprint, 8,000 m² site. PR #35.</t>
        </is>
      </c>
    </row>
    <row r="18">
      <c r="A18" s="2" t="inlineStr">
        <is>
          <t>CC = Claycroft student residences — Morgan Sindall G4 contract May 2025 (× 1.034), 17,172 m² GIA; fire stopping is the Sep 2026 out-turn. PR #36.</t>
        </is>
      </c>
    </row>
    <row r="19">
      <c r="A19" s="2" t="inlineStr"/>
    </row>
    <row r="20">
      <c r="A20" s="3" t="inlineStr">
        <is>
          <t>Headline</t>
        </is>
      </c>
    </row>
    <row r="21">
      <c r="A21" s="2" t="inlineStr">
        <is>
          <t>• Refurbishment envelope and M&amp;E are the big gap: on the CS scope Projento gives £1.22m (Std) against a £2.60m tender mean. Roof, heat pump, lifts, fire alarm (full system) and a scaffold item close most of it.</t>
        </is>
      </c>
    </row>
    <row r="22">
      <c r="A22" s="2" t="inlineStr">
        <is>
          <t>• Fit-out finishes, bathrooms, kitchens, power and strip-out are confirmed by two projects — keep.</t>
        </is>
      </c>
    </row>
    <row r="23">
      <c r="A23" s="2" t="inlineStr">
        <is>
          <t>• Demolition is over-priced against Whitefields (confirmed quantities): £73 vs £130 per m² demolished. Asbestos kept — the tender came in at a third of Mace's pre-tender allowance.</t>
        </is>
      </c>
    </row>
    <row r="24">
      <c r="A24" s="2" t="inlineStr">
        <is>
          <t>• Prelims and OH&amp;P: the four projects do not support PR #31's 12% prelims base or 7/6/5% OH&amp;P. Small rises to prelims only.</t>
        </is>
      </c>
    </row>
    <row r="25">
      <c r="A25" s="2" t="inlineStr">
        <is>
          <t>• Risk: Claycroft grew 33% against a 21.5% client allowance; the workbook caps risk + contingency at 15%. See tab D.</t>
        </is>
      </c>
    </row>
    <row r="26">
      <c r="A26" s="2" t="inlineStr"/>
    </row>
    <row r="27">
      <c r="A27" s="3" t="inlineStr">
        <is>
          <t>Actions for you outside this table</t>
        </is>
      </c>
    </row>
    <row r="28">
      <c r="A28" s="2" t="inlineStr">
        <is>
          <t>• Check the Claycroft roof package (about £2.70m in the G4 contract, 5,747 m² roof plan) before the roof High rate is set.</t>
        </is>
      </c>
    </row>
    <row r="29">
      <c r="A29" s="2" t="inlineStr">
        <is>
          <t>• Record the CS contractor prelims and OH&amp;P % if you have them (not in the workbook yet).</t>
        </is>
      </c>
    </row>
    <row r="30">
      <c r="A30" s="2" t="inlineStr">
        <is>
          <t>• Decide what happens to PR #31: this table carries its content forward, so it can be closed once v5.11 is built.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zoomScale="10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22" customWidth="1" min="4" max="4"/>
    <col width="13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2" customWidth="1" min="12" max="12"/>
    <col width="28" customWidth="1" min="13" max="13"/>
    <col width="26" customWidth="1" min="14" max="14"/>
    <col width="28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60" customWidth="1" min="21" max="21"/>
    <col width="13" customWidth="1" min="22" max="22"/>
    <col width="16" customWidth="1" min="23" max="23"/>
    <col width="30" customWidth="1" min="24" max="24"/>
  </cols>
  <sheetData>
    <row r="1">
      <c r="A1" s="4" t="inlineStr">
        <is>
          <t>A. Rates with tender / out-turn evidence</t>
        </is>
      </c>
    </row>
    <row r="2">
      <c r="A2" s="5" t="inlineStr">
        <is>
          <t>Refurb &amp; Fit-out columns. Amber = change proposed. Yellow = your input.</t>
        </is>
      </c>
    </row>
    <row r="4" ht="32" customHeight="1">
      <c r="A4" s="6" t="inlineStr">
        <is>
          <t>Ref</t>
        </is>
      </c>
      <c r="B4" s="6" t="inlineStr">
        <is>
          <t>Code</t>
        </is>
      </c>
      <c r="C4" s="6" t="inlineStr">
        <is>
          <t>Item</t>
        </is>
      </c>
      <c r="D4" s="6" t="inlineStr">
        <is>
          <t>Option / use</t>
        </is>
      </c>
      <c r="E4" s="6" t="inlineStr">
        <is>
          <t>Unit</t>
        </is>
      </c>
      <c r="F4" s="6" t="inlineStr">
        <is>
          <t>Live Basic</t>
        </is>
      </c>
      <c r="G4" s="6" t="inlineStr">
        <is>
          <t>Live Std</t>
        </is>
      </c>
      <c r="H4" s="6" t="inlineStr">
        <is>
          <t>Live High</t>
        </is>
      </c>
      <c r="I4" s="6" t="inlineStr">
        <is>
          <t>#31 Basic</t>
        </is>
      </c>
      <c r="J4" s="6" t="inlineStr">
        <is>
          <t>#31 Std</t>
        </is>
      </c>
      <c r="K4" s="6" t="inlineStr">
        <is>
          <t>#31 High</t>
        </is>
      </c>
      <c r="L4" s="6" t="inlineStr">
        <is>
          <t>Lakeside (L)</t>
        </is>
      </c>
      <c r="M4" s="6" t="inlineStr">
        <is>
          <t>Computer Science (CS)</t>
        </is>
      </c>
      <c r="N4" s="6" t="inlineStr">
        <is>
          <t>Whitefields (WF)</t>
        </is>
      </c>
      <c r="O4" s="6" t="inlineStr">
        <is>
          <t>Claycroft (CC)</t>
        </is>
      </c>
      <c r="P4" s="6" t="inlineStr">
        <is>
          <t>Recommendation</t>
        </is>
      </c>
      <c r="Q4" s="6" t="inlineStr">
        <is>
          <t>Proposed Basic</t>
        </is>
      </c>
      <c r="R4" s="6" t="inlineStr">
        <is>
          <t>Proposed Std</t>
        </is>
      </c>
      <c r="S4" s="6" t="inlineStr">
        <is>
          <t>Proposed High</t>
        </is>
      </c>
      <c r="T4" s="6" t="inlineStr">
        <is>
          <t>Std change vs live</t>
        </is>
      </c>
      <c r="U4" s="6" t="inlineStr">
        <is>
          <t>Why</t>
        </is>
      </c>
      <c r="V4" s="6" t="inlineStr">
        <is>
          <t>Your decision</t>
        </is>
      </c>
      <c r="W4" s="6" t="inlineStr">
        <is>
          <t>Your figure (B / S / H)</t>
        </is>
      </c>
      <c r="X4" s="6" t="inlineStr">
        <is>
          <t>Your notes</t>
        </is>
      </c>
    </row>
    <row r="5">
      <c r="A5" s="7" t="inlineStr">
        <is>
          <t>A01</t>
        </is>
      </c>
      <c r="B5" s="7" t="inlineStr">
        <is>
          <t>0.1</t>
        </is>
      </c>
      <c r="C5" s="7" t="inlineStr">
        <is>
          <t>Asbestos removal</t>
        </is>
      </c>
      <c r="D5" s="7" t="inlineStr">
        <is>
          <t>—</t>
        </is>
      </c>
      <c r="E5" s="7" t="inlineStr">
        <is>
          <t>m² GIFA</t>
        </is>
      </c>
      <c r="F5" s="8" t="n"/>
      <c r="G5" s="8" t="n">
        <v>25</v>
      </c>
      <c r="H5" s="8" t="n"/>
      <c r="I5" s="8" t="n"/>
      <c r="J5" s="8" t="n"/>
      <c r="K5" s="8" t="n"/>
      <c r="L5" s="7" t="inlineStr"/>
      <c r="M5" s="7" t="inlineStr"/>
      <c r="N5" s="7" t="inlineStr">
        <is>
          <t>£8.1 (5 bids £8.1–£42.5, median £12.7; Mace pre-tender £24.5)</t>
        </is>
      </c>
      <c r="O5" s="7" t="inlineStr"/>
      <c r="P5" s="9" t="inlineStr">
        <is>
          <t>Keep</t>
        </is>
      </c>
      <c r="Q5" s="8" t="n"/>
      <c r="R5" s="8" t="n">
        <v>25</v>
      </c>
      <c r="S5" s="8" t="n"/>
      <c r="T5" s="10" t="n"/>
      <c r="U5" s="7" t="inlineStr">
        <is>
          <t>Mace's pre-tender allowance (£24.5) matches the workbook; the tender came in at a third of it. At Stage 0–1 the extent of asbestos is unknown, so keep £25 until a second project shows the same.</t>
        </is>
      </c>
      <c r="V5" s="11" t="inlineStr"/>
      <c r="W5" s="11" t="inlineStr"/>
      <c r="X5" s="11" t="inlineStr"/>
    </row>
    <row r="6">
      <c r="A6" s="7" t="inlineStr">
        <is>
          <t>A02</t>
        </is>
      </c>
      <c r="B6" s="7" t="inlineStr">
        <is>
          <t>0.2</t>
        </is>
      </c>
      <c r="C6" s="7" t="inlineStr">
        <is>
          <t>Demolition of existing building</t>
        </is>
      </c>
      <c r="D6" s="7" t="inlineStr">
        <is>
          <t>—</t>
        </is>
      </c>
      <c r="E6" s="7" t="inlineStr">
        <is>
          <t>m² demolished</t>
        </is>
      </c>
      <c r="F6" s="8" t="n"/>
      <c r="G6" s="8" t="n">
        <v>130</v>
      </c>
      <c r="H6" s="8" t="n"/>
      <c r="I6" s="8" t="n"/>
      <c r="J6" s="8" t="n"/>
      <c r="K6" s="8" t="n"/>
      <c r="L6" s="7" t="inlineStr"/>
      <c r="M6" s="7" t="inlineStr"/>
      <c r="N6" s="7" t="inlineStr">
        <is>
          <t>£73 incl. disconnections £39 (core demolition £34; 5 bids £34–£70, median £46)</t>
        </is>
      </c>
      <c r="O6" s="7" t="inlineStr"/>
      <c r="P6" s="12" t="inlineStr">
        <is>
          <t>Change</t>
        </is>
      </c>
      <c r="Q6" s="8" t="n"/>
      <c r="R6" s="13" t="n">
        <v>100</v>
      </c>
      <c r="S6" s="8" t="n"/>
      <c r="T6" s="10" t="n">
        <v>-0.2307692307692307</v>
      </c>
      <c r="U6" s="7" t="inlineStr">
        <is>
          <t>On your confirmed 3,740 m² GIA the contract is £73 per m² demolished, 44% under £130. Whitefields is simple two-storey masonry, so £100 (not £73) leaves room for framed or taller buildings. One rate for every spec level, as now.</t>
        </is>
      </c>
      <c r="V6" s="11" t="inlineStr"/>
      <c r="W6" s="11" t="inlineStr"/>
      <c r="X6" s="11" t="inlineStr"/>
    </row>
    <row r="7">
      <c r="A7" s="7" t="inlineStr">
        <is>
          <t>A03</t>
        </is>
      </c>
      <c r="B7" s="7" t="inlineStr">
        <is>
          <t>0.3</t>
        </is>
      </c>
      <c r="C7" s="7" t="inlineStr">
        <is>
          <t>Strip-out</t>
        </is>
      </c>
      <c r="D7" s="7" t="inlineStr">
        <is>
          <t>—</t>
        </is>
      </c>
      <c r="E7" s="7" t="inlineStr">
        <is>
          <t>m² GIFA</t>
        </is>
      </c>
      <c r="F7" s="8" t="n"/>
      <c r="G7" s="8" t="n">
        <v>55</v>
      </c>
      <c r="H7" s="8" t="n"/>
      <c r="I7" s="8" t="n"/>
      <c r="J7" s="8" t="n"/>
      <c r="K7" s="8" t="n"/>
      <c r="L7" s="7" t="inlineStr">
        <is>
          <t>£54</t>
        </is>
      </c>
      <c r="M7" s="7" t="inlineStr"/>
      <c r="N7" s="7" t="inlineStr"/>
      <c r="O7" s="7" t="inlineStr">
        <is>
          <t>£51</t>
        </is>
      </c>
      <c r="P7" s="9" t="inlineStr">
        <is>
          <t>Keep</t>
        </is>
      </c>
      <c r="Q7" s="8" t="n"/>
      <c r="R7" s="8" t="n">
        <v>55</v>
      </c>
      <c r="S7" s="8" t="n"/>
      <c r="T7" s="10" t="n"/>
      <c r="U7" s="7" t="inlineStr">
        <is>
          <t>Two projects within 7% of £55.</t>
        </is>
      </c>
      <c r="V7" s="11" t="inlineStr"/>
      <c r="W7" s="11" t="inlineStr"/>
      <c r="X7" s="11" t="inlineStr"/>
    </row>
    <row r="8">
      <c r="A8" s="7" t="inlineStr">
        <is>
          <t>A04</t>
        </is>
      </c>
      <c r="B8" s="7" t="inlineStr">
        <is>
          <t>0.7</t>
        </is>
      </c>
      <c r="C8" s="7" t="inlineStr">
        <is>
          <t>Service diversions</t>
        </is>
      </c>
      <c r="D8" s="7" t="inlineStr">
        <is>
          <t>—</t>
        </is>
      </c>
      <c r="E8" s="7" t="inlineStr">
        <is>
          <t>m² footprint</t>
        </is>
      </c>
      <c r="F8" s="8" t="n"/>
      <c r="G8" s="8" t="n">
        <v>100</v>
      </c>
      <c r="H8" s="8" t="n"/>
      <c r="I8" s="8" t="n"/>
      <c r="J8" s="8" t="n"/>
      <c r="K8" s="8" t="n"/>
      <c r="L8" s="7" t="inlineStr"/>
      <c r="M8" s="7" t="inlineStr"/>
      <c r="N8" s="7" t="inlineStr">
        <is>
          <t>£36 (£44 with pending changes); £315 per m of main</t>
        </is>
      </c>
      <c r="O8" s="7" t="inlineStr"/>
      <c r="P8" s="9" t="inlineStr">
        <is>
          <t>Keep</t>
        </is>
      </c>
      <c r="Q8" s="8" t="n"/>
      <c r="R8" s="8" t="n">
        <v>100</v>
      </c>
      <c r="S8" s="8" t="n"/>
      <c r="T8" s="10" t="n"/>
      <c r="U8" s="7" t="inlineStr">
        <is>
          <t>One water-main replacement; diversions are site-specific. Not enough to move a rate.</t>
        </is>
      </c>
      <c r="V8" s="11" t="inlineStr"/>
      <c r="W8" s="11" t="inlineStr"/>
      <c r="X8" s="11" t="inlineStr"/>
    </row>
    <row r="9">
      <c r="A9" s="7" t="inlineStr">
        <is>
          <t>A05</t>
        </is>
      </c>
      <c r="B9" s="7" t="inlineStr">
        <is>
          <t>2.5a</t>
        </is>
      </c>
      <c r="C9" s="7" t="inlineStr">
        <is>
          <t>Roof</t>
        </is>
      </c>
      <c r="D9" s="7" t="inlineStr">
        <is>
          <t>Full roof</t>
        </is>
      </c>
      <c r="E9" s="7" t="inlineStr">
        <is>
          <t>m² roof</t>
        </is>
      </c>
      <c r="F9" s="8" t="n">
        <v>90</v>
      </c>
      <c r="G9" s="8" t="n">
        <v>110</v>
      </c>
      <c r="H9" s="8" t="n">
        <v>200</v>
      </c>
      <c r="I9" s="8" t="n"/>
      <c r="J9" s="8" t="n"/>
      <c r="K9" s="8" t="n"/>
      <c r="L9" s="7" t="inlineStr"/>
      <c r="M9" s="7" t="inlineStr">
        <is>
          <t>£182 per m² footprint (£313 per m² re-covered × 699 / 1,199 m²) — flat warm-roof overlay</t>
        </is>
      </c>
      <c r="N9" s="7" t="inlineStr"/>
      <c r="O9" s="7" t="inlineStr">
        <is>
          <t>£517 per m² roof plan, metal over-roof — TO CHECK (≈ £2.70m package)</t>
        </is>
      </c>
      <c r="P9" s="12" t="inlineStr">
        <is>
          <t>Change</t>
        </is>
      </c>
      <c r="Q9" s="13" t="n">
        <v>120</v>
      </c>
      <c r="R9" s="13" t="n">
        <v>190</v>
      </c>
      <c r="S9" s="13" t="n">
        <v>400</v>
      </c>
      <c r="T9" s="10" t="n">
        <v>0.7272727272727273</v>
      </c>
      <c r="U9" s="7" t="inlineStr">
        <is>
          <t>The app prices the roof on the full footprint, so CS is £182 on that basis (it re-covered only 699 of 1,199 m²). Std £190 = CS. High £400 is provisional until the Claycroft roof package is checked. New build not changed.</t>
        </is>
      </c>
      <c r="V9" s="11" t="inlineStr"/>
      <c r="W9" s="11" t="inlineStr"/>
      <c r="X9" s="11" t="inlineStr"/>
    </row>
    <row r="10">
      <c r="A10" s="7" t="inlineStr">
        <is>
          <t>A06</t>
        </is>
      </c>
      <c r="B10" s="7" t="inlineStr">
        <is>
          <t>2.6</t>
        </is>
      </c>
      <c r="C10" s="7" t="inlineStr">
        <is>
          <t>External walls</t>
        </is>
      </c>
      <c r="D10" s="7" t="inlineStr">
        <is>
          <t>—</t>
        </is>
      </c>
      <c r="E10" s="7" t="inlineStr">
        <is>
          <t>m² GIFA</t>
        </is>
      </c>
      <c r="F10" s="8" t="n">
        <v>30</v>
      </c>
      <c r="G10" s="8" t="n">
        <v>60</v>
      </c>
      <c r="H10" s="8" t="n">
        <v>110</v>
      </c>
      <c r="I10" s="8" t="n"/>
      <c r="J10" s="8" t="n"/>
      <c r="K10" s="8" t="n"/>
      <c r="L10" s="7" t="inlineStr"/>
      <c r="M10" s="7" t="inlineStr">
        <is>
          <t>£48 render to part façade (£97 with brick remedials)</t>
        </is>
      </c>
      <c r="N10" s="7" t="inlineStr"/>
      <c r="O10" s="7" t="inlineStr"/>
      <c r="P10" s="9" t="inlineStr">
        <is>
          <t>Keep</t>
        </is>
      </c>
      <c r="Q10" s="8" t="n">
        <v>30</v>
      </c>
      <c r="R10" s="8" t="n">
        <v>60</v>
      </c>
      <c r="S10" s="8" t="n">
        <v>110</v>
      </c>
      <c r="T10" s="10" t="n"/>
      <c r="U10" s="7" t="inlineStr">
        <is>
          <t>Sits between Basic and Std. Remedials are priced under 7.1a.</t>
        </is>
      </c>
      <c r="V10" s="11" t="inlineStr"/>
      <c r="W10" s="11" t="inlineStr"/>
      <c r="X10" s="11" t="inlineStr"/>
    </row>
    <row r="11">
      <c r="A11" s="7" t="inlineStr">
        <is>
          <t>A07</t>
        </is>
      </c>
      <c r="B11" s="7" t="inlineStr">
        <is>
          <t>2.7</t>
        </is>
      </c>
      <c r="C11" s="7" t="inlineStr">
        <is>
          <t>Windows and external doors</t>
        </is>
      </c>
      <c r="D11" s="7" t="inlineStr">
        <is>
          <t>—</t>
        </is>
      </c>
      <c r="E11" s="7" t="inlineStr">
        <is>
          <t>m² GIFA</t>
        </is>
      </c>
      <c r="F11" s="8" t="n">
        <v>90</v>
      </c>
      <c r="G11" s="8" t="n">
        <v>120</v>
      </c>
      <c r="H11" s="8" t="n">
        <v>180</v>
      </c>
      <c r="I11" s="8" t="n"/>
      <c r="J11" s="8" t="n"/>
      <c r="K11" s="8" t="n"/>
      <c r="L11" s="7" t="inlineStr"/>
      <c r="M11" s="7" t="inlineStr">
        <is>
          <t>£210 triple glazing + curtain walling, all-in (bids £192–£228)</t>
        </is>
      </c>
      <c r="N11" s="7" t="inlineStr"/>
      <c r="O11" s="7" t="inlineStr"/>
      <c r="P11" s="12" t="inlineStr">
        <is>
          <t>Change</t>
        </is>
      </c>
      <c r="Q11" s="8" t="n">
        <v>90</v>
      </c>
      <c r="R11" s="8" t="n">
        <v>120</v>
      </c>
      <c r="S11" s="13" t="n">
        <v>210</v>
      </c>
      <c r="T11" s="10" t="n"/>
      <c r="U11" s="7" t="inlineStr">
        <is>
          <t>High only: make High = triple glazing / curtain walling and say so in What's included. Std unchanged.</t>
        </is>
      </c>
      <c r="V11" s="11" t="inlineStr"/>
      <c r="W11" s="11" t="inlineStr"/>
      <c r="X11" s="11" t="inlineStr"/>
    </row>
    <row r="12">
      <c r="A12" s="7" t="inlineStr">
        <is>
          <t>A08</t>
        </is>
      </c>
      <c r="B12" s="7" t="inlineStr">
        <is>
          <t>2.10</t>
        </is>
      </c>
      <c r="C12" s="7" t="inlineStr">
        <is>
          <t>Fire stopping</t>
        </is>
      </c>
      <c r="D12" s="7" t="inlineStr">
        <is>
          <t>—</t>
        </is>
      </c>
      <c r="E12" s="7" t="inlineStr">
        <is>
          <t>m² GIFA</t>
        </is>
      </c>
      <c r="F12" s="8" t="n">
        <v>15</v>
      </c>
      <c r="G12" s="8" t="n">
        <v>30</v>
      </c>
      <c r="H12" s="8" t="n">
        <v>60</v>
      </c>
      <c r="I12" s="8" t="n"/>
      <c r="J12" s="8" t="n"/>
      <c r="K12" s="8" t="n"/>
      <c r="L12" s="7" t="inlineStr">
        <is>
          <t>£13.5 local only</t>
        </is>
      </c>
      <c r="M12" s="7" t="inlineStr"/>
      <c r="N12" s="7" t="inlineStr"/>
      <c r="O12" s="7" t="inlineStr">
        <is>
          <t>£96 out-turn (£22 provisional sum in contract)</t>
        </is>
      </c>
      <c r="P12" s="12" t="inlineStr">
        <is>
          <t>Change</t>
        </is>
      </c>
      <c r="Q12" s="8" t="n">
        <v>15</v>
      </c>
      <c r="R12" s="8" t="n">
        <v>30</v>
      </c>
      <c r="S12" s="13" t="n">
        <v>95</v>
      </c>
      <c r="T12" s="10" t="n"/>
      <c r="U12" s="7" t="inlineStr">
        <is>
          <t>Lakeside confirms Basic. Claycroft shows comprehensive fire stopping in occupied residential costs ~£95 once surveyed. Raise High; keep Basic/Std. Also see risk on tab D.</t>
        </is>
      </c>
      <c r="V12" s="11" t="inlineStr"/>
      <c r="W12" s="11" t="inlineStr"/>
      <c r="X12" s="11" t="inlineStr"/>
    </row>
    <row r="13">
      <c r="A13" s="7" t="inlineStr">
        <is>
          <t>A09</t>
        </is>
      </c>
      <c r="B13" s="7" t="inlineStr">
        <is>
          <t>3.1</t>
        </is>
      </c>
      <c r="C13" s="7" t="inlineStr">
        <is>
          <t>Wall finishes</t>
        </is>
      </c>
      <c r="D13" s="7" t="inlineStr">
        <is>
          <t>—</t>
        </is>
      </c>
      <c r="E13" s="7" t="inlineStr">
        <is>
          <t>m² GIFA</t>
        </is>
      </c>
      <c r="F13" s="8" t="n">
        <v>30</v>
      </c>
      <c r="G13" s="8" t="n">
        <v>75</v>
      </c>
      <c r="H13" s="8" t="n">
        <v>140</v>
      </c>
      <c r="I13" s="8" t="n"/>
      <c r="J13" s="8" t="n"/>
      <c r="K13" s="8" t="n"/>
      <c r="L13" s="7" t="inlineStr">
        <is>
          <t>£72</t>
        </is>
      </c>
      <c r="M13" s="7" t="inlineStr"/>
      <c r="N13" s="7" t="inlineStr"/>
      <c r="O13" s="7" t="inlineStr">
        <is>
          <t>£99 incl. ceiling/door painting and PVC cladding</t>
        </is>
      </c>
      <c r="P13" s="9" t="inlineStr">
        <is>
          <t>Keep</t>
        </is>
      </c>
      <c r="Q13" s="8" t="n">
        <v>30</v>
      </c>
      <c r="R13" s="8" t="n">
        <v>75</v>
      </c>
      <c r="S13" s="8" t="n">
        <v>140</v>
      </c>
      <c r="T13" s="10" t="n"/>
      <c r="U13" s="7" t="inlineStr">
        <is>
          <t>Lakeside confirms Std; Claycroft wider scope sits inside High.</t>
        </is>
      </c>
      <c r="V13" s="11" t="inlineStr"/>
      <c r="W13" s="11" t="inlineStr"/>
      <c r="X13" s="11" t="inlineStr"/>
    </row>
    <row r="14">
      <c r="A14" s="7" t="inlineStr">
        <is>
          <t>A10</t>
        </is>
      </c>
      <c r="B14" s="7" t="inlineStr">
        <is>
          <t>3.2c</t>
        </is>
      </c>
      <c r="C14" s="7" t="inlineStr">
        <is>
          <t>Floor finishes</t>
        </is>
      </c>
      <c r="D14" s="7" t="inlineStr">
        <is>
          <t>Raised access floor: No / RES STU</t>
        </is>
      </c>
      <c r="E14" s="7" t="inlineStr">
        <is>
          <t>m² GIFA</t>
        </is>
      </c>
      <c r="F14" s="8" t="n">
        <v>30</v>
      </c>
      <c r="G14" s="8" t="n">
        <v>50</v>
      </c>
      <c r="H14" s="8" t="n">
        <v>135</v>
      </c>
      <c r="I14" s="8" t="n"/>
      <c r="J14" s="8" t="n"/>
      <c r="K14" s="8" t="n"/>
      <c r="L14" s="7" t="inlineStr">
        <is>
          <t>£51</t>
        </is>
      </c>
      <c r="M14" s="7" t="inlineStr"/>
      <c r="N14" s="7" t="inlineStr"/>
      <c r="O14" s="7" t="inlineStr">
        <is>
          <t>£38</t>
        </is>
      </c>
      <c r="P14" s="9" t="inlineStr">
        <is>
          <t>Keep</t>
        </is>
      </c>
      <c r="Q14" s="8" t="n">
        <v>30</v>
      </c>
      <c r="R14" s="8" t="n">
        <v>50</v>
      </c>
      <c r="S14" s="8" t="n">
        <v>135</v>
      </c>
      <c r="T14" s="10" t="n"/>
      <c r="U14" s="7" t="inlineStr">
        <is>
          <t>Both near Std £50.</t>
        </is>
      </c>
      <c r="V14" s="11" t="inlineStr"/>
      <c r="W14" s="11" t="inlineStr"/>
      <c r="X14" s="11" t="inlineStr"/>
    </row>
    <row r="15">
      <c r="A15" s="7" t="inlineStr">
        <is>
          <t>A11</t>
        </is>
      </c>
      <c r="B15" s="7" t="inlineStr">
        <is>
          <t>3.3b</t>
        </is>
      </c>
      <c r="C15" s="7" t="inlineStr">
        <is>
          <t>Ceiling finishes</t>
        </is>
      </c>
      <c r="D15" s="7" t="inlineStr">
        <is>
          <t>RES STU</t>
        </is>
      </c>
      <c r="E15" s="7" t="inlineStr">
        <is>
          <t>m² GIFA</t>
        </is>
      </c>
      <c r="F15" s="8" t="n">
        <v>18</v>
      </c>
      <c r="G15" s="8" t="n">
        <v>30</v>
      </c>
      <c r="H15" s="8" t="n">
        <v>85</v>
      </c>
      <c r="I15" s="8" t="n"/>
      <c r="J15" s="8" t="n"/>
      <c r="K15" s="8" t="n"/>
      <c r="L15" s="7" t="inlineStr">
        <is>
          <t>£30 partial</t>
        </is>
      </c>
      <c r="M15" s="7" t="inlineStr"/>
      <c r="N15" s="7" t="inlineStr"/>
      <c r="O15" s="7" t="inlineStr">
        <is>
          <t>£70 full replacement, fire-line board</t>
        </is>
      </c>
      <c r="P15" s="9" t="inlineStr">
        <is>
          <t>Keep</t>
        </is>
      </c>
      <c r="Q15" s="8" t="n">
        <v>18</v>
      </c>
      <c r="R15" s="8" t="n">
        <v>30</v>
      </c>
      <c r="S15" s="8" t="n">
        <v>85</v>
      </c>
      <c r="T15" s="10" t="n"/>
      <c r="U15" s="7" t="inlineStr">
        <is>
          <t>Keep rates; reword What's included: Std = repair / partial, High = full replacement (CC £70 sits under High £85).</t>
        </is>
      </c>
      <c r="V15" s="11" t="inlineStr"/>
      <c r="W15" s="11" t="inlineStr"/>
      <c r="X15" s="11" t="inlineStr"/>
    </row>
    <row r="16">
      <c r="A16" s="7" t="inlineStr">
        <is>
          <t>A12</t>
        </is>
      </c>
      <c r="B16" s="7" t="inlineStr">
        <is>
          <t>4.2a</t>
        </is>
      </c>
      <c r="C16" s="7" t="inlineStr">
        <is>
          <t>Bathrooms and en-suites</t>
        </is>
      </c>
      <c r="D16" s="7" t="inlineStr">
        <is>
          <t>Standard</t>
        </is>
      </c>
      <c r="E16" s="7" t="inlineStr">
        <is>
          <t>nr bathrooms</t>
        </is>
      </c>
      <c r="F16" s="8" t="n">
        <v>1150</v>
      </c>
      <c r="G16" s="8" t="n">
        <v>2500</v>
      </c>
      <c r="H16" s="8" t="n">
        <v>4400</v>
      </c>
      <c r="I16" s="8" t="n"/>
      <c r="J16" s="8" t="n"/>
      <c r="K16" s="8" t="n"/>
      <c r="L16" s="7" t="inlineStr">
        <is>
          <t>£2,563</t>
        </is>
      </c>
      <c r="M16" s="7" t="inlineStr"/>
      <c r="N16" s="7" t="inlineStr"/>
      <c r="O16" s="7" t="inlineStr">
        <is>
          <t>£3,869 IPS + vanity</t>
        </is>
      </c>
      <c r="P16" s="9" t="inlineStr">
        <is>
          <t>Keep</t>
        </is>
      </c>
      <c r="Q16" s="8" t="n">
        <v>1150</v>
      </c>
      <c r="R16" s="8" t="n">
        <v>2500</v>
      </c>
      <c r="S16" s="8" t="n">
        <v>4400</v>
      </c>
      <c r="T16" s="10" t="n"/>
      <c r="U16" s="7" t="inlineStr">
        <is>
          <t>Lakeside = Std, Claycroft between Std and High. Already calibrated in v5.7.</t>
        </is>
      </c>
      <c r="V16" s="11" t="inlineStr"/>
      <c r="W16" s="11" t="inlineStr"/>
      <c r="X16" s="11" t="inlineStr"/>
    </row>
    <row r="17">
      <c r="A17" s="7" t="inlineStr">
        <is>
          <t>A13</t>
        </is>
      </c>
      <c r="B17" s="7" t="inlineStr">
        <is>
          <t>4.5</t>
        </is>
      </c>
      <c r="C17" s="7" t="inlineStr">
        <is>
          <t>Fixed joinery</t>
        </is>
      </c>
      <c r="D17" s="7" t="inlineStr">
        <is>
          <t>—</t>
        </is>
      </c>
      <c r="E17" s="7" t="inlineStr">
        <is>
          <t>m² GIFA</t>
        </is>
      </c>
      <c r="F17" s="8" t="n">
        <v>15</v>
      </c>
      <c r="G17" s="8" t="n">
        <v>45</v>
      </c>
      <c r="H17" s="8" t="n">
        <v>100</v>
      </c>
      <c r="I17" s="8" t="n"/>
      <c r="J17" s="8" t="n"/>
      <c r="K17" s="8" t="n"/>
      <c r="L17" s="7" t="inlineStr"/>
      <c r="M17" s="7" t="inlineStr"/>
      <c r="N17" s="7" t="inlineStr"/>
      <c r="O17" s="7" t="inlineStr">
        <is>
          <t>£64 (mostly bathroom boxings)</t>
        </is>
      </c>
      <c r="P17" s="9" t="inlineStr">
        <is>
          <t>Keep</t>
        </is>
      </c>
      <c r="Q17" s="8" t="n">
        <v>15</v>
      </c>
      <c r="R17" s="8" t="n">
        <v>45</v>
      </c>
      <c r="S17" s="8" t="n">
        <v>100</v>
      </c>
      <c r="T17" s="10" t="n"/>
      <c r="U17" s="7" t="inlineStr">
        <is>
          <t>Inside the Std–High range; one project.</t>
        </is>
      </c>
      <c r="V17" s="11" t="inlineStr"/>
      <c r="W17" s="11" t="inlineStr"/>
      <c r="X17" s="11" t="inlineStr"/>
    </row>
    <row r="18">
      <c r="A18" s="7" t="inlineStr">
        <is>
          <t>A14</t>
        </is>
      </c>
      <c r="B18" s="7" t="inlineStr">
        <is>
          <t>5.1b</t>
        </is>
      </c>
      <c r="C18" s="7" t="inlineStr">
        <is>
          <t>Heating and hot water</t>
        </is>
      </c>
      <c r="D18" s="7" t="inlineStr">
        <is>
          <t>Air source heat pump, full system</t>
        </is>
      </c>
      <c r="E18" s="7" t="inlineStr">
        <is>
          <t>m² GIFA</t>
        </is>
      </c>
      <c r="F18" s="8" t="n">
        <v>39</v>
      </c>
      <c r="G18" s="8" t="n">
        <v>78</v>
      </c>
      <c r="H18" s="8" t="n">
        <v>175.5</v>
      </c>
      <c r="I18" s="8" t="n">
        <v>51</v>
      </c>
      <c r="J18" s="8" t="n">
        <v>102</v>
      </c>
      <c r="K18" s="8" t="n">
        <v>178.5</v>
      </c>
      <c r="L18" s="7" t="inlineStr"/>
      <c r="M18" s="7" t="inlineStr">
        <is>
          <t>£224 whole M&amp;E package (heat pumps, LTHW, AHU coils, ~160 rads, BMS, vent)</t>
        </is>
      </c>
      <c r="N18" s="7" t="inlineStr"/>
      <c r="O18" s="7" t="inlineStr"/>
      <c r="P18" s="12" t="inlineStr">
        <is>
          <t>Change</t>
        </is>
      </c>
      <c r="Q18" s="13" t="n">
        <v>110</v>
      </c>
      <c r="R18" s="13" t="n">
        <v>190</v>
      </c>
      <c r="S18" s="13" t="n">
        <v>260</v>
      </c>
      <c r="T18" s="10" t="n">
        <v>1.435897435897436</v>
      </c>
      <c r="U18" s="7" t="inlineStr">
        <is>
          <t>Enter as figures, not "= 5.1a × 1.7". CS less BMS/ventilation ≈ £190. Note: the "plant only" and "radiators only" rows are formulas off this one and will rise with it (5.1h Std ≈ £105).</t>
        </is>
      </c>
      <c r="V18" s="11" t="inlineStr"/>
      <c r="W18" s="11" t="inlineStr"/>
      <c r="X18" s="11" t="inlineStr"/>
    </row>
    <row r="19">
      <c r="A19" s="7" t="inlineStr">
        <is>
          <t>A15</t>
        </is>
      </c>
      <c r="B19" s="7" t="inlineStr">
        <is>
          <t>5.2a</t>
        </is>
      </c>
      <c r="C19" s="7" t="inlineStr">
        <is>
          <t>Water and drainage</t>
        </is>
      </c>
      <c r="D19" s="7" t="inlineStr">
        <is>
          <t>Full installation</t>
        </is>
      </c>
      <c r="E19" s="7" t="inlineStr">
        <is>
          <t>m² GIFA</t>
        </is>
      </c>
      <c r="F19" s="8" t="n">
        <v>30</v>
      </c>
      <c r="G19" s="8" t="n">
        <v>65</v>
      </c>
      <c r="H19" s="8" t="n">
        <v>180</v>
      </c>
      <c r="I19" s="8" t="n"/>
      <c r="J19" s="8" t="n"/>
      <c r="K19" s="8" t="n"/>
      <c r="L19" s="7" t="inlineStr"/>
      <c r="M19" s="7" t="inlineStr"/>
      <c r="N19" s="7" t="inlineStr"/>
      <c r="O19" s="7" t="inlineStr">
        <is>
          <t>£39 partial replacement</t>
        </is>
      </c>
      <c r="P19" s="9" t="inlineStr">
        <is>
          <t>Keep</t>
        </is>
      </c>
      <c r="Q19" s="8" t="n">
        <v>30</v>
      </c>
      <c r="R19" s="8" t="n">
        <v>65</v>
      </c>
      <c r="S19" s="8" t="n">
        <v>180</v>
      </c>
      <c r="T19" s="10" t="n"/>
      <c r="U19" s="7" t="inlineStr">
        <is>
          <t>Partial scope, so below Std is expected.</t>
        </is>
      </c>
      <c r="V19" s="11" t="inlineStr"/>
      <c r="W19" s="11" t="inlineStr"/>
      <c r="X19" s="11" t="inlineStr"/>
    </row>
    <row r="20">
      <c r="A20" s="7" t="inlineStr">
        <is>
          <t>A16</t>
        </is>
      </c>
      <c r="B20" s="7" t="inlineStr">
        <is>
          <t>5.2b</t>
        </is>
      </c>
      <c r="C20" s="7" t="inlineStr">
        <is>
          <t>Water and drainage</t>
        </is>
      </c>
      <c r="D20" s="7" t="inlineStr">
        <is>
          <t>Visible fittings only</t>
        </is>
      </c>
      <c r="E20" s="7" t="inlineStr">
        <is>
          <t>m² GIFA</t>
        </is>
      </c>
      <c r="F20" s="8" t="n">
        <v>9</v>
      </c>
      <c r="G20" s="8" t="n">
        <v>19.5</v>
      </c>
      <c r="H20" s="8" t="n">
        <v>54</v>
      </c>
      <c r="I20" s="8" t="n">
        <v>4.5</v>
      </c>
      <c r="J20" s="8" t="n">
        <v>9.75</v>
      </c>
      <c r="K20" s="8" t="n">
        <v>27</v>
      </c>
      <c r="L20" s="7" t="inlineStr">
        <is>
          <t>£20 (bids £15–£26)</t>
        </is>
      </c>
      <c r="M20" s="7" t="inlineStr"/>
      <c r="N20" s="7" t="inlineStr"/>
      <c r="O20" s="7" t="inlineStr"/>
      <c r="P20" s="14" t="inlineStr">
        <is>
          <t>Reject #31</t>
        </is>
      </c>
      <c r="Q20" s="8" t="n">
        <v>9</v>
      </c>
      <c r="R20" s="8" t="n">
        <v>19.5</v>
      </c>
      <c r="S20" s="8" t="n">
        <v>54</v>
      </c>
      <c r="T20" s="10" t="n"/>
      <c r="U20" s="7" t="inlineStr">
        <is>
          <t>Keep live £19.5. PR #31's market estimate halved it to £9.75 — Lakeside tender contradicts that.</t>
        </is>
      </c>
      <c r="V20" s="11" t="inlineStr"/>
      <c r="W20" s="11" t="inlineStr"/>
      <c r="X20" s="11" t="inlineStr"/>
    </row>
    <row r="21">
      <c r="A21" s="7" t="inlineStr">
        <is>
          <t>A17</t>
        </is>
      </c>
      <c r="B21" s="7" t="inlineStr">
        <is>
          <t>5.3a</t>
        </is>
      </c>
      <c r="C21" s="7" t="inlineStr">
        <is>
          <t>Ventilation</t>
        </is>
      </c>
      <c r="D21" s="7" t="inlineStr">
        <is>
          <t>Full system</t>
        </is>
      </c>
      <c r="E21" s="7" t="inlineStr">
        <is>
          <t>m² GIFA</t>
        </is>
      </c>
      <c r="F21" s="8" t="n">
        <v>20</v>
      </c>
      <c r="G21" s="8" t="n">
        <v>45</v>
      </c>
      <c r="H21" s="8" t="n">
        <v>90</v>
      </c>
      <c r="I21" s="8" t="n">
        <v>20</v>
      </c>
      <c r="J21" s="8" t="n">
        <v>55</v>
      </c>
      <c r="K21" s="8" t="n">
        <v>100</v>
      </c>
      <c r="L21" s="7" t="inlineStr"/>
      <c r="M21" s="7" t="inlineStr"/>
      <c r="N21" s="7" t="inlineStr"/>
      <c r="O21" s="7" t="inlineStr">
        <is>
          <t>£92 out-turn incl. new ductwork and roof fans</t>
        </is>
      </c>
      <c r="P21" s="9" t="inlineStr">
        <is>
          <t>Take #31</t>
        </is>
      </c>
      <c r="Q21" s="8" t="n">
        <v>20</v>
      </c>
      <c r="R21" s="8" t="n">
        <v>55</v>
      </c>
      <c r="S21" s="8" t="n">
        <v>100</v>
      </c>
      <c r="T21" s="10" t="n">
        <v>0.2222222222222223</v>
      </c>
      <c r="U21" s="7" t="inlineStr">
        <is>
          <t>Your #31 figures (Std £55, High £100) fit Claycroft's out-turn.</t>
        </is>
      </c>
      <c r="V21" s="11" t="inlineStr"/>
      <c r="W21" s="11" t="inlineStr"/>
      <c r="X21" s="11" t="inlineStr"/>
    </row>
    <row r="22">
      <c r="A22" s="7" t="inlineStr">
        <is>
          <t>A18</t>
        </is>
      </c>
      <c r="B22" s="7" t="inlineStr">
        <is>
          <t>5.3b</t>
        </is>
      </c>
      <c r="C22" s="7" t="inlineStr">
        <is>
          <t>Ventilation</t>
        </is>
      </c>
      <c r="D22" s="7" t="inlineStr">
        <is>
          <t>Extract fans only</t>
        </is>
      </c>
      <c r="E22" s="7" t="inlineStr">
        <is>
          <t>m² GIFA</t>
        </is>
      </c>
      <c r="F22" s="8" t="n">
        <v>8</v>
      </c>
      <c r="G22" s="8" t="n">
        <v>19</v>
      </c>
      <c r="H22" s="8" t="n">
        <v>38</v>
      </c>
      <c r="I22" s="8" t="n"/>
      <c r="J22" s="8" t="n"/>
      <c r="K22" s="8" t="n"/>
      <c r="L22" s="7" t="inlineStr">
        <is>
          <t>£18.5</t>
        </is>
      </c>
      <c r="M22" s="7" t="inlineStr"/>
      <c r="N22" s="7" t="inlineStr"/>
      <c r="O22" s="7" t="inlineStr">
        <is>
          <t>£28 incl. fire dampers</t>
        </is>
      </c>
      <c r="P22" s="9" t="inlineStr">
        <is>
          <t>Keep</t>
        </is>
      </c>
      <c r="Q22" s="8" t="n">
        <v>8</v>
      </c>
      <c r="R22" s="8" t="n">
        <v>19</v>
      </c>
      <c r="S22" s="8" t="n">
        <v>38</v>
      </c>
      <c r="T22" s="10" t="n"/>
      <c r="U22" s="7" t="inlineStr">
        <is>
          <t>Both inside Std–High.</t>
        </is>
      </c>
      <c r="V22" s="11" t="inlineStr"/>
      <c r="W22" s="11" t="inlineStr"/>
      <c r="X22" s="11" t="inlineStr"/>
    </row>
    <row r="23">
      <c r="A23" s="7" t="inlineStr">
        <is>
          <t>A19</t>
        </is>
      </c>
      <c r="B23" s="7" t="inlineStr">
        <is>
          <t>5.5</t>
        </is>
      </c>
      <c r="C23" s="7" t="inlineStr">
        <is>
          <t>Controls and BMS</t>
        </is>
      </c>
      <c r="D23" s="7" t="inlineStr">
        <is>
          <t>—</t>
        </is>
      </c>
      <c r="E23" s="7" t="inlineStr">
        <is>
          <t>m² GIFA</t>
        </is>
      </c>
      <c r="F23" s="8" t="n">
        <v>8</v>
      </c>
      <c r="G23" s="8" t="n">
        <v>15</v>
      </c>
      <c r="H23" s="8" t="n">
        <v>22</v>
      </c>
      <c r="I23" s="8" t="n">
        <v>10</v>
      </c>
      <c r="J23" s="8" t="n">
        <v>20</v>
      </c>
      <c r="K23" s="8" t="n">
        <v>30</v>
      </c>
      <c r="L23" s="7" t="inlineStr"/>
      <c r="M23" s="7" t="inlineStr"/>
      <c r="N23" s="7" t="inlineStr"/>
      <c r="O23" s="7" t="inlineStr">
        <is>
          <t>£4.3 (interfaces only — not comparable)</t>
        </is>
      </c>
      <c r="P23" s="9" t="inlineStr">
        <is>
          <t>Take #31</t>
        </is>
      </c>
      <c r="Q23" s="8" t="n">
        <v>10</v>
      </c>
      <c r="R23" s="8" t="n">
        <v>20</v>
      </c>
      <c r="S23" s="8" t="n">
        <v>30</v>
      </c>
      <c r="T23" s="10" t="n">
        <v>0.3333333333333333</v>
      </c>
      <c r="U23" s="7" t="inlineStr">
        <is>
          <t>No usable evidence; take your #31 figures.</t>
        </is>
      </c>
      <c r="V23" s="11" t="inlineStr"/>
      <c r="W23" s="11" t="inlineStr"/>
      <c r="X23" s="11" t="inlineStr"/>
    </row>
    <row r="24">
      <c r="A24" s="7" t="inlineStr">
        <is>
          <t>A20</t>
        </is>
      </c>
      <c r="B24" s="7" t="inlineStr">
        <is>
          <t>5.7b</t>
        </is>
      </c>
      <c r="C24" s="7" t="inlineStr">
        <is>
          <t>Power</t>
        </is>
      </c>
      <c r="D24" s="7" t="inlineStr">
        <is>
          <t>Full installation / RES STU</t>
        </is>
      </c>
      <c r="E24" s="7" t="inlineStr">
        <is>
          <t>m² GIFA</t>
        </is>
      </c>
      <c r="F24" s="8" t="n">
        <v>95</v>
      </c>
      <c r="G24" s="8" t="n">
        <v>150</v>
      </c>
      <c r="H24" s="8" t="n">
        <v>255</v>
      </c>
      <c r="I24" s="8" t="n"/>
      <c r="J24" s="8" t="n"/>
      <c r="K24" s="8" t="n"/>
      <c r="L24" s="7" t="inlineStr">
        <is>
          <t>£153</t>
        </is>
      </c>
      <c r="M24" s="7" t="inlineStr"/>
      <c r="N24" s="7" t="inlineStr"/>
      <c r="O24" s="7" t="inlineStr">
        <is>
          <t>£158</t>
        </is>
      </c>
      <c r="P24" s="9" t="inlineStr">
        <is>
          <t>Keep</t>
        </is>
      </c>
      <c r="Q24" s="8" t="n">
        <v>95</v>
      </c>
      <c r="R24" s="8" t="n">
        <v>150</v>
      </c>
      <c r="S24" s="8" t="n">
        <v>255</v>
      </c>
      <c r="T24" s="10" t="n"/>
      <c r="U24" s="7" t="inlineStr">
        <is>
          <t>Two projects within 5% of £150.</t>
        </is>
      </c>
      <c r="V24" s="11" t="inlineStr"/>
      <c r="W24" s="11" t="inlineStr"/>
      <c r="X24" s="11" t="inlineStr"/>
    </row>
    <row r="25">
      <c r="A25" s="7" t="inlineStr">
        <is>
          <t>A21</t>
        </is>
      </c>
      <c r="B25" s="7" t="inlineStr">
        <is>
          <t>5.8a</t>
        </is>
      </c>
      <c r="C25" s="7" t="inlineStr">
        <is>
          <t>Lighting</t>
        </is>
      </c>
      <c r="D25" s="7" t="inlineStr">
        <is>
          <t>Full installation</t>
        </is>
      </c>
      <c r="E25" s="7" t="inlineStr">
        <is>
          <t>m² GIFA</t>
        </is>
      </c>
      <c r="F25" s="8" t="n">
        <v>20</v>
      </c>
      <c r="G25" s="8" t="n">
        <v>33</v>
      </c>
      <c r="H25" s="8" t="n">
        <v>52</v>
      </c>
      <c r="I25" s="8" t="n">
        <v>25</v>
      </c>
      <c r="J25" s="8" t="n">
        <v>40</v>
      </c>
      <c r="K25" s="8" t="n">
        <v>60</v>
      </c>
      <c r="L25" s="7" t="inlineStr">
        <is>
          <t>not separable (power + lighting £186)</t>
        </is>
      </c>
      <c r="M25" s="7" t="inlineStr"/>
      <c r="N25" s="7" t="inlineStr"/>
      <c r="O25" s="7" t="inlineStr">
        <is>
          <t>£113 incl. emergency and external</t>
        </is>
      </c>
      <c r="P25" s="12" t="inlineStr">
        <is>
          <t>Change</t>
        </is>
      </c>
      <c r="Q25" s="13" t="n">
        <v>25</v>
      </c>
      <c r="R25" s="13" t="n">
        <v>40</v>
      </c>
      <c r="S25" s="13" t="n">
        <v>85</v>
      </c>
      <c r="T25" s="10" t="n">
        <v>0.2121212121212122</v>
      </c>
      <c r="U25" s="7" t="inlineStr">
        <is>
          <t>Std stays at your #31 £40 — that keeps Lakeside power + lighting at £190 vs £186 tender. Raise High to £85 for full replacement incl. common areas (Claycroft less emergency/external).</t>
        </is>
      </c>
      <c r="V25" s="11" t="inlineStr"/>
      <c r="W25" s="11" t="inlineStr"/>
      <c r="X25" s="11" t="inlineStr"/>
    </row>
    <row r="26">
      <c r="A26" s="7" t="inlineStr">
        <is>
          <t>A22</t>
        </is>
      </c>
      <c r="B26" s="7" t="inlineStr">
        <is>
          <t>5.11</t>
        </is>
      </c>
      <c r="C26" s="7" t="inlineStr">
        <is>
          <t>Fire alarm</t>
        </is>
      </c>
      <c r="D26" s="7" t="inlineStr">
        <is>
          <t>—</t>
        </is>
      </c>
      <c r="E26" s="7" t="inlineStr">
        <is>
          <t>m² GIFA</t>
        </is>
      </c>
      <c r="F26" s="8" t="n">
        <v>10</v>
      </c>
      <c r="G26" s="8" t="n">
        <v>18</v>
      </c>
      <c r="H26" s="8" t="n">
        <v>30</v>
      </c>
      <c r="I26" s="8" t="n">
        <v>12</v>
      </c>
      <c r="J26" s="8" t="n">
        <v>20</v>
      </c>
      <c r="K26" s="8" t="n">
        <v>30</v>
      </c>
      <c r="L26" s="7" t="inlineStr">
        <is>
          <t>£18.6</t>
        </is>
      </c>
      <c r="M26" s="7" t="inlineStr"/>
      <c r="N26" s="7" t="inlineStr"/>
      <c r="O26" s="7" t="inlineStr">
        <is>
          <t>£65 new system throughout</t>
        </is>
      </c>
      <c r="P26" s="12" t="inlineStr">
        <is>
          <t>Change</t>
        </is>
      </c>
      <c r="Q26" s="13" t="n">
        <v>12</v>
      </c>
      <c r="R26" s="13" t="n">
        <v>20</v>
      </c>
      <c r="S26" s="13" t="n">
        <v>65</v>
      </c>
      <c r="T26" s="10" t="n">
        <v>0.1111111111111112</v>
      </c>
      <c r="U26" s="7" t="inlineStr">
        <is>
          <t>Basic/Std = your #31 figures (Lakeside confirms). High £65 = full new addressable system in an occupied building (Claycroft). Reword What's included for High.</t>
        </is>
      </c>
      <c r="V26" s="11" t="inlineStr"/>
      <c r="W26" s="11" t="inlineStr"/>
      <c r="X26" s="11" t="inlineStr"/>
    </row>
    <row r="27">
      <c r="A27" s="7" t="inlineStr">
        <is>
          <t>A23</t>
        </is>
      </c>
      <c r="B27" s="7" t="inlineStr">
        <is>
          <t>5.14b</t>
        </is>
      </c>
      <c r="C27" s="7" t="inlineStr">
        <is>
          <t>Data and IT</t>
        </is>
      </c>
      <c r="D27" s="7" t="inlineStr">
        <is>
          <t>RES STU</t>
        </is>
      </c>
      <c r="E27" s="7" t="inlineStr">
        <is>
          <t>m² GIFA</t>
        </is>
      </c>
      <c r="F27" s="8" t="n">
        <v>11</v>
      </c>
      <c r="G27" s="8" t="n">
        <v>25</v>
      </c>
      <c r="H27" s="8" t="n">
        <v>50</v>
      </c>
      <c r="I27" s="8" t="n"/>
      <c r="J27" s="8" t="n"/>
      <c r="K27" s="8" t="n"/>
      <c r="L27" s="7" t="inlineStr">
        <is>
          <t>£24.5 incl. TV aerial</t>
        </is>
      </c>
      <c r="M27" s="7" t="inlineStr"/>
      <c r="N27" s="7" t="inlineStr"/>
      <c r="O27" s="7" t="inlineStr">
        <is>
          <t>£19 data only</t>
        </is>
      </c>
      <c r="P27" s="9" t="inlineStr">
        <is>
          <t>Keep</t>
        </is>
      </c>
      <c r="Q27" s="8" t="n">
        <v>11</v>
      </c>
      <c r="R27" s="8" t="n">
        <v>25</v>
      </c>
      <c r="S27" s="8" t="n">
        <v>50</v>
      </c>
      <c r="T27" s="10" t="n"/>
      <c r="U27" s="7" t="inlineStr">
        <is>
          <t>Both consistent.</t>
        </is>
      </c>
      <c r="V27" s="11" t="inlineStr"/>
      <c r="W27" s="11" t="inlineStr"/>
      <c r="X27" s="11" t="inlineStr"/>
    </row>
    <row r="28">
      <c r="A28" s="7" t="inlineStr">
        <is>
          <t>A24</t>
        </is>
      </c>
      <c r="B28" s="7" t="inlineStr">
        <is>
          <t>5.16a</t>
        </is>
      </c>
      <c r="C28" s="7" t="inlineStr">
        <is>
          <t>Lifts</t>
        </is>
      </c>
      <c r="D28" s="7" t="inlineStr">
        <is>
          <t>Passenger</t>
        </is>
      </c>
      <c r="E28" s="7" t="inlineStr">
        <is>
          <t>nr lifts</t>
        </is>
      </c>
      <c r="F28" s="8" t="n">
        <v>25000</v>
      </c>
      <c r="G28" s="8" t="n">
        <v>40000</v>
      </c>
      <c r="H28" s="8" t="n">
        <v>60000</v>
      </c>
      <c r="I28" s="8" t="n">
        <v>40000</v>
      </c>
      <c r="J28" s="8" t="n">
        <v>60000</v>
      </c>
      <c r="K28" s="8" t="n">
        <v>100000</v>
      </c>
      <c r="L28" s="7" t="inlineStr"/>
      <c r="M28" s="7" t="inlineStr"/>
      <c r="N28" s="7" t="inlineStr"/>
      <c r="O28" s="7" t="inlineStr">
        <is>
          <t>£112,850 replacement incl. design</t>
        </is>
      </c>
      <c r="P28" s="12" t="inlineStr">
        <is>
          <t>Change</t>
        </is>
      </c>
      <c r="Q28" s="13" t="n">
        <v>60000</v>
      </c>
      <c r="R28" s="13" t="n">
        <v>100000</v>
      </c>
      <c r="S28" s="13" t="n">
        <v>130000</v>
      </c>
      <c r="T28" s="10" t="n">
        <v>1.5</v>
      </c>
      <c r="U28" s="7" t="inlineStr">
        <is>
          <t>Today's Std £40k is a third of Claycroft. Std £100k sits under your #31 goods lift Std £120k. New build kept at your #31 £60k / £100k — worth a look.</t>
        </is>
      </c>
      <c r="V28" s="11" t="inlineStr"/>
      <c r="W28" s="11" t="inlineStr"/>
      <c r="X28" s="11" t="inlineStr"/>
    </row>
    <row r="29">
      <c r="A29" s="7" t="inlineStr">
        <is>
          <t>A25</t>
        </is>
      </c>
      <c r="B29" s="7" t="inlineStr">
        <is>
          <t>5.26a</t>
        </is>
      </c>
      <c r="C29" s="7" t="inlineStr">
        <is>
          <t>Builder's work in connection</t>
        </is>
      </c>
      <c r="D29" s="7" t="inlineStr">
        <is>
          <t>—</t>
        </is>
      </c>
      <c r="E29" s="7" t="inlineStr">
        <is>
          <t>m² GIFA</t>
        </is>
      </c>
      <c r="F29" s="8" t="n">
        <v>8</v>
      </c>
      <c r="G29" s="8" t="n">
        <v>18</v>
      </c>
      <c r="H29" s="8" t="n">
        <v>30</v>
      </c>
      <c r="I29" s="8" t="n"/>
      <c r="J29" s="8" t="n"/>
      <c r="K29" s="8" t="n"/>
      <c r="L29" s="7" t="inlineStr"/>
      <c r="M29" s="7" t="inlineStr">
        <is>
          <t>£8 (heat pump conversion)</t>
        </is>
      </c>
      <c r="N29" s="7" t="inlineStr"/>
      <c r="O29" s="7" t="inlineStr"/>
      <c r="P29" s="9" t="inlineStr">
        <is>
          <t>Keep</t>
        </is>
      </c>
      <c r="Q29" s="8" t="n">
        <v>8</v>
      </c>
      <c r="R29" s="8" t="n">
        <v>18</v>
      </c>
      <c r="S29" s="8" t="n">
        <v>30</v>
      </c>
      <c r="T29" s="10" t="n"/>
      <c r="U29" s="7" t="inlineStr">
        <is>
          <t>Matches Basic for a light-touch M&amp;E job.</t>
        </is>
      </c>
      <c r="V29" s="11" t="inlineStr"/>
      <c r="W29" s="11" t="inlineStr"/>
      <c r="X29" s="11" t="inlineStr"/>
    </row>
    <row r="30">
      <c r="A30" s="7" t="inlineStr">
        <is>
          <t>A26</t>
        </is>
      </c>
      <c r="B30" s="7" t="inlineStr">
        <is>
          <t>5.26b</t>
        </is>
      </c>
      <c r="C30" s="7" t="inlineStr">
        <is>
          <t>Builder's work in connection</t>
        </is>
      </c>
      <c r="D30" s="7" t="inlineStr">
        <is>
          <t>RES STU</t>
        </is>
      </c>
      <c r="E30" s="7" t="inlineStr">
        <is>
          <t>m² GIFA</t>
        </is>
      </c>
      <c r="F30" s="8" t="n">
        <v>12</v>
      </c>
      <c r="G30" s="8" t="n">
        <v>27</v>
      </c>
      <c r="H30" s="8" t="n">
        <v>45</v>
      </c>
      <c r="I30" s="8" t="n"/>
      <c r="J30" s="8" t="n"/>
      <c r="K30" s="8" t="n"/>
      <c r="L30" s="7" t="inlineStr">
        <is>
          <t>£27</t>
        </is>
      </c>
      <c r="M30" s="7" t="inlineStr"/>
      <c r="N30" s="7" t="inlineStr"/>
      <c r="O30" s="7" t="inlineStr">
        <is>
          <t>£11 (more BWIC inside M&amp;E lines)</t>
        </is>
      </c>
      <c r="P30" s="9" t="inlineStr">
        <is>
          <t>Keep</t>
        </is>
      </c>
      <c r="Q30" s="8" t="n">
        <v>12</v>
      </c>
      <c r="R30" s="8" t="n">
        <v>27</v>
      </c>
      <c r="S30" s="8" t="n">
        <v>45</v>
      </c>
      <c r="T30" s="10" t="n"/>
      <c r="U30" s="7" t="inlineStr">
        <is>
          <t>Lakeside like-for-like; Claycroft not comparable.</t>
        </is>
      </c>
      <c r="V30" s="11" t="inlineStr"/>
      <c r="W30" s="11" t="inlineStr"/>
      <c r="X30" s="11" t="inlineStr"/>
    </row>
    <row r="31">
      <c r="A31" s="7" t="inlineStr">
        <is>
          <t>A27</t>
        </is>
      </c>
      <c r="B31" s="7" t="inlineStr">
        <is>
          <t>7.1a</t>
        </is>
      </c>
      <c r="C31" s="7" t="inlineStr">
        <is>
          <t>Repairs</t>
        </is>
      </c>
      <c r="D31" s="7" t="inlineStr">
        <is>
          <t>Fair</t>
        </is>
      </c>
      <c r="E31" s="7" t="inlineStr">
        <is>
          <t>m² GIFA</t>
        </is>
      </c>
      <c r="F31" s="8" t="n">
        <v>20</v>
      </c>
      <c r="G31" s="8" t="n">
        <v>45</v>
      </c>
      <c r="H31" s="8" t="n">
        <v>100</v>
      </c>
      <c r="I31" s="8" t="n"/>
      <c r="J31" s="8" t="n"/>
      <c r="K31" s="8" t="n"/>
      <c r="L31" s="7" t="inlineStr"/>
      <c r="M31" s="7" t="inlineStr">
        <is>
          <t>£48 brick remedials</t>
        </is>
      </c>
      <c r="N31" s="7" t="inlineStr"/>
      <c r="O31" s="7" t="inlineStr"/>
      <c r="P31" s="9" t="inlineStr">
        <is>
          <t>Keep</t>
        </is>
      </c>
      <c r="Q31" s="8" t="n">
        <v>20</v>
      </c>
      <c r="R31" s="8" t="n">
        <v>45</v>
      </c>
      <c r="S31" s="8" t="n">
        <v>100</v>
      </c>
      <c r="T31" s="10" t="n"/>
      <c r="U31" s="7" t="inlineStr">
        <is>
          <t>Confirms Std £45.</t>
        </is>
      </c>
      <c r="V31" s="11" t="inlineStr"/>
      <c r="W31" s="11" t="inlineStr"/>
      <c r="X31" s="11" t="inlineStr"/>
    </row>
    <row r="32">
      <c r="A32" s="7" t="inlineStr">
        <is>
          <t>A28</t>
        </is>
      </c>
      <c r="B32" s="7" t="inlineStr">
        <is>
          <t>7.1c</t>
        </is>
      </c>
      <c r="C32" s="7" t="inlineStr">
        <is>
          <t>Repairs</t>
        </is>
      </c>
      <c r="D32" s="7" t="inlineStr">
        <is>
          <t>Poor</t>
        </is>
      </c>
      <c r="E32" s="7" t="inlineStr">
        <is>
          <t>m² GIFA</t>
        </is>
      </c>
      <c r="F32" s="8" t="n">
        <v>40</v>
      </c>
      <c r="G32" s="8" t="n">
        <v>90</v>
      </c>
      <c r="H32" s="8" t="n">
        <v>200</v>
      </c>
      <c r="I32" s="8" t="n"/>
      <c r="J32" s="8" t="n"/>
      <c r="K32" s="8" t="n"/>
      <c r="L32" s="7" t="inlineStr"/>
      <c r="M32" s="7" t="inlineStr"/>
      <c r="N32" s="7" t="inlineStr"/>
      <c r="O32" s="7" t="inlineStr">
        <is>
          <t>£164 defects found in out-turn</t>
        </is>
      </c>
      <c r="P32" s="9" t="inlineStr">
        <is>
          <t>Keep</t>
        </is>
      </c>
      <c r="Q32" s="8" t="n">
        <v>40</v>
      </c>
      <c r="R32" s="8" t="n">
        <v>90</v>
      </c>
      <c r="S32" s="8" t="n">
        <v>200</v>
      </c>
      <c r="T32" s="10" t="n"/>
      <c r="U32" s="7" t="inlineStr">
        <is>
          <t>Between Std £90 and High £200. Supports keeping High.</t>
        </is>
      </c>
      <c r="V32" s="11" t="inlineStr"/>
      <c r="W32" s="11" t="inlineStr"/>
      <c r="X32" s="11" t="inlineStr"/>
    </row>
    <row r="33">
      <c r="A33" s="7" t="inlineStr">
        <is>
          <t>A29</t>
        </is>
      </c>
      <c r="B33" s="7" t="inlineStr">
        <is>
          <t>8.10</t>
        </is>
      </c>
      <c r="C33" s="7" t="inlineStr">
        <is>
          <t>Soft landscaping</t>
        </is>
      </c>
      <c r="D33" s="7" t="inlineStr">
        <is>
          <t>—</t>
        </is>
      </c>
      <c r="E33" s="7" t="inlineStr">
        <is>
          <t>m² soft</t>
        </is>
      </c>
      <c r="F33" s="8" t="n">
        <v>21</v>
      </c>
      <c r="G33" s="8" t="n">
        <v>30</v>
      </c>
      <c r="H33" s="8" t="n">
        <v>48</v>
      </c>
      <c r="I33" s="8" t="n"/>
      <c r="J33" s="8" t="n"/>
      <c r="K33" s="8" t="n"/>
      <c r="L33" s="7" t="inlineStr"/>
      <c r="M33" s="7" t="inlineStr"/>
      <c r="N33" s="7" t="inlineStr">
        <is>
          <t>£2.1 topsoil and seed only</t>
        </is>
      </c>
      <c r="O33" s="7" t="inlineStr"/>
      <c r="P33" s="9" t="inlineStr">
        <is>
          <t>Keep</t>
        </is>
      </c>
      <c r="Q33" s="8" t="n">
        <v>21</v>
      </c>
      <c r="R33" s="8" t="n">
        <v>30</v>
      </c>
      <c r="S33" s="8" t="n">
        <v>48</v>
      </c>
      <c r="T33" s="10" t="n"/>
      <c r="U33" s="7" t="inlineStr">
        <is>
          <t>Seeding only, not the item's scope (planting). A "seed only" option could come later.</t>
        </is>
      </c>
      <c r="V33" s="11" t="inlineStr"/>
      <c r="W33" s="11" t="inlineStr"/>
      <c r="X33" s="11" t="inlineStr"/>
    </row>
  </sheetData>
  <autoFilter ref="A4:X33"/>
  <dataValidations count="1">
    <dataValidation sqref="V5:V33" showDropDown="0" showInputMessage="0" showErrorMessage="0" allowBlank="1" type="list">
      <formula1>"Accept,Reject,Amend"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zoomScale="10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4" customWidth="1" min="3" max="3"/>
    <col width="26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13" customWidth="1" min="17" max="17"/>
    <col width="30" customWidth="1" min="18" max="18"/>
  </cols>
  <sheetData>
    <row r="1">
      <c r="A1" s="4" t="inlineStr">
        <is>
          <t>B. Your own figures from PR #31 (29 Sept review) — not yet in production</t>
        </is>
      </c>
    </row>
    <row r="2">
      <c r="A2" s="5" t="inlineStr">
        <is>
          <t>No tender evidence on these rows. Recommendation: carry them into v5.11 unchanged. Reject a row to keep the live figure.</t>
        </is>
      </c>
    </row>
    <row r="4">
      <c r="A4" s="6" t="inlineStr">
        <is>
          <t>Ref</t>
        </is>
      </c>
      <c r="B4" s="6" t="inlineStr">
        <is>
          <t>Code</t>
        </is>
      </c>
      <c r="C4" s="6" t="inlineStr">
        <is>
          <t>Item</t>
        </is>
      </c>
      <c r="D4" s="6" t="inlineStr">
        <is>
          <t>Option</t>
        </is>
      </c>
      <c r="E4" s="6" t="inlineStr">
        <is>
          <t>Unit</t>
        </is>
      </c>
      <c r="F4" s="6" t="inlineStr">
        <is>
          <t>Live B</t>
        </is>
      </c>
      <c r="G4" s="6" t="inlineStr">
        <is>
          <t>Live S</t>
        </is>
      </c>
      <c r="H4" s="6" t="inlineStr">
        <is>
          <t>Live H</t>
        </is>
      </c>
      <c r="I4" s="6" t="inlineStr">
        <is>
          <t>Live NB S</t>
        </is>
      </c>
      <c r="J4" s="6" t="inlineStr">
        <is>
          <t>Live NB H</t>
        </is>
      </c>
      <c r="K4" s="6" t="inlineStr">
        <is>
          <t>#31 B</t>
        </is>
      </c>
      <c r="L4" s="6" t="inlineStr">
        <is>
          <t>#31 S</t>
        </is>
      </c>
      <c r="M4" s="6" t="inlineStr">
        <is>
          <t>#31 H</t>
        </is>
      </c>
      <c r="N4" s="6" t="inlineStr">
        <is>
          <t>#31 NB S</t>
        </is>
      </c>
      <c r="O4" s="6" t="inlineStr">
        <is>
          <t>#31 NB H</t>
        </is>
      </c>
      <c r="P4" s="6" t="inlineStr">
        <is>
          <t>Recommendation</t>
        </is>
      </c>
      <c r="Q4" s="6" t="inlineStr">
        <is>
          <t>Your decision</t>
        </is>
      </c>
      <c r="R4" s="6" t="inlineStr">
        <is>
          <t>Your notes</t>
        </is>
      </c>
    </row>
    <row r="5">
      <c r="A5" s="7" t="inlineStr">
        <is>
          <t>B01</t>
        </is>
      </c>
      <c r="B5" s="7" t="inlineStr">
        <is>
          <t>1.3</t>
        </is>
      </c>
      <c r="C5" s="7" t="inlineStr">
        <is>
          <t>Basement</t>
        </is>
      </c>
      <c r="D5" s="7" t="inlineStr">
        <is>
          <t>—</t>
        </is>
      </c>
      <c r="E5" s="7" t="inlineStr">
        <is>
          <t>m² basement</t>
        </is>
      </c>
      <c r="F5" s="8" t="n"/>
      <c r="G5" s="8" t="n">
        <v>0</v>
      </c>
      <c r="H5" s="8" t="n"/>
      <c r="I5" s="8" t="n">
        <v>600</v>
      </c>
      <c r="J5" s="8" t="n">
        <v>1000</v>
      </c>
      <c r="K5" s="8" t="n"/>
      <c r="L5" s="8" t="n">
        <v>0</v>
      </c>
      <c r="M5" s="8" t="n"/>
      <c r="N5" s="15" t="n">
        <v>1800</v>
      </c>
      <c r="O5" s="15" t="n">
        <v>2800</v>
      </c>
      <c r="P5" s="16" t="inlineStr">
        <is>
          <t>Carry over</t>
        </is>
      </c>
      <c r="Q5" s="11" t="inlineStr"/>
      <c r="R5" s="11" t="inlineStr"/>
    </row>
    <row r="6">
      <c r="A6" s="7" t="inlineStr">
        <is>
          <t>B02</t>
        </is>
      </c>
      <c r="B6" s="7" t="inlineStr">
        <is>
          <t>4.7</t>
        </is>
      </c>
      <c r="C6" s="7" t="inlineStr">
        <is>
          <t>AV equipment</t>
        </is>
      </c>
      <c r="D6" s="7" t="inlineStr">
        <is>
          <t>—</t>
        </is>
      </c>
      <c r="E6" s="7" t="inlineStr">
        <is>
          <t>m² GIFA</t>
        </is>
      </c>
      <c r="F6" s="8" t="inlineStr">
        <is>
          <t>-</t>
        </is>
      </c>
      <c r="G6" s="8" t="n">
        <v>25</v>
      </c>
      <c r="H6" s="8" t="n">
        <v>60</v>
      </c>
      <c r="I6" s="8" t="n">
        <v>25</v>
      </c>
      <c r="J6" s="8" t="n">
        <v>60</v>
      </c>
      <c r="K6" s="8" t="inlineStr">
        <is>
          <t>-</t>
        </is>
      </c>
      <c r="L6" s="15" t="n">
        <v>45</v>
      </c>
      <c r="M6" s="15" t="n">
        <v>80</v>
      </c>
      <c r="N6" s="15" t="n">
        <v>45</v>
      </c>
      <c r="O6" s="15" t="n">
        <v>80</v>
      </c>
      <c r="P6" s="16" t="inlineStr">
        <is>
          <t>Carry over</t>
        </is>
      </c>
      <c r="Q6" s="11" t="inlineStr"/>
      <c r="R6" s="11" t="inlineStr"/>
    </row>
    <row r="7">
      <c r="A7" s="7" t="inlineStr">
        <is>
          <t>B03</t>
        </is>
      </c>
      <c r="B7" s="7" t="inlineStr">
        <is>
          <t>4.9</t>
        </is>
      </c>
      <c r="C7" s="7" t="inlineStr">
        <is>
          <t>Catering kitchen</t>
        </is>
      </c>
      <c r="D7" s="7" t="inlineStr">
        <is>
          <t>—</t>
        </is>
      </c>
      <c r="E7" s="7" t="inlineStr">
        <is>
          <t>m² kitchen</t>
        </is>
      </c>
      <c r="F7" s="8" t="n">
        <v>373</v>
      </c>
      <c r="G7" s="8" t="n">
        <v>690</v>
      </c>
      <c r="H7" s="8" t="n">
        <v>1455</v>
      </c>
      <c r="I7" s="8" t="n">
        <v>690</v>
      </c>
      <c r="J7" s="8" t="n">
        <v>1455</v>
      </c>
      <c r="K7" s="15" t="n">
        <v>600</v>
      </c>
      <c r="L7" s="15" t="n">
        <v>1000</v>
      </c>
      <c r="M7" s="15" t="n">
        <v>1800</v>
      </c>
      <c r="N7" s="15" t="n">
        <v>1000</v>
      </c>
      <c r="O7" s="15" t="n">
        <v>1800</v>
      </c>
      <c r="P7" s="16" t="inlineStr">
        <is>
          <t>Carry over</t>
        </is>
      </c>
      <c r="Q7" s="11" t="inlineStr"/>
      <c r="R7" s="11" t="inlineStr"/>
    </row>
    <row r="8">
      <c r="A8" s="7" t="inlineStr">
        <is>
          <t>B04</t>
        </is>
      </c>
      <c r="B8" s="7" t="inlineStr">
        <is>
          <t>4.10</t>
        </is>
      </c>
      <c r="C8" s="7" t="inlineStr">
        <is>
          <t>Laboratory</t>
        </is>
      </c>
      <c r="D8" s="7" t="inlineStr">
        <is>
          <t>—</t>
        </is>
      </c>
      <c r="E8" s="7" t="inlineStr">
        <is>
          <t>m² lab</t>
        </is>
      </c>
      <c r="F8" s="8" t="n"/>
      <c r="G8" s="8" t="n">
        <v>310</v>
      </c>
      <c r="H8" s="8" t="n">
        <v>600</v>
      </c>
      <c r="I8" s="8" t="n">
        <v>310</v>
      </c>
      <c r="J8" s="8" t="n">
        <v>600</v>
      </c>
      <c r="K8" s="8" t="n"/>
      <c r="L8" s="15" t="n">
        <v>700</v>
      </c>
      <c r="M8" s="15" t="n">
        <v>1200</v>
      </c>
      <c r="N8" s="15" t="n">
        <v>700</v>
      </c>
      <c r="O8" s="15" t="n">
        <v>1200</v>
      </c>
      <c r="P8" s="16" t="inlineStr">
        <is>
          <t>Carry over</t>
        </is>
      </c>
      <c r="Q8" s="11" t="inlineStr"/>
      <c r="R8" s="11" t="inlineStr"/>
    </row>
    <row r="9">
      <c r="A9" s="7" t="inlineStr">
        <is>
          <t>B05</t>
        </is>
      </c>
      <c r="B9" s="7" t="inlineStr">
        <is>
          <t>4.11</t>
        </is>
      </c>
      <c r="C9" s="7" t="inlineStr">
        <is>
          <t>Clinical</t>
        </is>
      </c>
      <c r="D9" s="7" t="inlineStr">
        <is>
          <t>—</t>
        </is>
      </c>
      <c r="E9" s="7" t="inlineStr">
        <is>
          <t>m² clinical</t>
        </is>
      </c>
      <c r="F9" s="8" t="n"/>
      <c r="G9" s="8" t="n">
        <v>65</v>
      </c>
      <c r="H9" s="8" t="n">
        <v>130</v>
      </c>
      <c r="I9" s="8" t="n">
        <v>65</v>
      </c>
      <c r="J9" s="8" t="n">
        <v>130</v>
      </c>
      <c r="K9" s="8" t="n"/>
      <c r="L9" s="15" t="n">
        <v>150</v>
      </c>
      <c r="M9" s="15" t="n">
        <v>300</v>
      </c>
      <c r="N9" s="15" t="n">
        <v>150</v>
      </c>
      <c r="O9" s="15" t="n">
        <v>300</v>
      </c>
      <c r="P9" s="16" t="inlineStr">
        <is>
          <t>Carry over</t>
        </is>
      </c>
      <c r="Q9" s="11" t="inlineStr"/>
      <c r="R9" s="11" t="inlineStr"/>
    </row>
    <row r="10">
      <c r="A10" s="7" t="inlineStr">
        <is>
          <t>B06</t>
        </is>
      </c>
      <c r="B10" s="7" t="inlineStr">
        <is>
          <t>5.1c</t>
        </is>
      </c>
      <c r="C10" s="7" t="inlineStr">
        <is>
          <t>Heating and hot water</t>
        </is>
      </c>
      <c r="D10" s="7" t="inlineStr">
        <is>
          <t>Ground source heat pump, full system</t>
        </is>
      </c>
      <c r="E10" s="7" t="inlineStr">
        <is>
          <t>m² GIFA</t>
        </is>
      </c>
      <c r="F10" s="8" t="n">
        <v>54</v>
      </c>
      <c r="G10" s="8" t="n">
        <v>108</v>
      </c>
      <c r="H10" s="8" t="n">
        <v>243</v>
      </c>
      <c r="I10" s="8" t="n">
        <v>108</v>
      </c>
      <c r="J10" s="8" t="n">
        <v>189</v>
      </c>
      <c r="K10" s="15" t="n">
        <v>69</v>
      </c>
      <c r="L10" s="15" t="n">
        <v>138</v>
      </c>
      <c r="M10" s="15" t="n">
        <v>241.5</v>
      </c>
      <c r="N10" s="15" t="n">
        <v>138</v>
      </c>
      <c r="O10" s="15" t="n">
        <v>241.5</v>
      </c>
      <c r="P10" s="16" t="inlineStr">
        <is>
          <t>Carry over</t>
        </is>
      </c>
      <c r="Q10" s="11" t="inlineStr"/>
      <c r="R10" s="11" t="inlineStr"/>
    </row>
    <row r="11">
      <c r="A11" s="7" t="inlineStr">
        <is>
          <t>B07</t>
        </is>
      </c>
      <c r="B11" s="7" t="inlineStr">
        <is>
          <t>5.10e</t>
        </is>
      </c>
      <c r="C11" s="7" t="inlineStr">
        <is>
          <t>Standby power</t>
        </is>
      </c>
      <c r="D11" s="7" t="inlineStr">
        <is>
          <t>Generator, large</t>
        </is>
      </c>
      <c r="E11" s="7" t="inlineStr">
        <is>
          <t>band</t>
        </is>
      </c>
      <c r="F11" s="8" t="n"/>
      <c r="G11" s="8" t="n">
        <v>115000</v>
      </c>
      <c r="H11" s="8" t="n"/>
      <c r="I11" s="8" t="n">
        <v>115000</v>
      </c>
      <c r="J11" s="8" t="n"/>
      <c r="K11" s="8" t="n"/>
      <c r="L11" s="15" t="n">
        <v>150000</v>
      </c>
      <c r="M11" s="8" t="n"/>
      <c r="N11" s="15" t="n">
        <v>150000</v>
      </c>
      <c r="O11" s="8" t="n"/>
      <c r="P11" s="16" t="inlineStr">
        <is>
          <t>Carry over</t>
        </is>
      </c>
      <c r="Q11" s="11" t="inlineStr"/>
      <c r="R11" s="11" t="inlineStr"/>
    </row>
    <row r="12">
      <c r="A12" s="7" t="inlineStr">
        <is>
          <t>B08</t>
        </is>
      </c>
      <c r="B12" s="7" t="inlineStr">
        <is>
          <t>5.12</t>
        </is>
      </c>
      <c r="C12" s="7" t="inlineStr">
        <is>
          <t>Sprinklers</t>
        </is>
      </c>
      <c r="D12" s="7" t="inlineStr">
        <is>
          <t>—</t>
        </is>
      </c>
      <c r="E12" s="7" t="inlineStr">
        <is>
          <t>m² GIFA</t>
        </is>
      </c>
      <c r="F12" s="8" t="n"/>
      <c r="G12" s="8" t="n">
        <v>15</v>
      </c>
      <c r="H12" s="8" t="n">
        <v>50</v>
      </c>
      <c r="I12" s="8" t="n">
        <v>15</v>
      </c>
      <c r="J12" s="8" t="n">
        <v>50</v>
      </c>
      <c r="K12" s="8" t="n"/>
      <c r="L12" s="15" t="n">
        <v>30</v>
      </c>
      <c r="M12" s="8" t="n">
        <v>50</v>
      </c>
      <c r="N12" s="15" t="n">
        <v>30</v>
      </c>
      <c r="O12" s="8" t="n">
        <v>50</v>
      </c>
      <c r="P12" s="16" t="inlineStr">
        <is>
          <t>Carry over</t>
        </is>
      </c>
      <c r="Q12" s="11" t="inlineStr"/>
      <c r="R12" s="11" t="inlineStr"/>
    </row>
    <row r="13">
      <c r="A13" s="7" t="inlineStr">
        <is>
          <t>B09</t>
        </is>
      </c>
      <c r="B13" s="7" t="inlineStr">
        <is>
          <t>5.16c</t>
        </is>
      </c>
      <c r="C13" s="7" t="inlineStr">
        <is>
          <t>Lifts</t>
        </is>
      </c>
      <c r="D13" s="7" t="inlineStr">
        <is>
          <t>Goods or bed</t>
        </is>
      </c>
      <c r="E13" s="7" t="inlineStr">
        <is>
          <t>nr lifts</t>
        </is>
      </c>
      <c r="F13" s="8" t="n">
        <v>50000</v>
      </c>
      <c r="G13" s="8" t="n">
        <v>70000</v>
      </c>
      <c r="H13" s="8" t="n">
        <v>100000</v>
      </c>
      <c r="I13" s="8" t="n">
        <v>70000</v>
      </c>
      <c r="J13" s="8" t="n">
        <v>100000</v>
      </c>
      <c r="K13" s="15" t="n">
        <v>100000</v>
      </c>
      <c r="L13" s="15" t="n">
        <v>120000</v>
      </c>
      <c r="M13" s="15" t="n">
        <v>150000</v>
      </c>
      <c r="N13" s="15" t="n">
        <v>120000</v>
      </c>
      <c r="O13" s="15" t="n">
        <v>150000</v>
      </c>
      <c r="P13" s="16" t="inlineStr">
        <is>
          <t>Carry over</t>
        </is>
      </c>
      <c r="Q13" s="11" t="inlineStr"/>
      <c r="R13" s="11" t="inlineStr"/>
    </row>
    <row r="14">
      <c r="A14" s="7" t="inlineStr">
        <is>
          <t>B10</t>
        </is>
      </c>
      <c r="B14" s="7" t="inlineStr">
        <is>
          <t>5.18</t>
        </is>
      </c>
      <c r="C14" s="7" t="inlineStr">
        <is>
          <t>Battery storage</t>
        </is>
      </c>
      <c r="D14" s="7" t="inlineStr">
        <is>
          <t>—</t>
        </is>
      </c>
      <c r="E14" s="7" t="inlineStr">
        <is>
          <t>kWh</t>
        </is>
      </c>
      <c r="F14" s="8" t="n">
        <v>300</v>
      </c>
      <c r="G14" s="8" t="n">
        <v>400</v>
      </c>
      <c r="H14" s="8" t="n">
        <v>650</v>
      </c>
      <c r="I14" s="8" t="n">
        <v>400</v>
      </c>
      <c r="J14" s="8" t="n">
        <v>650</v>
      </c>
      <c r="K14" s="15" t="n">
        <v>450</v>
      </c>
      <c r="L14" s="15" t="n">
        <v>550</v>
      </c>
      <c r="M14" s="15" t="n">
        <v>700</v>
      </c>
      <c r="N14" s="15" t="n">
        <v>550</v>
      </c>
      <c r="O14" s="15" t="n">
        <v>700</v>
      </c>
      <c r="P14" s="16" t="inlineStr">
        <is>
          <t>Carry over</t>
        </is>
      </c>
      <c r="Q14" s="11" t="inlineStr"/>
      <c r="R14" s="11" t="inlineStr"/>
    </row>
    <row r="15">
      <c r="A15" s="7" t="inlineStr">
        <is>
          <t>B11</t>
        </is>
      </c>
      <c r="B15" s="7" t="inlineStr">
        <is>
          <t>5.19</t>
        </is>
      </c>
      <c r="C15" s="7" t="inlineStr">
        <is>
          <t>EV charging</t>
        </is>
      </c>
      <c r="D15" s="7" t="inlineStr">
        <is>
          <t>—</t>
        </is>
      </c>
      <c r="E15" s="7" t="inlineStr">
        <is>
          <t>nr chargers</t>
        </is>
      </c>
      <c r="F15" s="8" t="n"/>
      <c r="G15" s="8" t="n">
        <v>1500</v>
      </c>
      <c r="H15" s="8" t="n">
        <v>2500</v>
      </c>
      <c r="I15" s="8" t="n">
        <v>1500</v>
      </c>
      <c r="J15" s="8" t="n">
        <v>2500</v>
      </c>
      <c r="K15" s="8" t="n"/>
      <c r="L15" s="15" t="n">
        <v>2500</v>
      </c>
      <c r="M15" s="15" t="n">
        <v>4500</v>
      </c>
      <c r="N15" s="15" t="n">
        <v>2500</v>
      </c>
      <c r="O15" s="15" t="n">
        <v>4500</v>
      </c>
      <c r="P15" s="16" t="inlineStr">
        <is>
          <t>Carry over</t>
        </is>
      </c>
      <c r="Q15" s="11" t="inlineStr"/>
      <c r="R15" s="11" t="inlineStr"/>
    </row>
    <row r="16">
      <c r="A16" s="7" t="inlineStr">
        <is>
          <t>B12</t>
        </is>
      </c>
      <c r="B16" s="7" t="inlineStr">
        <is>
          <t>5.21b</t>
        </is>
      </c>
      <c r="C16" s="7" t="inlineStr">
        <is>
          <t>Fume extraction</t>
        </is>
      </c>
      <c r="D16" s="7" t="inlineStr">
        <is>
          <t>Medium</t>
        </is>
      </c>
      <c r="E16" s="7" t="inlineStr">
        <is>
          <t>band</t>
        </is>
      </c>
      <c r="F16" s="8" t="n"/>
      <c r="G16" s="8" t="n">
        <v>16000</v>
      </c>
      <c r="H16" s="8" t="n"/>
      <c r="I16" s="8" t="n">
        <v>16000</v>
      </c>
      <c r="J16" s="8" t="n"/>
      <c r="K16" s="8" t="n"/>
      <c r="L16" s="15" t="n">
        <v>30000</v>
      </c>
      <c r="M16" s="8" t="n"/>
      <c r="N16" s="15" t="n">
        <v>30000</v>
      </c>
      <c r="O16" s="8" t="n"/>
      <c r="P16" s="16" t="inlineStr">
        <is>
          <t>Carry over</t>
        </is>
      </c>
      <c r="Q16" s="11" t="inlineStr"/>
      <c r="R16" s="11" t="inlineStr"/>
    </row>
    <row r="17">
      <c r="A17" s="7" t="inlineStr">
        <is>
          <t>B13</t>
        </is>
      </c>
      <c r="B17" s="7" t="inlineStr">
        <is>
          <t>5.21c</t>
        </is>
      </c>
      <c r="C17" s="7" t="inlineStr">
        <is>
          <t>Fume extraction</t>
        </is>
      </c>
      <c r="D17" s="7" t="inlineStr">
        <is>
          <t>Large</t>
        </is>
      </c>
      <c r="E17" s="7" t="inlineStr">
        <is>
          <t>band</t>
        </is>
      </c>
      <c r="F17" s="8" t="n"/>
      <c r="G17" s="8" t="n">
        <v>38000</v>
      </c>
      <c r="H17" s="8" t="n"/>
      <c r="I17" s="8" t="n">
        <v>38000</v>
      </c>
      <c r="J17" s="8" t="n"/>
      <c r="K17" s="8" t="n"/>
      <c r="L17" s="15" t="n">
        <v>60000</v>
      </c>
      <c r="M17" s="8" t="n"/>
      <c r="N17" s="15" t="n">
        <v>60000</v>
      </c>
      <c r="O17" s="8" t="n"/>
      <c r="P17" s="16" t="inlineStr">
        <is>
          <t>Carry over</t>
        </is>
      </c>
      <c r="Q17" s="11" t="inlineStr"/>
      <c r="R17" s="11" t="inlineStr"/>
    </row>
    <row r="18">
      <c r="A18" s="7" t="inlineStr">
        <is>
          <t>B14</t>
        </is>
      </c>
      <c r="B18" s="7" t="inlineStr">
        <is>
          <t>8.7</t>
        </is>
      </c>
      <c r="C18" s="7" t="inlineStr">
        <is>
          <t>Roads, paths and paving</t>
        </is>
      </c>
      <c r="D18" s="7" t="inlineStr">
        <is>
          <t>—</t>
        </is>
      </c>
      <c r="E18" s="7" t="inlineStr">
        <is>
          <t>m² hard surface</t>
        </is>
      </c>
      <c r="F18" s="8" t="n">
        <v>35</v>
      </c>
      <c r="G18" s="8" t="n">
        <v>50</v>
      </c>
      <c r="H18" s="8" t="n">
        <v>80</v>
      </c>
      <c r="I18" s="8" t="n">
        <v>50</v>
      </c>
      <c r="J18" s="8" t="n">
        <v>80</v>
      </c>
      <c r="K18" s="15" t="n">
        <v>45</v>
      </c>
      <c r="L18" s="15" t="n">
        <v>75</v>
      </c>
      <c r="M18" s="15" t="n">
        <v>120</v>
      </c>
      <c r="N18" s="15" t="n">
        <v>75</v>
      </c>
      <c r="O18" s="15" t="n">
        <v>120</v>
      </c>
      <c r="P18" s="16" t="inlineStr">
        <is>
          <t>Carry over</t>
        </is>
      </c>
      <c r="Q18" s="11" t="inlineStr"/>
      <c r="R18" s="11" t="inlineStr"/>
    </row>
    <row r="19">
      <c r="A19" s="7" t="inlineStr">
        <is>
          <t>B15</t>
        </is>
      </c>
      <c r="B19" s="7" t="inlineStr">
        <is>
          <t>8.8</t>
        </is>
      </c>
      <c r="C19" s="7" t="inlineStr">
        <is>
          <t>Car parking</t>
        </is>
      </c>
      <c r="D19" s="7" t="inlineStr">
        <is>
          <t>—</t>
        </is>
      </c>
      <c r="E19" s="7" t="inlineStr">
        <is>
          <t>nr spaces</t>
        </is>
      </c>
      <c r="F19" s="8" t="n">
        <v>1000</v>
      </c>
      <c r="G19" s="8" t="n">
        <v>1800</v>
      </c>
      <c r="H19" s="8" t="n">
        <v>2800</v>
      </c>
      <c r="I19" s="8" t="n">
        <v>1000</v>
      </c>
      <c r="J19" s="8" t="n">
        <v>1800</v>
      </c>
      <c r="K19" s="8" t="n">
        <v>1000</v>
      </c>
      <c r="L19" s="15" t="n">
        <v>2500</v>
      </c>
      <c r="M19" s="15" t="n">
        <v>4000</v>
      </c>
      <c r="N19" s="15" t="n">
        <v>2500</v>
      </c>
      <c r="O19" s="15" t="n">
        <v>4000</v>
      </c>
      <c r="P19" s="16" t="inlineStr">
        <is>
          <t>Carry over</t>
        </is>
      </c>
      <c r="Q19" s="11" t="inlineStr"/>
      <c r="R19" s="11" t="inlineStr"/>
    </row>
    <row r="20">
      <c r="A20" s="7" t="inlineStr">
        <is>
          <t>B16</t>
        </is>
      </c>
      <c r="B20" s="7" t="inlineStr">
        <is>
          <t>8.12a</t>
        </is>
      </c>
      <c r="C20" s="7" t="inlineStr">
        <is>
          <t>Biodiversity net gain</t>
        </is>
      </c>
      <c r="D20" s="7" t="inlineStr">
        <is>
          <t>Small</t>
        </is>
      </c>
      <c r="E20" s="7" t="inlineStr">
        <is>
          <t>band</t>
        </is>
      </c>
      <c r="F20" s="8" t="n">
        <v>0</v>
      </c>
      <c r="G20" s="8" t="n">
        <v>0</v>
      </c>
      <c r="H20" s="8" t="n">
        <v>0</v>
      </c>
      <c r="I20" s="8" t="n">
        <v>10000</v>
      </c>
      <c r="J20" s="8" t="n"/>
      <c r="K20" s="8" t="n">
        <v>0</v>
      </c>
      <c r="L20" s="8" t="n">
        <v>0</v>
      </c>
      <c r="M20" s="8" t="n">
        <v>0</v>
      </c>
      <c r="N20" s="15" t="n">
        <v>15000</v>
      </c>
      <c r="O20" s="8" t="n"/>
      <c r="P20" s="16" t="inlineStr">
        <is>
          <t>Carry over</t>
        </is>
      </c>
      <c r="Q20" s="11" t="inlineStr"/>
      <c r="R20" s="11" t="inlineStr"/>
    </row>
    <row r="21">
      <c r="A21" s="7" t="inlineStr">
        <is>
          <t>B17</t>
        </is>
      </c>
      <c r="B21" s="7" t="inlineStr">
        <is>
          <t>8.12b</t>
        </is>
      </c>
      <c r="C21" s="7" t="inlineStr">
        <is>
          <t>Biodiversity net gain</t>
        </is>
      </c>
      <c r="D21" s="7" t="inlineStr">
        <is>
          <t>Medium</t>
        </is>
      </c>
      <c r="E21" s="7" t="inlineStr">
        <is>
          <t>band</t>
        </is>
      </c>
      <c r="F21" s="8" t="n">
        <v>0</v>
      </c>
      <c r="G21" s="8" t="n">
        <v>0</v>
      </c>
      <c r="H21" s="8" t="n">
        <v>0</v>
      </c>
      <c r="I21" s="8" t="n">
        <v>40000</v>
      </c>
      <c r="J21" s="8" t="n"/>
      <c r="K21" s="8" t="n">
        <v>0</v>
      </c>
      <c r="L21" s="8" t="n">
        <v>0</v>
      </c>
      <c r="M21" s="8" t="n">
        <v>0</v>
      </c>
      <c r="N21" s="15" t="n">
        <v>75000</v>
      </c>
      <c r="O21" s="8" t="n"/>
      <c r="P21" s="16" t="inlineStr">
        <is>
          <t>Carry over</t>
        </is>
      </c>
      <c r="Q21" s="11" t="inlineStr"/>
      <c r="R21" s="11" t="inlineStr"/>
    </row>
    <row r="22">
      <c r="A22" s="7" t="inlineStr">
        <is>
          <t>B18</t>
        </is>
      </c>
      <c r="B22" s="7" t="inlineStr">
        <is>
          <t>8.12c</t>
        </is>
      </c>
      <c r="C22" s="7" t="inlineStr">
        <is>
          <t>Biodiversity net gain</t>
        </is>
      </c>
      <c r="D22" s="7" t="inlineStr">
        <is>
          <t>Large</t>
        </is>
      </c>
      <c r="E22" s="7" t="inlineStr">
        <is>
          <t>band</t>
        </is>
      </c>
      <c r="F22" s="8" t="n">
        <v>0</v>
      </c>
      <c r="G22" s="8" t="n">
        <v>0</v>
      </c>
      <c r="H22" s="8" t="n">
        <v>0</v>
      </c>
      <c r="I22" s="8" t="n">
        <v>120000</v>
      </c>
      <c r="J22" s="8" t="n"/>
      <c r="K22" s="8" t="n">
        <v>0</v>
      </c>
      <c r="L22" s="8" t="n">
        <v>0</v>
      </c>
      <c r="M22" s="8" t="n">
        <v>0</v>
      </c>
      <c r="N22" s="15" t="n">
        <v>200000</v>
      </c>
      <c r="O22" s="8" t="n"/>
      <c r="P22" s="16" t="inlineStr">
        <is>
          <t>Carry over</t>
        </is>
      </c>
      <c r="Q22" s="11" t="inlineStr"/>
      <c r="R22" s="11" t="inlineStr"/>
    </row>
    <row r="23">
      <c r="A23" s="7" t="inlineStr">
        <is>
          <t>B19</t>
        </is>
      </c>
      <c r="B23" s="7" t="inlineStr">
        <is>
          <t>8.15</t>
        </is>
      </c>
      <c r="C23" s="7" t="inlineStr">
        <is>
          <t>Cycle storage</t>
        </is>
      </c>
      <c r="D23" s="7" t="inlineStr">
        <is>
          <t>—</t>
        </is>
      </c>
      <c r="E23" s="7" t="inlineStr">
        <is>
          <t>nr spaces</t>
        </is>
      </c>
      <c r="F23" s="8" t="n">
        <v>210</v>
      </c>
      <c r="G23" s="8" t="n">
        <v>240</v>
      </c>
      <c r="H23" s="8" t="n">
        <v>480</v>
      </c>
      <c r="I23" s="8" t="n">
        <v>240</v>
      </c>
      <c r="J23" s="8" t="n">
        <v>480</v>
      </c>
      <c r="K23" s="8" t="n">
        <v>210</v>
      </c>
      <c r="L23" s="15" t="n">
        <v>350</v>
      </c>
      <c r="M23" s="15" t="n">
        <v>600</v>
      </c>
      <c r="N23" s="15" t="n">
        <v>350</v>
      </c>
      <c r="O23" s="15" t="n">
        <v>600</v>
      </c>
      <c r="P23" s="16" t="inlineStr">
        <is>
          <t>Carry over</t>
        </is>
      </c>
      <c r="Q23" s="11" t="inlineStr"/>
      <c r="R23" s="11" t="inlineStr"/>
    </row>
  </sheetData>
  <dataValidations count="1">
    <dataValidation sqref="Q5:Q23" showDropDown="0" showInputMessage="0" showErrorMessage="0" allowBlank="1" type="list">
      <formula1>"Accept,Reject,Amend"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zoomScale="10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4" customWidth="1" min="3" max="3"/>
    <col width="26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13" customWidth="1" min="17" max="17"/>
    <col width="30" customWidth="1" min="18" max="18"/>
  </cols>
  <sheetData>
    <row r="1">
      <c r="A1" s="4" t="inlineStr">
        <is>
          <t>C. Market estimates from PR #31 (v5.8 commit) — Claude's estimates, not yours</t>
        </is>
      </c>
    </row>
    <row r="2">
      <c r="A2" s="5" t="inlineStr">
        <is>
          <t>These keep the † (unverified) flag either way. Recommendation: carry over, except where tender evidence contradicts (see tab A, 5.2b).</t>
        </is>
      </c>
    </row>
    <row r="4">
      <c r="A4" s="6" t="inlineStr">
        <is>
          <t>Ref</t>
        </is>
      </c>
      <c r="B4" s="6" t="inlineStr">
        <is>
          <t>Code</t>
        </is>
      </c>
      <c r="C4" s="6" t="inlineStr">
        <is>
          <t>Item</t>
        </is>
      </c>
      <c r="D4" s="6" t="inlineStr">
        <is>
          <t>Option</t>
        </is>
      </c>
      <c r="E4" s="6" t="inlineStr">
        <is>
          <t>Unit</t>
        </is>
      </c>
      <c r="F4" s="6" t="inlineStr">
        <is>
          <t>Live B</t>
        </is>
      </c>
      <c r="G4" s="6" t="inlineStr">
        <is>
          <t>Live S</t>
        </is>
      </c>
      <c r="H4" s="6" t="inlineStr">
        <is>
          <t>Live H</t>
        </is>
      </c>
      <c r="I4" s="6" t="inlineStr">
        <is>
          <t>Live NB S</t>
        </is>
      </c>
      <c r="J4" s="6" t="inlineStr">
        <is>
          <t>Live NB H</t>
        </is>
      </c>
      <c r="K4" s="6" t="inlineStr">
        <is>
          <t>#31 B</t>
        </is>
      </c>
      <c r="L4" s="6" t="inlineStr">
        <is>
          <t>#31 S</t>
        </is>
      </c>
      <c r="M4" s="6" t="inlineStr">
        <is>
          <t>#31 H</t>
        </is>
      </c>
      <c r="N4" s="6" t="inlineStr">
        <is>
          <t>#31 NB S</t>
        </is>
      </c>
      <c r="O4" s="6" t="inlineStr">
        <is>
          <t>#31 NB H</t>
        </is>
      </c>
      <c r="P4" s="6" t="inlineStr">
        <is>
          <t>Recommendation</t>
        </is>
      </c>
      <c r="Q4" s="6" t="inlineStr">
        <is>
          <t>Your decision</t>
        </is>
      </c>
      <c r="R4" s="6" t="inlineStr">
        <is>
          <t>Your notes</t>
        </is>
      </c>
    </row>
    <row r="5">
      <c r="A5" s="7" t="inlineStr">
        <is>
          <t>C01</t>
        </is>
      </c>
      <c r="B5" s="7" t="inlineStr">
        <is>
          <t>4.4b</t>
        </is>
      </c>
      <c r="C5" s="7" t="inlineStr">
        <is>
          <t>Kitchens</t>
        </is>
      </c>
      <c r="D5" s="7" t="inlineStr">
        <is>
          <t>Staff kitchenette (non-domestic)</t>
        </is>
      </c>
      <c r="E5" s="7" t="inlineStr">
        <is>
          <t>nr kitchenettes</t>
        </is>
      </c>
      <c r="F5" s="8" t="n">
        <v>2500</v>
      </c>
      <c r="G5" s="8" t="n">
        <v>4000</v>
      </c>
      <c r="H5" s="8" t="n">
        <v>7000</v>
      </c>
      <c r="I5" s="8" t="n">
        <v>4000</v>
      </c>
      <c r="J5" s="8" t="n">
        <v>7000</v>
      </c>
      <c r="K5" s="15" t="n">
        <v>3500</v>
      </c>
      <c r="L5" s="15" t="n">
        <v>5500</v>
      </c>
      <c r="M5" s="15" t="n">
        <v>9000</v>
      </c>
      <c r="N5" s="15" t="n">
        <v>5500</v>
      </c>
      <c r="O5" s="15" t="n">
        <v>9000</v>
      </c>
      <c r="P5" s="17" t="inlineStr">
        <is>
          <t>Carry over (†)</t>
        </is>
      </c>
      <c r="Q5" s="11" t="inlineStr"/>
      <c r="R5" s="11" t="inlineStr"/>
    </row>
    <row r="6">
      <c r="A6" s="7" t="inlineStr">
        <is>
          <t>C02</t>
        </is>
      </c>
      <c r="B6" s="7" t="inlineStr">
        <is>
          <t>5.1g</t>
        </is>
      </c>
      <c r="C6" s="7" t="inlineStr">
        <is>
          <t>Heating and hot water</t>
        </is>
      </c>
      <c r="D6" s="7" t="inlineStr">
        <is>
          <t>Gas boiler, radiators and controls only</t>
        </is>
      </c>
      <c r="E6" s="7" t="inlineStr">
        <is>
          <t>m² GIFA</t>
        </is>
      </c>
      <c r="F6" s="8" t="n">
        <v>9</v>
      </c>
      <c r="G6" s="8" t="n">
        <v>18</v>
      </c>
      <c r="H6" s="8" t="n">
        <v>40.5</v>
      </c>
      <c r="I6" s="8" t="n">
        <v>18</v>
      </c>
      <c r="J6" s="8" t="n">
        <v>31.5</v>
      </c>
      <c r="K6" s="15" t="n">
        <v>10.5</v>
      </c>
      <c r="L6" s="15" t="n">
        <v>21</v>
      </c>
      <c r="M6" s="15" t="n">
        <v>47.25</v>
      </c>
      <c r="N6" s="15" t="n">
        <v>21</v>
      </c>
      <c r="O6" s="15" t="n">
        <v>36.75</v>
      </c>
      <c r="P6" s="17" t="inlineStr">
        <is>
          <t>Carry over (†)</t>
        </is>
      </c>
      <c r="Q6" s="11" t="inlineStr"/>
      <c r="R6" s="11" t="inlineStr"/>
    </row>
    <row r="7">
      <c r="A7" s="7" t="inlineStr">
        <is>
          <t>C03</t>
        </is>
      </c>
      <c r="B7" s="7" t="inlineStr">
        <is>
          <t>5.1h</t>
        </is>
      </c>
      <c r="C7" s="7" t="inlineStr">
        <is>
          <t>Heating and hot water</t>
        </is>
      </c>
      <c r="D7" s="7" t="inlineStr">
        <is>
          <t>Air source heat pump, plant only</t>
        </is>
      </c>
      <c r="E7" s="7" t="inlineStr">
        <is>
          <t>m² GIFA</t>
        </is>
      </c>
      <c r="F7" s="8" t="n">
        <v>17.55</v>
      </c>
      <c r="G7" s="8" t="n">
        <v>35.1</v>
      </c>
      <c r="H7" s="8" t="n">
        <v>78.98</v>
      </c>
      <c r="I7" s="8" t="n">
        <v>35.1</v>
      </c>
      <c r="J7" s="8" t="n">
        <v>61.43</v>
      </c>
      <c r="K7" s="15" t="n">
        <v>28.05</v>
      </c>
      <c r="L7" s="15" t="n">
        <v>56.1</v>
      </c>
      <c r="M7" s="15" t="n">
        <v>98.18000000000001</v>
      </c>
      <c r="N7" s="15" t="n">
        <v>56.1</v>
      </c>
      <c r="O7" s="15" t="n">
        <v>98.18000000000001</v>
      </c>
      <c r="P7" s="17" t="inlineStr">
        <is>
          <t>Carry over (†)</t>
        </is>
      </c>
      <c r="Q7" s="11" t="inlineStr"/>
      <c r="R7" s="11" t="inlineStr"/>
    </row>
    <row r="8">
      <c r="A8" s="7" t="inlineStr">
        <is>
          <t>C04</t>
        </is>
      </c>
      <c r="B8" s="7" t="inlineStr">
        <is>
          <t>5.1i</t>
        </is>
      </c>
      <c r="C8" s="7" t="inlineStr">
        <is>
          <t>Heating and hot water</t>
        </is>
      </c>
      <c r="D8" s="7" t="inlineStr">
        <is>
          <t>Air source heat pump, radiators and controls only</t>
        </is>
      </c>
      <c r="E8" s="7" t="inlineStr">
        <is>
          <t>m² GIFA</t>
        </is>
      </c>
      <c r="F8" s="8" t="n">
        <v>11.7</v>
      </c>
      <c r="G8" s="8" t="n">
        <v>23.4</v>
      </c>
      <c r="H8" s="8" t="n">
        <v>52.65</v>
      </c>
      <c r="I8" s="8" t="n">
        <v>23.4</v>
      </c>
      <c r="J8" s="8" t="n">
        <v>40.95</v>
      </c>
      <c r="K8" s="15" t="n">
        <v>12.75</v>
      </c>
      <c r="L8" s="15" t="n">
        <v>25.5</v>
      </c>
      <c r="M8" s="15" t="n">
        <v>44.62</v>
      </c>
      <c r="N8" s="15" t="n">
        <v>25.5</v>
      </c>
      <c r="O8" s="15" t="n">
        <v>44.62</v>
      </c>
      <c r="P8" s="17" t="inlineStr">
        <is>
          <t>Carry over (†)</t>
        </is>
      </c>
      <c r="Q8" s="11" t="inlineStr"/>
      <c r="R8" s="11" t="inlineStr"/>
    </row>
    <row r="9">
      <c r="A9" s="7" t="inlineStr">
        <is>
          <t>C05</t>
        </is>
      </c>
      <c r="B9" s="7" t="inlineStr">
        <is>
          <t>5.1j</t>
        </is>
      </c>
      <c r="C9" s="7" t="inlineStr">
        <is>
          <t>Heating and hot water</t>
        </is>
      </c>
      <c r="D9" s="7" t="inlineStr">
        <is>
          <t>Ground source heat pump, plant only</t>
        </is>
      </c>
      <c r="E9" s="7" t="inlineStr">
        <is>
          <t>m² GIFA</t>
        </is>
      </c>
      <c r="F9" s="8" t="n">
        <v>24.3</v>
      </c>
      <c r="G9" s="8" t="n">
        <v>48.6</v>
      </c>
      <c r="H9" s="8" t="n">
        <v>109.35</v>
      </c>
      <c r="I9" s="8" t="n">
        <v>48.6</v>
      </c>
      <c r="J9" s="8" t="n">
        <v>85.05</v>
      </c>
      <c r="K9" s="15" t="n">
        <v>44.85</v>
      </c>
      <c r="L9" s="15" t="n">
        <v>89.7</v>
      </c>
      <c r="M9" s="15" t="n">
        <v>156.97</v>
      </c>
      <c r="N9" s="15" t="n">
        <v>89.7</v>
      </c>
      <c r="O9" s="15" t="n">
        <v>156.97</v>
      </c>
      <c r="P9" s="17" t="inlineStr">
        <is>
          <t>Carry over (†)</t>
        </is>
      </c>
      <c r="Q9" s="11" t="inlineStr"/>
      <c r="R9" s="11" t="inlineStr"/>
    </row>
    <row r="10">
      <c r="A10" s="7" t="inlineStr">
        <is>
          <t>C06</t>
        </is>
      </c>
      <c r="B10" s="7" t="inlineStr">
        <is>
          <t>5.1k</t>
        </is>
      </c>
      <c r="C10" s="7" t="inlineStr">
        <is>
          <t>Heating and hot water</t>
        </is>
      </c>
      <c r="D10" s="7" t="inlineStr">
        <is>
          <t>Ground source heat pump, radiators and controls only</t>
        </is>
      </c>
      <c r="E10" s="7" t="inlineStr">
        <is>
          <t>m² GIFA</t>
        </is>
      </c>
      <c r="F10" s="8" t="n">
        <v>16.2</v>
      </c>
      <c r="G10" s="8" t="n">
        <v>32.4</v>
      </c>
      <c r="H10" s="8" t="n">
        <v>72.90000000000001</v>
      </c>
      <c r="I10" s="8" t="n">
        <v>32.4</v>
      </c>
      <c r="J10" s="8" t="n">
        <v>56.7</v>
      </c>
      <c r="K10" s="15" t="n">
        <v>13.8</v>
      </c>
      <c r="L10" s="15" t="n">
        <v>27.6</v>
      </c>
      <c r="M10" s="15" t="n">
        <v>48.3</v>
      </c>
      <c r="N10" s="15" t="n">
        <v>27.6</v>
      </c>
      <c r="O10" s="15" t="n">
        <v>48.3</v>
      </c>
      <c r="P10" s="17" t="inlineStr">
        <is>
          <t>Carry over (†)</t>
        </is>
      </c>
      <c r="Q10" s="11" t="inlineStr"/>
      <c r="R10" s="11" t="inlineStr"/>
    </row>
    <row r="11">
      <c r="A11" s="7" t="inlineStr">
        <is>
          <t>C07</t>
        </is>
      </c>
      <c r="B11" s="7" t="inlineStr">
        <is>
          <t>5.1o</t>
        </is>
      </c>
      <c r="C11" s="7" t="inlineStr">
        <is>
          <t>Heating and hot water</t>
        </is>
      </c>
      <c r="D11" s="7" t="inlineStr">
        <is>
          <t>Electric, radiators and controls only</t>
        </is>
      </c>
      <c r="E11" s="7" t="inlineStr">
        <is>
          <t>m² GIFA</t>
        </is>
      </c>
      <c r="F11" s="8" t="n">
        <v>5.4</v>
      </c>
      <c r="G11" s="8" t="n">
        <v>10.8</v>
      </c>
      <c r="H11" s="8" t="n">
        <v>24.3</v>
      </c>
      <c r="I11" s="8" t="n">
        <v>10.8</v>
      </c>
      <c r="J11" s="8" t="n">
        <v>18.9</v>
      </c>
      <c r="K11" s="15" t="n">
        <v>12.6</v>
      </c>
      <c r="L11" s="15" t="n">
        <v>25.2</v>
      </c>
      <c r="M11" s="15" t="n">
        <v>56.7</v>
      </c>
      <c r="N11" s="15" t="n">
        <v>25.2</v>
      </c>
      <c r="O11" s="15" t="n">
        <v>44.1</v>
      </c>
      <c r="P11" s="17" t="inlineStr">
        <is>
          <t>Carry over (†)</t>
        </is>
      </c>
      <c r="Q11" s="11" t="inlineStr"/>
      <c r="R11" s="11" t="inlineStr"/>
    </row>
    <row r="12">
      <c r="A12" s="7" t="inlineStr">
        <is>
          <t>C08</t>
        </is>
      </c>
      <c r="B12" s="7" t="inlineStr">
        <is>
          <t>5.8b</t>
        </is>
      </c>
      <c r="C12" s="7" t="inlineStr">
        <is>
          <t>Lighting</t>
        </is>
      </c>
      <c r="D12" s="7" t="inlineStr">
        <is>
          <t>Replace fittings only</t>
        </is>
      </c>
      <c r="E12" s="7" t="inlineStr">
        <is>
          <t>m² GIFA</t>
        </is>
      </c>
      <c r="F12" s="8" t="n">
        <v>15</v>
      </c>
      <c r="G12" s="8" t="n">
        <v>24.75</v>
      </c>
      <c r="H12" s="8" t="n">
        <v>39</v>
      </c>
      <c r="I12" s="8" t="n">
        <v>24.75</v>
      </c>
      <c r="J12" s="8" t="n">
        <v>39</v>
      </c>
      <c r="K12" s="15" t="n">
        <v>18.75</v>
      </c>
      <c r="L12" s="15" t="n">
        <v>30</v>
      </c>
      <c r="M12" s="15" t="n">
        <v>45</v>
      </c>
      <c r="N12" s="15" t="n">
        <v>30</v>
      </c>
      <c r="O12" s="15" t="n">
        <v>45</v>
      </c>
      <c r="P12" s="17" t="inlineStr">
        <is>
          <t>Carry over (†)</t>
        </is>
      </c>
      <c r="Q12" s="11" t="inlineStr"/>
      <c r="R12" s="11" t="inlineStr"/>
    </row>
    <row r="13">
      <c r="A13" s="7" t="inlineStr">
        <is>
          <t>C09</t>
        </is>
      </c>
      <c r="B13" s="7" t="inlineStr">
        <is>
          <t>5.10a</t>
        </is>
      </c>
      <c r="C13" s="7" t="inlineStr">
        <is>
          <t>Standby power</t>
        </is>
      </c>
      <c r="D13" s="7" t="inlineStr">
        <is>
          <t>Generator, small</t>
        </is>
      </c>
      <c r="E13" s="7" t="inlineStr">
        <is>
          <t>band</t>
        </is>
      </c>
      <c r="F13" s="8" t="n"/>
      <c r="G13" s="8" t="n">
        <v>25000</v>
      </c>
      <c r="H13" s="8" t="n"/>
      <c r="I13" s="8" t="n">
        <v>25000</v>
      </c>
      <c r="J13" s="8" t="n"/>
      <c r="K13" s="8" t="n"/>
      <c r="L13" s="15" t="n">
        <v>28000</v>
      </c>
      <c r="M13" s="8" t="n"/>
      <c r="N13" s="15" t="n">
        <v>28000</v>
      </c>
      <c r="O13" s="8" t="n"/>
      <c r="P13" s="17" t="inlineStr">
        <is>
          <t>Carry over (†)</t>
        </is>
      </c>
      <c r="Q13" s="11" t="inlineStr"/>
      <c r="R13" s="11" t="inlineStr"/>
    </row>
    <row r="14">
      <c r="A14" s="7" t="inlineStr">
        <is>
          <t>C10</t>
        </is>
      </c>
      <c r="B14" s="7" t="inlineStr">
        <is>
          <t>5.13</t>
        </is>
      </c>
      <c r="C14" s="7" t="inlineStr">
        <is>
          <t>Smoke ventilation</t>
        </is>
      </c>
      <c r="D14" s="7" t="inlineStr">
        <is>
          <t>—</t>
        </is>
      </c>
      <c r="E14" s="7" t="inlineStr">
        <is>
          <t>nr floors</t>
        </is>
      </c>
      <c r="F14" s="8" t="n">
        <v>4000</v>
      </c>
      <c r="G14" s="8" t="n">
        <v>6000</v>
      </c>
      <c r="H14" s="8" t="n">
        <v>9000</v>
      </c>
      <c r="I14" s="8" t="n">
        <v>6000</v>
      </c>
      <c r="J14" s="8" t="n">
        <v>9000</v>
      </c>
      <c r="K14" s="8" t="n">
        <v>4000</v>
      </c>
      <c r="L14" s="15" t="n">
        <v>6500</v>
      </c>
      <c r="M14" s="15" t="n">
        <v>12000</v>
      </c>
      <c r="N14" s="15" t="n">
        <v>6500</v>
      </c>
      <c r="O14" s="15" t="n">
        <v>12000</v>
      </c>
      <c r="P14" s="17" t="inlineStr">
        <is>
          <t>Carry over (†)</t>
        </is>
      </c>
      <c r="Q14" s="11" t="inlineStr"/>
      <c r="R14" s="11" t="inlineStr"/>
    </row>
    <row r="15">
      <c r="A15" s="7" t="inlineStr">
        <is>
          <t>C11</t>
        </is>
      </c>
      <c r="B15" s="7" t="inlineStr">
        <is>
          <t>5.20a</t>
        </is>
      </c>
      <c r="C15" s="7" t="inlineStr">
        <is>
          <t>Compressed air</t>
        </is>
      </c>
      <c r="D15" s="7" t="inlineStr">
        <is>
          <t>Small</t>
        </is>
      </c>
      <c r="E15" s="7" t="inlineStr">
        <is>
          <t>band</t>
        </is>
      </c>
      <c r="F15" s="8" t="n"/>
      <c r="G15" s="8" t="n">
        <v>6000</v>
      </c>
      <c r="H15" s="8" t="n"/>
      <c r="I15" s="8" t="n">
        <v>6000</v>
      </c>
      <c r="J15" s="8" t="n"/>
      <c r="K15" s="8" t="n"/>
      <c r="L15" s="15" t="n">
        <v>7500</v>
      </c>
      <c r="M15" s="8" t="n"/>
      <c r="N15" s="15" t="n">
        <v>7500</v>
      </c>
      <c r="O15" s="8" t="n"/>
      <c r="P15" s="17" t="inlineStr">
        <is>
          <t>Carry over (†)</t>
        </is>
      </c>
      <c r="Q15" s="11" t="inlineStr"/>
      <c r="R15" s="11" t="inlineStr"/>
    </row>
    <row r="16">
      <c r="A16" s="7" t="inlineStr">
        <is>
          <t>C12</t>
        </is>
      </c>
      <c r="B16" s="7" t="inlineStr">
        <is>
          <t>5.21a</t>
        </is>
      </c>
      <c r="C16" s="7" t="inlineStr">
        <is>
          <t>Fume extraction</t>
        </is>
      </c>
      <c r="D16" s="7" t="inlineStr">
        <is>
          <t>Small</t>
        </is>
      </c>
      <c r="E16" s="7" t="inlineStr">
        <is>
          <t>band</t>
        </is>
      </c>
      <c r="F16" s="8" t="n"/>
      <c r="G16" s="8" t="n">
        <v>8000</v>
      </c>
      <c r="H16" s="8" t="n"/>
      <c r="I16" s="8" t="n">
        <v>8000</v>
      </c>
      <c r="J16" s="8" t="n"/>
      <c r="K16" s="8" t="n"/>
      <c r="L16" s="15" t="n">
        <v>12000</v>
      </c>
      <c r="M16" s="8" t="n"/>
      <c r="N16" s="15" t="n">
        <v>12000</v>
      </c>
      <c r="O16" s="8" t="n"/>
      <c r="P16" s="17" t="inlineStr">
        <is>
          <t>Carry over (†)</t>
        </is>
      </c>
      <c r="Q16" s="11" t="inlineStr"/>
      <c r="R16" s="11" t="inlineStr"/>
    </row>
    <row r="17">
      <c r="A17" s="7" t="inlineStr">
        <is>
          <t>C13</t>
        </is>
      </c>
      <c r="B17" s="7" t="inlineStr">
        <is>
          <t>5.25a</t>
        </is>
      </c>
      <c r="C17" s="7" t="inlineStr">
        <is>
          <t>Server room cooling</t>
        </is>
      </c>
      <c r="D17" s="7" t="inlineStr">
        <is>
          <t>Small</t>
        </is>
      </c>
      <c r="E17" s="7" t="inlineStr">
        <is>
          <t>band</t>
        </is>
      </c>
      <c r="F17" s="8" t="n"/>
      <c r="G17" s="8" t="n">
        <v>18000</v>
      </c>
      <c r="H17" s="8" t="n"/>
      <c r="I17" s="8" t="n">
        <v>18000</v>
      </c>
      <c r="J17" s="8" t="n"/>
      <c r="K17" s="8" t="n"/>
      <c r="L17" s="15" t="n">
        <v>12000</v>
      </c>
      <c r="M17" s="8" t="n"/>
      <c r="N17" s="15" t="n">
        <v>12000</v>
      </c>
      <c r="O17" s="8" t="n"/>
      <c r="P17" s="17" t="inlineStr">
        <is>
          <t>Carry over (†)</t>
        </is>
      </c>
      <c r="Q17" s="11" t="inlineStr"/>
      <c r="R17" s="11" t="inlineStr"/>
    </row>
    <row r="18">
      <c r="A18" s="7" t="inlineStr">
        <is>
          <t>C14</t>
        </is>
      </c>
      <c r="B18" s="7" t="inlineStr">
        <is>
          <t>8.5a</t>
        </is>
      </c>
      <c r="C18" s="7" t="inlineStr">
        <is>
          <t>Highways and site access</t>
        </is>
      </c>
      <c r="D18" s="7" t="inlineStr">
        <is>
          <t>Small</t>
        </is>
      </c>
      <c r="E18" s="7" t="inlineStr">
        <is>
          <t>band</t>
        </is>
      </c>
      <c r="F18" s="8" t="n"/>
      <c r="G18" s="8" t="n">
        <v>25000</v>
      </c>
      <c r="H18" s="8" t="n"/>
      <c r="I18" s="8" t="n">
        <v>25000</v>
      </c>
      <c r="J18" s="8" t="n"/>
      <c r="K18" s="8" t="n"/>
      <c r="L18" s="15" t="n">
        <v>15000</v>
      </c>
      <c r="M18" s="8" t="n"/>
      <c r="N18" s="15" t="n">
        <v>15000</v>
      </c>
      <c r="O18" s="8" t="n"/>
      <c r="P18" s="17" t="inlineStr">
        <is>
          <t>Carry over (†)</t>
        </is>
      </c>
      <c r="Q18" s="11" t="inlineStr"/>
      <c r="R18" s="11" t="inlineStr"/>
    </row>
    <row r="19">
      <c r="A19" s="7" t="inlineStr">
        <is>
          <t>C15</t>
        </is>
      </c>
      <c r="B19" s="7" t="inlineStr">
        <is>
          <t>8.5b</t>
        </is>
      </c>
      <c r="C19" s="7" t="inlineStr">
        <is>
          <t>Highways and site access</t>
        </is>
      </c>
      <c r="D19" s="7" t="inlineStr">
        <is>
          <t>Medium</t>
        </is>
      </c>
      <c r="E19" s="7" t="inlineStr">
        <is>
          <t>band</t>
        </is>
      </c>
      <c r="F19" s="8" t="n"/>
      <c r="G19" s="8" t="n">
        <v>75000</v>
      </c>
      <c r="H19" s="8" t="n"/>
      <c r="I19" s="8" t="n">
        <v>75000</v>
      </c>
      <c r="J19" s="8" t="n"/>
      <c r="K19" s="8" t="n"/>
      <c r="L19" s="15" t="n">
        <v>100000</v>
      </c>
      <c r="M19" s="8" t="n"/>
      <c r="N19" s="15" t="n">
        <v>100000</v>
      </c>
      <c r="O19" s="8" t="n"/>
      <c r="P19" s="17" t="inlineStr">
        <is>
          <t>Carry over (†)</t>
        </is>
      </c>
      <c r="Q19" s="11" t="inlineStr"/>
      <c r="R19" s="11" t="inlineStr"/>
    </row>
    <row r="20">
      <c r="A20" s="7" t="inlineStr">
        <is>
          <t>C16</t>
        </is>
      </c>
      <c r="B20" s="7" t="inlineStr">
        <is>
          <t>8.5c</t>
        </is>
      </c>
      <c r="C20" s="7" t="inlineStr">
        <is>
          <t>Highways and site access</t>
        </is>
      </c>
      <c r="D20" s="7" t="inlineStr">
        <is>
          <t>Large</t>
        </is>
      </c>
      <c r="E20" s="7" t="inlineStr">
        <is>
          <t>band</t>
        </is>
      </c>
      <c r="F20" s="8" t="n"/>
      <c r="G20" s="8" t="n">
        <v>200000</v>
      </c>
      <c r="H20" s="8" t="n"/>
      <c r="I20" s="8" t="n">
        <v>200000</v>
      </c>
      <c r="J20" s="8" t="n"/>
      <c r="K20" s="8" t="n"/>
      <c r="L20" s="15" t="n">
        <v>350000</v>
      </c>
      <c r="M20" s="8" t="n"/>
      <c r="N20" s="15" t="n">
        <v>350000</v>
      </c>
      <c r="O20" s="8" t="n"/>
      <c r="P20" s="17" t="inlineStr">
        <is>
          <t>Carry over (†)</t>
        </is>
      </c>
      <c r="Q20" s="11" t="inlineStr"/>
      <c r="R20" s="11" t="inlineStr"/>
    </row>
    <row r="21">
      <c r="A21" s="7" t="inlineStr">
        <is>
          <t>C17</t>
        </is>
      </c>
      <c r="B21" s="7" t="inlineStr">
        <is>
          <t>8.6b</t>
        </is>
      </c>
      <c r="C21" s="7" t="inlineStr">
        <is>
          <t>Retaining walls and earthworks</t>
        </is>
      </c>
      <c r="D21" s="7" t="inlineStr">
        <is>
          <t>Medium</t>
        </is>
      </c>
      <c r="E21" s="7" t="inlineStr">
        <is>
          <t>band</t>
        </is>
      </c>
      <c r="F21" s="8" t="n"/>
      <c r="G21" s="8" t="n">
        <v>60000</v>
      </c>
      <c r="H21" s="8" t="n"/>
      <c r="I21" s="8" t="n">
        <v>60000</v>
      </c>
      <c r="J21" s="8" t="n"/>
      <c r="K21" s="8" t="n"/>
      <c r="L21" s="15" t="n">
        <v>65000</v>
      </c>
      <c r="M21" s="8" t="n"/>
      <c r="N21" s="15" t="n">
        <v>65000</v>
      </c>
      <c r="O21" s="8" t="n"/>
      <c r="P21" s="17" t="inlineStr">
        <is>
          <t>Carry over (†)</t>
        </is>
      </c>
      <c r="Q21" s="11" t="inlineStr"/>
      <c r="R21" s="11" t="inlineStr"/>
    </row>
    <row r="22">
      <c r="A22" s="7" t="inlineStr">
        <is>
          <t>C18</t>
        </is>
      </c>
      <c r="B22" s="7" t="inlineStr">
        <is>
          <t>8.6c</t>
        </is>
      </c>
      <c r="C22" s="7" t="inlineStr">
        <is>
          <t>Retaining walls and earthworks</t>
        </is>
      </c>
      <c r="D22" s="7" t="inlineStr">
        <is>
          <t>Large</t>
        </is>
      </c>
      <c r="E22" s="7" t="inlineStr">
        <is>
          <t>band</t>
        </is>
      </c>
      <c r="F22" s="8" t="n"/>
      <c r="G22" s="8" t="n">
        <v>150000</v>
      </c>
      <c r="H22" s="8" t="n"/>
      <c r="I22" s="8" t="n">
        <v>150000</v>
      </c>
      <c r="J22" s="8" t="n"/>
      <c r="K22" s="8" t="n"/>
      <c r="L22" s="15" t="n">
        <v>250000</v>
      </c>
      <c r="M22" s="8" t="n"/>
      <c r="N22" s="15" t="n">
        <v>250000</v>
      </c>
      <c r="O22" s="8" t="n"/>
      <c r="P22" s="17" t="inlineStr">
        <is>
          <t>Carry over (†)</t>
        </is>
      </c>
      <c r="Q22" s="11" t="inlineStr"/>
      <c r="R22" s="11" t="inlineStr"/>
    </row>
    <row r="23">
      <c r="A23" s="7" t="inlineStr">
        <is>
          <t>C19</t>
        </is>
      </c>
      <c r="B23" s="7" t="inlineStr">
        <is>
          <t>8.13</t>
        </is>
      </c>
      <c r="C23" s="7" t="inlineStr">
        <is>
          <t>Fences, gates and walls</t>
        </is>
      </c>
      <c r="D23" s="7" t="inlineStr">
        <is>
          <t>—</t>
        </is>
      </c>
      <c r="E23" s="7" t="inlineStr">
        <is>
          <t>m</t>
        </is>
      </c>
      <c r="F23" s="8" t="n">
        <v>60</v>
      </c>
      <c r="G23" s="8" t="n">
        <v>110</v>
      </c>
      <c r="H23" s="8" t="n">
        <v>200</v>
      </c>
      <c r="I23" s="8" t="n">
        <v>110</v>
      </c>
      <c r="J23" s="8" t="n">
        <v>200</v>
      </c>
      <c r="K23" s="8" t="n">
        <v>60</v>
      </c>
      <c r="L23" s="8" t="n">
        <v>110</v>
      </c>
      <c r="M23" s="15" t="n">
        <v>250</v>
      </c>
      <c r="N23" s="8" t="n">
        <v>110</v>
      </c>
      <c r="O23" s="15" t="n">
        <v>250</v>
      </c>
      <c r="P23" s="17" t="inlineStr">
        <is>
          <t>Carry over (†)</t>
        </is>
      </c>
      <c r="Q23" s="11" t="inlineStr"/>
      <c r="R23" s="11" t="inlineStr"/>
    </row>
    <row r="25">
      <c r="A25" s="18" t="inlineStr">
        <is>
          <t>Source-text-only changes (no figure moved) are not listed. 5.2b is on tab A (A16) because Lakeside contradicts it.</t>
        </is>
      </c>
    </row>
  </sheetData>
  <dataValidations count="1">
    <dataValidation sqref="Q5:Q23" showDropDown="0" showInputMessage="0" showErrorMessage="0" allowBlank="1" type="list">
      <formula1>"Accept,Reject,Amend"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26" customWidth="1" min="4" max="4"/>
    <col width="50" customWidth="1" min="5" max="5"/>
    <col width="14" customWidth="1" min="6" max="6"/>
    <col width="60" customWidth="1" min="7" max="7"/>
    <col width="13" customWidth="1" min="8" max="8"/>
    <col width="30" customWidth="1" min="9" max="9"/>
  </cols>
  <sheetData>
    <row r="1">
      <c r="A1" s="4" t="inlineStr">
        <is>
          <t>D. Percentages ('3. Settings' ▶ percentage_rules)</t>
        </is>
      </c>
    </row>
    <row r="2">
      <c r="A2" s="5" t="inlineStr">
        <is>
          <t>Your 30 Sept decision to keep OH&amp;P at 9.5% (£1–5m) is respected.</t>
        </is>
      </c>
    </row>
    <row r="4">
      <c r="A4" s="6" t="inlineStr">
        <is>
          <t>Ref</t>
        </is>
      </c>
      <c r="B4" s="6" t="inlineStr">
        <is>
          <t>Addition</t>
        </is>
      </c>
      <c r="C4" s="6" t="inlineStr">
        <is>
          <t>Live (v5.7)</t>
        </is>
      </c>
      <c r="D4" s="6" t="inlineStr">
        <is>
          <t>PR #31</t>
        </is>
      </c>
      <c r="E4" s="6" t="inlineStr">
        <is>
          <t>Evidence</t>
        </is>
      </c>
      <c r="F4" s="6" t="inlineStr">
        <is>
          <t>Recommendation</t>
        </is>
      </c>
      <c r="G4" s="6" t="inlineStr">
        <is>
          <t>Proposal and why</t>
        </is>
      </c>
      <c r="H4" s="6" t="inlineStr">
        <is>
          <t>Your decision</t>
        </is>
      </c>
      <c r="I4" s="6" t="inlineStr">
        <is>
          <t>Your figure / notes</t>
        </is>
      </c>
    </row>
    <row r="5">
      <c r="A5" s="7" t="inlineStr">
        <is>
          <t>D1</t>
        </is>
      </c>
      <c r="B5" s="7" t="inlineStr">
        <is>
          <t>A — Contractor's preliminaries</t>
        </is>
      </c>
      <c r="C5" s="7" t="inlineStr">
        <is>
          <t>Base 8%; + 2 fully occupied, + 1 partly occupied, + 0.5 each restricted hours / shared access / &gt; 18 months; cap 10–12%</t>
        </is>
      </c>
      <c r="D5" s="7" t="inlineStr">
        <is>
          <t>Base 12%; + 4 / + 2 / + 1 / + 1 / + 1; cap 20%</t>
        </is>
      </c>
      <c r="E5" s="7" t="inlineStr">
        <is>
          <t>L 7–11% (median ~9%, occupied flats). CC 11.3% (Tier 1, occupied, £21m). WF 16.8% incl. £39k hoarding (£0.5m demolition). CS not recorded.</t>
        </is>
      </c>
      <c r="F5" s="12" t="inlineStr">
        <is>
          <t>Change</t>
        </is>
      </c>
      <c r="G5" s="7" t="inlineStr">
        <is>
          <t>Base 8% → 9%; keep the adds; cap → 13%. Reject #31's 12% base and 20% cap — Lakeside and Claycroft, both occupied, came in at 9–11%. Whitefields is a small-job effect (see D2).</t>
        </is>
      </c>
      <c r="H5" s="11" t="inlineStr"/>
      <c r="I5" s="11" t="inlineStr"/>
    </row>
    <row r="6">
      <c r="A6" s="7" t="inlineStr">
        <is>
          <t>D2</t>
        </is>
      </c>
      <c r="B6" s="7" t="inlineStr">
        <is>
          <t>B — Overheads &amp; profit</t>
        </is>
      </c>
      <c r="C6" s="7" t="inlineStr">
        <is>
          <t>&lt; £1m 11% · £1–5m 9.5% · &gt; £5m 8.5%</t>
        </is>
      </c>
      <c r="D6" s="7" t="inlineStr">
        <is>
          <t>7% · 6% · 5%</t>
        </is>
      </c>
      <c r="E6" s="7" t="inlineStr">
        <is>
          <t>L 7.5% median (6–10%) at £1–5m. WF 15% at &lt; £1m. CC 2.2% SCAPE fee + 2.1% design + 2.8% risk = 7.1% at &gt; £5m.</t>
        </is>
      </c>
      <c r="F6" s="9" t="inlineStr">
        <is>
          <t>Keep</t>
        </is>
      </c>
      <c r="G6" s="7" t="inlineStr">
        <is>
          <t>Keep live, as you decided on 30 Sept. Reject #31's 7/6/5% — Whitefields shows small jobs go higher, not lower. Revisit after the next small-value tender.</t>
        </is>
      </c>
      <c r="H6" s="11" t="inlineStr"/>
      <c r="I6" s="11" t="inlineStr"/>
    </row>
    <row r="7">
      <c r="A7" s="7" t="inlineStr">
        <is>
          <t>D3</t>
        </is>
      </c>
      <c r="B7" s="7" t="inlineStr">
        <is>
          <t>C — Professional fees (Stage 0–1)</t>
        </is>
      </c>
      <c r="C7" s="7" t="inlineStr">
        <is>
          <t>13.5% + adds (M&amp;E-heavy 1.5, BREEAM 1, heritage 2)</t>
        </is>
      </c>
      <c r="D7" s="7" t="inlineStr">
        <is>
          <t>unchanged</t>
        </is>
      </c>
      <c r="E7" s="7" t="inlineStr">
        <is>
          <t>CS: everything above construction (fees, surveys, Estates) = 14.7%. WF 28% + 4% Estates — ecology and environmental monitoring £67k on a £0.5m demolition.</t>
        </is>
      </c>
      <c r="F7" s="14" t="inlineStr">
        <is>
          <t>Hold</t>
        </is>
      </c>
      <c r="G7" s="7" t="inlineStr">
        <is>
          <t>CS supports 13.5%. Whitefields is one demolition job with heavy ecology; consider a Demolition-only ecology add once a second demolition project is in.</t>
        </is>
      </c>
      <c r="H7" s="11" t="inlineStr"/>
      <c r="I7" s="11" t="inlineStr"/>
    </row>
    <row r="8">
      <c r="A8" s="7" t="inlineStr">
        <is>
          <t>D4</t>
        </is>
      </c>
      <c r="B8" s="7" t="inlineStr">
        <is>
          <t>E — Risk allowance (and H contingency 5%)</t>
        </is>
      </c>
      <c r="C8" s="7" t="inlineStr">
        <is>
          <t>Base 5% + adds, cap 10%. Contingency fixed 5%. Maximum 15% in total.</t>
        </is>
      </c>
      <c r="D8" s="7" t="inlineStr">
        <is>
          <t>unchanged</t>
        </is>
      </c>
      <c r="E8" s="7" t="inlineStr">
        <is>
          <t>CC +33% out-turn against a 21.5% client allowance (defects £2.65m, fire stopping £2.63m, M&amp;E £1.40m). CS +3.4%. WF holds 65% risk, 1% drawn so far.</t>
        </is>
      </c>
      <c r="F8" s="12" t="inlineStr">
        <is>
          <t>Change</t>
        </is>
      </c>
      <c r="G8" s="7" t="inlineStr">
        <is>
          <t>Raise the E cap 10% → 15% (maximum 20% with contingency), and Q3.1 "Fire safety deficiencies" add 0.5 → 2. Claycroft is one project, but the 15% ceiling can't reach what occupied pre-1980 refurbishments are showing.</t>
        </is>
      </c>
      <c r="H8" s="11" t="inlineStr"/>
      <c r="I8" s="11" t="inlineStr"/>
    </row>
  </sheetData>
  <dataValidations count="1">
    <dataValidation sqref="H5:H8" showDropDown="0" showInputMessage="0" showErrorMessage="0" allowBlank="1" type="list">
      <formula1>"Accept,Reject,Amend"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14" customWidth="1" min="4" max="4"/>
    <col width="70" customWidth="1" min="5" max="5"/>
    <col width="13" customWidth="1" min="6" max="6"/>
    <col width="30" customWidth="1" min="7" max="7"/>
  </cols>
  <sheetData>
    <row r="1">
      <c r="A1" s="4" t="inlineStr">
        <is>
          <t>E. New items, checks and carry-overs</t>
        </is>
      </c>
    </row>
    <row r="2">
      <c r="A2" s="5" t="inlineStr"/>
    </row>
    <row r="4">
      <c r="A4" s="6" t="inlineStr">
        <is>
          <t>Ref</t>
        </is>
      </c>
      <c r="B4" s="6" t="inlineStr">
        <is>
          <t>Item</t>
        </is>
      </c>
      <c r="C4" s="6" t="inlineStr">
        <is>
          <t>Evidence</t>
        </is>
      </c>
      <c r="D4" s="6" t="inlineStr">
        <is>
          <t>Recommendation</t>
        </is>
      </c>
      <c r="E4" s="6" t="inlineStr">
        <is>
          <t>Proposal</t>
        </is>
      </c>
      <c r="F4" s="6" t="inlineStr">
        <is>
          <t>Your decision</t>
        </is>
      </c>
      <c r="G4" s="6" t="inlineStr">
        <is>
          <t>Your notes</t>
        </is>
      </c>
    </row>
    <row r="5">
      <c r="A5" s="7" t="inlineStr">
        <is>
          <t>E1</t>
        </is>
      </c>
      <c r="B5" s="7" t="inlineStr">
        <is>
          <t>New item: Scaffolding for envelope works</t>
        </is>
      </c>
      <c r="C5" s="7" t="inlineStr">
        <is>
          <t>CS £42/m² GIFA (bids £35–£49). CC £33/m² GIA (£99/m² roof plan).</t>
        </is>
      </c>
      <c r="D5" s="12" t="inlineStr">
        <is>
          <t>Add</t>
        </is>
      </c>
      <c r="E5" s="7" t="inlineStr">
        <is>
          <t>Basic £30 / Std £38 / High £45 per m² GIFA, Refurb &amp; Fit-out only. Suggested automatically when roof (2.5a), external walls (2.6) or windows (2.7) are ticked. Workbook rows only — no code change.</t>
        </is>
      </c>
      <c r="F5" s="11" t="inlineStr"/>
      <c r="G5" s="11" t="inlineStr"/>
    </row>
    <row r="6">
      <c r="A6" s="7" t="inlineStr">
        <is>
          <t>E2</t>
        </is>
      </c>
      <c r="B6" s="7" t="inlineStr">
        <is>
          <t>Sense-check band, Refurbishment / Education</t>
        </is>
      </c>
      <c r="C6" s="7" t="inlineStr">
        <is>
          <t>CS out-turn £781/m² construction for an envelope + heat-pump retrofit; band is £800–1,800/m².</t>
        </is>
      </c>
      <c r="D6" s="14" t="inlineStr">
        <is>
          <t>Hold</t>
        </is>
      </c>
      <c r="E6" s="7" t="inlineStr">
        <is>
          <t>With the roof, heat pump and scaffold changes CS would sit near the band floor. Leave the band; revisit if envelope-only jobs keep flagging "cost low".</t>
        </is>
      </c>
      <c r="F6" s="11" t="inlineStr"/>
      <c r="G6" s="11" t="inlineStr"/>
    </row>
    <row r="7">
      <c r="A7" s="7" t="inlineStr">
        <is>
          <t>E3</t>
        </is>
      </c>
      <c r="B7" s="7" t="inlineStr">
        <is>
          <t>Cleanroom item (S-0038) removed — from #31</t>
        </is>
      </c>
      <c r="C7" s="7" t="inlineStr">
        <is>
          <t>Your decision on 29 Sept.</t>
        </is>
      </c>
      <c r="D7" s="9" t="inlineStr">
        <is>
          <t>Take #31</t>
        </is>
      </c>
      <c r="E7" s="7" t="inlineStr">
        <is>
          <t>Carry over. Old codes 4.44 and 6.4 retired.</t>
        </is>
      </c>
      <c r="F7" s="11" t="inlineStr"/>
      <c r="G7" s="11" t="inlineStr"/>
    </row>
    <row r="8">
      <c r="A8" s="7" t="inlineStr">
        <is>
          <t>E4</t>
        </is>
      </c>
      <c r="B8" s="7" t="inlineStr">
        <is>
          <t>Scotland location factor Mid 0.90 → 0.97 — from #31</t>
        </is>
      </c>
      <c r="C8" s="7" t="inlineStr">
        <is>
          <t>Mid sat outside its own 0.93–1.00 range.</t>
        </is>
      </c>
      <c r="D8" s="9" t="inlineStr">
        <is>
          <t>Take #31</t>
        </is>
      </c>
      <c r="E8" s="7" t="inlineStr">
        <is>
          <t>Carry over (a data error fix).</t>
        </is>
      </c>
      <c r="F8" s="11" t="inlineStr"/>
      <c r="G8" s="11" t="inlineStr"/>
    </row>
    <row r="9">
      <c r="A9" s="7" t="inlineStr">
        <is>
          <t>E5</t>
        </is>
      </c>
      <c r="B9" s="7" t="inlineStr">
        <is>
          <t>Fire stopping risk seed</t>
        </is>
      </c>
      <c r="C9" s="7" t="inlineStr">
        <is>
          <t>CC: £350k provisional sum became £2.63m incl. compartment-wall heads.</t>
        </is>
      </c>
      <c r="D9" s="12" t="inlineStr">
        <is>
          <t>Add</t>
        </is>
      </c>
      <c r="E9" s="7" t="inlineStr">
        <is>
          <t>Where Q3.1 has fire safety deficiencies on an occupied refurbishment, add a High risk: "fire-stopping extent unknown until opened up". Workbook RISK effect — no code change.</t>
        </is>
      </c>
      <c r="F9" s="11" t="inlineStr"/>
      <c r="G9" s="11" t="inlineStr"/>
    </row>
  </sheetData>
  <dataValidations count="1">
    <dataValidation sqref="F5:F9" showDropDown="0" showInputMessage="0" showErrorMessage="0" allowBlank="1" type="list">
      <formula1>"Accept,Reject,Amend"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2026-10-04T13:53:32Z</dcterms:created>
  <dcterms:modified xsi:type="dcterms:W3CDTF">2026-10-04T13:53:32Z</dcterms:modified>
</cp:coreProperties>
</file>