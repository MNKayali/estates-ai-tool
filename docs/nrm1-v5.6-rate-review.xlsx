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bil\AppData\Local\Temp\claude\C--Users-nabil-estates-ai-tool\dabfa264-632a-467f-bca3-d20315440194\scratchpad\build\"/>
    </mc:Choice>
  </mc:AlternateContent>
  <xr:revisionPtr revIDLastSave="0" documentId="8_{AFA6A268-865D-4289-8CAE-58674160FB05}" xr6:coauthVersionLast="47" xr6:coauthVersionMax="47" xr10:uidLastSave="{00000000-0000-0000-0000-000000000000}"/>
  <bookViews>
    <workbookView xWindow="1560" yWindow="1560" windowWidth="28800" windowHeight="15345" xr2:uid="{1DF2483E-EBE5-447F-86F1-A358290F5291}"/>
  </bookViews>
  <sheets>
    <sheet name="0. Rate review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C8" i="1"/>
  <c r="B8" i="1"/>
  <c r="A8" i="1"/>
</calcChain>
</file>

<file path=xl/sharedStrings.xml><?xml version="1.0" encoding="utf-8"?>
<sst xmlns="http://schemas.openxmlformats.org/spreadsheetml/2006/main" count="103" uniqueCount="102">
  <si>
    <t>RATE REVIEW — NRM1 Cost Estimate Tool v5.6</t>
  </si>
  <si>
    <t>Reviewed 28 Sept 2026 against current UK pricing. Rates are mid-point UK, before location factor, prelims and OH&amp;P (the workbook's own basis).</t>
  </si>
  <si>
    <t>Basis</t>
  </si>
  <si>
    <t>BCIS All-in TPI, 3Q2026: +0.7% on the quarter, +3.2% on the year; 2026 forecast +2.9% (BCIS, 23 Sept and 30 June 2026). Specialist items checked against 2026 UK market and supplier pricing; the Spon's 2024 check column was used as the second reference. No BCIS elemental subscription data was used — treat suggested figures as mid-points to test, not replacements.</t>
  </si>
  <si>
    <t>Flags</t>
  </si>
  <si>
    <t>Red = materially out or an error — change. Amber = context-dependent or a modest adjustment — check. Green = in line.</t>
  </si>
  <si>
    <t>Rows reviewed</t>
  </si>
  <si>
    <t>Red</t>
  </si>
  <si>
    <t>Amber</t>
  </si>
  <si>
    <t>Green</t>
  </si>
  <si>
    <t>PRIORITY CHANGES (Standard rates)</t>
  </si>
  <si>
    <t>Item</t>
  </si>
  <si>
    <t>Current Std</t>
  </si>
  <si>
    <t>Suggested Std</t>
  </si>
  <si>
    <t>Why</t>
  </si>
  <si>
    <t>5.16a Passenger lift</t>
  </si>
  <si>
    <t>£40,000</t>
  </si>
  <si>
    <t>£70,000</t>
  </si>
  <si>
    <t>Spon's £103k–£127k; lift-contractor price alone £35k–£65k for 8-person 4–6 floors.</t>
  </si>
  <si>
    <t>5.16c Goods / bed lift</t>
  </si>
  <si>
    <t>£120,000</t>
  </si>
  <si>
    <t>Spon's £127k–£155k.</t>
  </si>
  <si>
    <t>5.12 Sprinklers</t>
  </si>
  <si>
    <t>£15/m²</t>
  </si>
  <si>
    <t>£30/m²</t>
  </si>
  <si>
    <t>Rate includes tank and pumps; BSA £33–£35/m² (2019), residential £25–£35/m².</t>
  </si>
  <si>
    <t>5.1b Air source heat pump</t>
  </si>
  <si>
    <t>Gas × 1.3 (£78)</t>
  </si>
  <si>
    <t>Gas × 1.7 (≈£100)</t>
  </si>
  <si>
    <t>Emitters, buffers, plant space, supply upgrade. And make ASHP the NB/EX default — Future Buildings Standard from 24 Mar 2027.</t>
  </si>
  <si>
    <t>8.8 Car parking</t>
  </si>
  <si>
    <t>NB £1,000 · RF £1,800</t>
  </si>
  <si>
    <t>£3,000 / space</t>
  </si>
  <si>
    <t>NB column looks shifted; Spon's £2,788–£3,538.</t>
  </si>
  <si>
    <t>1.3 Basement</t>
  </si>
  <si>
    <t>£600/m²</t>
  </si>
  <si>
    <t>£1,800/m²</t>
  </si>
  <si>
    <t>Market £1,800–£3,000+/m² for dig, temporary works, RC box and waterproofing.</t>
  </si>
  <si>
    <t>4.10 Laboratory</t>
  </si>
  <si>
    <t>£310/m²</t>
  </si>
  <si>
    <t>£700/m²</t>
  </si>
  <si>
    <t>Fume cupboard alone £10k–£20k; wet-lab furniture £600–£1,200/m². Split Dry / Wet.</t>
  </si>
  <si>
    <t>4.15 Cleanroom</t>
  </si>
  <si>
    <t>£380/m²</t>
  </si>
  <si>
    <t>£3,000/m²</t>
  </si>
  <si>
    <t>ISO 7/8 typically £2,500–£5,000/m² — looks like a slip.</t>
  </si>
  <si>
    <t>2.1 Frame (Amber, high)</t>
  </si>
  <si>
    <t>£350/m² GIFA</t>
  </si>
  <si>
    <t>£250/m² GIFA</t>
  </si>
  <si>
    <t>Spon's £103–£201; overstates multi-storey superstructure with upper floors on top.</t>
  </si>
  <si>
    <t>5.18 Battery storage</t>
  </si>
  <si>
    <t>£400/kWh</t>
  </si>
  <si>
    <t>£550/kWh</t>
  </si>
  <si>
    <t>2026 turnkey £520–£640/kWh at 50–250 kWh.</t>
  </si>
  <si>
    <t>5.19 EV charging</t>
  </si>
  <si>
    <t>£1,500</t>
  </si>
  <si>
    <t>£2,500</t>
  </si>
  <si>
    <t>£1,500–£4,000 per charger installed + £500–£3,000 groundworks.</t>
  </si>
  <si>
    <t>8.12 BNG (M / L bands)</t>
  </si>
  <si>
    <t>£40k / £120k</t>
  </si>
  <si>
    <t>£75k / £200k</t>
  </si>
  <si>
    <t>Units £23k–£29k; statutory credit £84k per unit; 30-year monitoring.</t>
  </si>
  <si>
    <t>SETTINGS AND WIDER POINTS</t>
  </si>
  <si>
    <t>Preliminaries / OH&amp;P</t>
  </si>
  <si>
    <t>Prelims base 8% (cap 12%) is low for 2026 — 12–15% is typical on new build and 15–20% on occupied campus refurbishment. OH&amp;P at 8.5–11% is at the high end, so the combined 16.5–19% only understates modestly, but the split will look wrong to a QS. Suggest prelims 12% base and OH&amp;P 5–7%.</t>
  </si>
  <si>
    <t>Scotland location factor</t>
  </si>
  <si>
    <t>Mid (use) 0.90 sits below its own Low of 0.93 — looks like a typo; c.0.96 would sit inside the range.</t>
  </si>
  <si>
    <t>Spon's check</t>
  </si>
  <si>
    <t>Based on Spon's 2024. The 2026 edition (151st) is current — re-check against it, starting with the c.60 'Older workbook (v4.5)' rows that have never been checked.</t>
  </si>
  <si>
    <t>Benchmarks (NB EDU)</t>
  </si>
  <si>
    <t>£2,000–£3,200/m² looks low for university buildings (recent HE schemes are commonly £3,000–£4,500/m²), so the review flag may fire on sound estimates. Worth checking against BCIS.</t>
  </si>
  <si>
    <t>Inflation (F)</t>
  </si>
  <si>
    <t>Tender-delay and midpoint allowances are consistent with BCIS's c.3% a year forecast. No change.</t>
  </si>
  <si>
    <t>SOURCES</t>
  </si>
  <si>
    <t>BCIS TPI 3Q2026</t>
  </si>
  <si>
    <t>https://www.bcis.co.uk/news/bcis-tender-price-index-estimate-of-tender-price-inflation/</t>
  </si>
  <si>
    <t>BCIS five-year forecast (June 2026)</t>
  </si>
  <si>
    <t>https://specificationonline.co.uk/articles/2026-06-30/bcis/updated-five-year-construction-industry-forecast-revealed-by-bcis</t>
  </si>
  <si>
    <t>Commercial PV costs 2026</t>
  </si>
  <si>
    <t>https://spectrumenergysystems.co.uk/articles/commercial-solar-panels-cost-uk/</t>
  </si>
  <si>
    <t>Commercial battery storage 2026</t>
  </si>
  <si>
    <t>https://solarpanelsforbusinesses.co.uk/blog/commercial-battery-storage-cost-per-kwh-2026/</t>
  </si>
  <si>
    <t>Passenger lift costs (updated July 2026)</t>
  </si>
  <si>
    <t>https://www.futureliftservices.co.uk/blog/passenger-lift-cost/</t>
  </si>
  <si>
    <t>Commercial EV charger costs 2026</t>
  </si>
  <si>
    <t>https://excelenergy.co.uk/news/commercial-ev-charger-installation-cost-uk/</t>
  </si>
  <si>
    <t>Changing Places installation FAQ</t>
  </si>
  <si>
    <t>https://www.changing-places.org/pages/view/installation-faq</t>
  </si>
  <si>
    <t>Sprinkler cost per m² (BSA)</t>
  </si>
  <si>
    <t>https://www.business-sprinkler-alliance.org/cost-of-sprinklers/details/cost-per-square-metre</t>
  </si>
  <si>
    <t>Basement costs 2026</t>
  </si>
  <si>
    <t>https://www.houseup.co.uk/news/basement-conversion-cost</t>
  </si>
  <si>
    <t>Cleanroom costs by ISO class 2026</t>
  </si>
  <si>
    <t>https://terrapincg.com/news/cleanroom-construction-cost-iso-class-2026</t>
  </si>
  <si>
    <t>Commercial kitchen costs 2026</t>
  </si>
  <si>
    <t>https://www.ccecatering.com/blog-cost-of-a-commercial-kitchen</t>
  </si>
  <si>
    <t>BNG unit prices 2026</t>
  </si>
  <si>
    <t>https://landbng.uk/blog/bng-unit-prices-2026/</t>
  </si>
  <si>
    <t>Future Buildings Standard (AD L 2026)</t>
  </si>
  <si>
    <t>https://www.elmhurstenergy.co.uk/blog/2026/03/27/approved-document-l2-2026-published-ahead-of-future-buildings-standard-implementation-in-2027/</t>
  </si>
  <si>
    <t>Spon's A&amp;B 2026 (151st edition)</t>
  </si>
  <si>
    <t>https://www.routledge.com/Spons-Architects-and-Builders-Price-Book-2026/AECOM/p/book/9781041079354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</si>
</sst>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u/>
      <sz val="10"/>
      <color rgb="FF0563C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bil\AppData\Local\Temp\claude\C--Users-nabil-estates-ai-tool\dabfa264-632a-467f-bca3-d20315440194\scratchpad\build\v57.xlsx" TargetMode="External"/><Relationship Id="rId1" Type="http://schemas.openxmlformats.org/officeDocument/2006/relationships/externalLinkPath" Target="v5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 Rate review"/>
      <sheetName val="1. Instructions"/>
      <sheetName val="2. Rates"/>
      <sheetName val="3. Settings"/>
      <sheetName val="4. Scope rul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siness-sprinkler-alliance.org/cost-of-sprinklers/details/cost-per-square-metre" TargetMode="External"/><Relationship Id="rId13" Type="http://schemas.openxmlformats.org/officeDocument/2006/relationships/hyperlink" Target="https://www.elmhurstenergy.co.uk/blog/2026/03/27/approved-document-l2-2026-published-ahead-of-future-buildings-standard-implementation-in-2027/" TargetMode="External"/><Relationship Id="rId3" Type="http://schemas.openxmlformats.org/officeDocument/2006/relationships/hyperlink" Target="https://spectrumenergysystems.co.uk/articles/commercial-solar-panels-cost-uk/" TargetMode="External"/><Relationship Id="rId7" Type="http://schemas.openxmlformats.org/officeDocument/2006/relationships/hyperlink" Target="https://www.changing-places.org/pages/view/installation-faq" TargetMode="External"/><Relationship Id="rId12" Type="http://schemas.openxmlformats.org/officeDocument/2006/relationships/hyperlink" Target="https://landbng.uk/blog/bng-unit-prices-2026/" TargetMode="External"/><Relationship Id="rId2" Type="http://schemas.openxmlformats.org/officeDocument/2006/relationships/hyperlink" Target="https://specificationonline.co.uk/articles/2026-06-30/bcis/updated-five-year-construction-industry-forecast-revealed-by-bcis" TargetMode="External"/><Relationship Id="rId1" Type="http://schemas.openxmlformats.org/officeDocument/2006/relationships/hyperlink" Target="https://www.bcis.co.uk/news/bcis-tender-price-index-estimate-of-tender-price-inflation/" TargetMode="External"/><Relationship Id="rId6" Type="http://schemas.openxmlformats.org/officeDocument/2006/relationships/hyperlink" Target="https://excelenergy.co.uk/news/commercial-ev-charger-installation-cost-uk/" TargetMode="External"/><Relationship Id="rId11" Type="http://schemas.openxmlformats.org/officeDocument/2006/relationships/hyperlink" Target="https://www.ccecatering.com/blog-cost-of-a-commercial-kitchen" TargetMode="External"/><Relationship Id="rId5" Type="http://schemas.openxmlformats.org/officeDocument/2006/relationships/hyperlink" Target="https://www.futureliftservices.co.uk/blog/passenger-lift-cost/" TargetMode="External"/><Relationship Id="rId10" Type="http://schemas.openxmlformats.org/officeDocument/2006/relationships/hyperlink" Target="https://terrapincg.com/news/cleanroom-construction-cost-iso-class-2026" TargetMode="External"/><Relationship Id="rId4" Type="http://schemas.openxmlformats.org/officeDocument/2006/relationships/hyperlink" Target="https://solarpanelsforbusinesses.co.uk/blog/commercial-battery-storage-cost-per-kwh-2026/" TargetMode="External"/><Relationship Id="rId9" Type="http://schemas.openxmlformats.org/officeDocument/2006/relationships/hyperlink" Target="https://www.houseup.co.uk/news/basement-conversion-cost" TargetMode="External"/><Relationship Id="rId14" Type="http://schemas.openxmlformats.org/officeDocument/2006/relationships/hyperlink" Target="https://www.routledge.com/Spons-Architects-and-Builders-Price-Book-2026/AECOM/p/book/9781041079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E9D2-EA95-4EE4-9238-FA20F55F0128}">
  <sheetPr>
    <tabColor rgb="FF7A4A1A"/>
  </sheetPr>
  <dimension ref="A1:D46"/>
  <sheetViews>
    <sheetView showGridLines="0" tabSelected="1" zoomScaleNormal="100" workbookViewId="0"/>
  </sheetViews>
  <sheetFormatPr defaultColWidth="8.7109375" defaultRowHeight="15" x14ac:dyDescent="0.25"/>
  <cols>
    <col min="1" max="1" width="30" customWidth="1"/>
    <col min="2" max="2" width="22" customWidth="1"/>
    <col min="3" max="3" width="26" customWidth="1"/>
    <col min="4" max="4" width="80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ht="60" customHeight="1" x14ac:dyDescent="0.25">
      <c r="A4" s="3" t="s">
        <v>2</v>
      </c>
      <c r="B4" s="4" t="s">
        <v>3</v>
      </c>
      <c r="C4" s="4"/>
      <c r="D4" s="4"/>
    </row>
    <row r="5" spans="1:4" ht="30" customHeight="1" x14ac:dyDescent="0.25">
      <c r="A5" s="3" t="s">
        <v>4</v>
      </c>
      <c r="B5" s="4" t="s">
        <v>5</v>
      </c>
      <c r="C5" s="4"/>
      <c r="D5" s="4"/>
    </row>
    <row r="7" spans="1:4" x14ac:dyDescent="0.25">
      <c r="A7" s="5" t="s">
        <v>6</v>
      </c>
      <c r="B7" s="5" t="s">
        <v>7</v>
      </c>
      <c r="C7" s="5" t="s">
        <v>8</v>
      </c>
      <c r="D7" s="5" t="s">
        <v>9</v>
      </c>
    </row>
    <row r="8" spans="1:4" x14ac:dyDescent="0.25">
      <c r="A8" s="3">
        <f>COUNTA('[1]2. Rates'!#REF!)</f>
        <v>1</v>
      </c>
      <c r="B8" s="6" t="e">
        <f>COUNTIF('[1]2. Rates'!#REF!,"Red")</f>
        <v>#REF!</v>
      </c>
      <c r="C8" s="6" t="e">
        <f>COUNTIF('[1]2. Rates'!#REF!,"Amber")</f>
        <v>#REF!</v>
      </c>
      <c r="D8" s="6" t="e">
        <f>COUNTIF('[1]2. Rates'!#REF!,"Green")</f>
        <v>#REF!</v>
      </c>
    </row>
    <row r="10" spans="1:4" ht="30" x14ac:dyDescent="0.25">
      <c r="A10" s="7" t="s">
        <v>10</v>
      </c>
    </row>
    <row r="11" spans="1:4" x14ac:dyDescent="0.25">
      <c r="A11" s="5" t="s">
        <v>11</v>
      </c>
      <c r="B11" s="5" t="s">
        <v>12</v>
      </c>
      <c r="C11" s="5" t="s">
        <v>13</v>
      </c>
      <c r="D11" s="5" t="s">
        <v>14</v>
      </c>
    </row>
    <row r="12" spans="1:4" ht="30" customHeight="1" x14ac:dyDescent="0.25">
      <c r="A12" s="3" t="s">
        <v>15</v>
      </c>
      <c r="B12" s="3" t="s">
        <v>16</v>
      </c>
      <c r="C12" s="3" t="s">
        <v>17</v>
      </c>
      <c r="D12" s="3" t="s">
        <v>18</v>
      </c>
    </row>
    <row r="13" spans="1:4" ht="30" customHeight="1" x14ac:dyDescent="0.25">
      <c r="A13" s="3" t="s">
        <v>19</v>
      </c>
      <c r="B13" s="3" t="s">
        <v>17</v>
      </c>
      <c r="C13" s="3" t="s">
        <v>20</v>
      </c>
      <c r="D13" s="3" t="s">
        <v>21</v>
      </c>
    </row>
    <row r="14" spans="1:4" ht="30" customHeight="1" x14ac:dyDescent="0.25">
      <c r="A14" s="3" t="s">
        <v>22</v>
      </c>
      <c r="B14" s="3" t="s">
        <v>23</v>
      </c>
      <c r="C14" s="3" t="s">
        <v>24</v>
      </c>
      <c r="D14" s="3" t="s">
        <v>25</v>
      </c>
    </row>
    <row r="15" spans="1:4" ht="30" customHeight="1" x14ac:dyDescent="0.25">
      <c r="A15" s="3" t="s">
        <v>26</v>
      </c>
      <c r="B15" s="3" t="s">
        <v>27</v>
      </c>
      <c r="C15" s="3" t="s">
        <v>28</v>
      </c>
      <c r="D15" s="3" t="s">
        <v>29</v>
      </c>
    </row>
    <row r="16" spans="1:4" ht="30" customHeight="1" x14ac:dyDescent="0.25">
      <c r="A16" s="3" t="s">
        <v>30</v>
      </c>
      <c r="B16" s="3" t="s">
        <v>31</v>
      </c>
      <c r="C16" s="3" t="s">
        <v>32</v>
      </c>
      <c r="D16" s="3" t="s">
        <v>33</v>
      </c>
    </row>
    <row r="17" spans="1:4" ht="30" customHeight="1" x14ac:dyDescent="0.25">
      <c r="A17" s="3" t="s">
        <v>34</v>
      </c>
      <c r="B17" s="3" t="s">
        <v>35</v>
      </c>
      <c r="C17" s="3" t="s">
        <v>36</v>
      </c>
      <c r="D17" s="3" t="s">
        <v>37</v>
      </c>
    </row>
    <row r="18" spans="1:4" ht="30" customHeight="1" x14ac:dyDescent="0.25">
      <c r="A18" s="3" t="s">
        <v>38</v>
      </c>
      <c r="B18" s="3" t="s">
        <v>39</v>
      </c>
      <c r="C18" s="3" t="s">
        <v>40</v>
      </c>
      <c r="D18" s="3" t="s">
        <v>41</v>
      </c>
    </row>
    <row r="19" spans="1:4" ht="30" customHeight="1" x14ac:dyDescent="0.25">
      <c r="A19" s="3" t="s">
        <v>42</v>
      </c>
      <c r="B19" s="3" t="s">
        <v>43</v>
      </c>
      <c r="C19" s="3" t="s">
        <v>44</v>
      </c>
      <c r="D19" s="3" t="s">
        <v>45</v>
      </c>
    </row>
    <row r="20" spans="1:4" ht="30" customHeight="1" x14ac:dyDescent="0.25">
      <c r="A20" s="3" t="s">
        <v>46</v>
      </c>
      <c r="B20" s="3" t="s">
        <v>47</v>
      </c>
      <c r="C20" s="3" t="s">
        <v>48</v>
      </c>
      <c r="D20" s="3" t="s">
        <v>49</v>
      </c>
    </row>
    <row r="21" spans="1:4" ht="30" customHeight="1" x14ac:dyDescent="0.25">
      <c r="A21" s="3" t="s">
        <v>50</v>
      </c>
      <c r="B21" s="3" t="s">
        <v>51</v>
      </c>
      <c r="C21" s="3" t="s">
        <v>52</v>
      </c>
      <c r="D21" s="3" t="s">
        <v>53</v>
      </c>
    </row>
    <row r="22" spans="1:4" ht="30" customHeight="1" x14ac:dyDescent="0.25">
      <c r="A22" s="3" t="s">
        <v>54</v>
      </c>
      <c r="B22" s="3" t="s">
        <v>55</v>
      </c>
      <c r="C22" s="3" t="s">
        <v>56</v>
      </c>
      <c r="D22" s="3" t="s">
        <v>57</v>
      </c>
    </row>
    <row r="23" spans="1:4" ht="30" customHeight="1" x14ac:dyDescent="0.25">
      <c r="A23" s="3" t="s">
        <v>58</v>
      </c>
      <c r="B23" s="3" t="s">
        <v>59</v>
      </c>
      <c r="C23" s="3" t="s">
        <v>60</v>
      </c>
      <c r="D23" s="3" t="s">
        <v>61</v>
      </c>
    </row>
    <row r="25" spans="1:4" ht="30" x14ac:dyDescent="0.25">
      <c r="A25" s="7" t="s">
        <v>62</v>
      </c>
    </row>
    <row r="26" spans="1:4" ht="45" customHeight="1" x14ac:dyDescent="0.25">
      <c r="A26" s="3" t="s">
        <v>63</v>
      </c>
      <c r="B26" s="4" t="s">
        <v>64</v>
      </c>
      <c r="C26" s="4"/>
      <c r="D26" s="4"/>
    </row>
    <row r="27" spans="1:4" ht="45" customHeight="1" x14ac:dyDescent="0.25">
      <c r="A27" s="3" t="s">
        <v>65</v>
      </c>
      <c r="B27" s="4" t="s">
        <v>66</v>
      </c>
      <c r="C27" s="4"/>
      <c r="D27" s="4"/>
    </row>
    <row r="28" spans="1:4" ht="45" customHeight="1" x14ac:dyDescent="0.25">
      <c r="A28" s="3" t="s">
        <v>67</v>
      </c>
      <c r="B28" s="4" t="s">
        <v>68</v>
      </c>
      <c r="C28" s="4"/>
      <c r="D28" s="4"/>
    </row>
    <row r="29" spans="1:4" ht="45" customHeight="1" x14ac:dyDescent="0.25">
      <c r="A29" s="3" t="s">
        <v>69</v>
      </c>
      <c r="B29" s="4" t="s">
        <v>70</v>
      </c>
      <c r="C29" s="4"/>
      <c r="D29" s="4"/>
    </row>
    <row r="30" spans="1:4" ht="45" customHeight="1" x14ac:dyDescent="0.25">
      <c r="A30" s="3" t="s">
        <v>71</v>
      </c>
      <c r="B30" s="4" t="s">
        <v>72</v>
      </c>
      <c r="C30" s="4"/>
      <c r="D30" s="4"/>
    </row>
    <row r="32" spans="1:4" x14ac:dyDescent="0.25">
      <c r="A32" s="7" t="s">
        <v>73</v>
      </c>
    </row>
    <row r="33" spans="1:4" ht="15" customHeight="1" x14ac:dyDescent="0.25">
      <c r="A33" s="3" t="s">
        <v>74</v>
      </c>
      <c r="B33" s="8" t="s">
        <v>75</v>
      </c>
      <c r="C33" s="8"/>
      <c r="D33" s="8"/>
    </row>
    <row r="34" spans="1:4" ht="15" customHeight="1" x14ac:dyDescent="0.25">
      <c r="A34" s="3" t="s">
        <v>76</v>
      </c>
      <c r="B34" s="8" t="s">
        <v>77</v>
      </c>
      <c r="C34" s="8"/>
      <c r="D34" s="8"/>
    </row>
    <row r="35" spans="1:4" ht="15" customHeight="1" x14ac:dyDescent="0.25">
      <c r="A35" s="3" t="s">
        <v>78</v>
      </c>
      <c r="B35" s="8" t="s">
        <v>79</v>
      </c>
      <c r="C35" s="8"/>
      <c r="D35" s="8"/>
    </row>
    <row r="36" spans="1:4" ht="15" customHeight="1" x14ac:dyDescent="0.25">
      <c r="A36" s="3" t="s">
        <v>80</v>
      </c>
      <c r="B36" s="8" t="s">
        <v>81</v>
      </c>
      <c r="C36" s="8"/>
      <c r="D36" s="8"/>
    </row>
    <row r="37" spans="1:4" ht="23.85" customHeight="1" x14ac:dyDescent="0.25">
      <c r="A37" s="3" t="s">
        <v>82</v>
      </c>
      <c r="B37" s="8" t="s">
        <v>83</v>
      </c>
      <c r="C37" s="8"/>
      <c r="D37" s="8"/>
    </row>
    <row r="38" spans="1:4" ht="15" customHeight="1" x14ac:dyDescent="0.25">
      <c r="A38" s="3" t="s">
        <v>84</v>
      </c>
      <c r="B38" s="8" t="s">
        <v>85</v>
      </c>
      <c r="C38" s="8"/>
      <c r="D38" s="8"/>
    </row>
    <row r="39" spans="1:4" ht="15" customHeight="1" x14ac:dyDescent="0.25">
      <c r="A39" s="3" t="s">
        <v>86</v>
      </c>
      <c r="B39" s="8" t="s">
        <v>87</v>
      </c>
      <c r="C39" s="8"/>
      <c r="D39" s="8"/>
    </row>
    <row r="40" spans="1:4" ht="15" customHeight="1" x14ac:dyDescent="0.25">
      <c r="A40" s="3" t="s">
        <v>88</v>
      </c>
      <c r="B40" s="8" t="s">
        <v>89</v>
      </c>
      <c r="C40" s="8"/>
      <c r="D40" s="8"/>
    </row>
    <row r="41" spans="1:4" ht="15" customHeight="1" x14ac:dyDescent="0.25">
      <c r="A41" s="3" t="s">
        <v>90</v>
      </c>
      <c r="B41" s="8" t="s">
        <v>91</v>
      </c>
      <c r="C41" s="8"/>
      <c r="D41" s="8"/>
    </row>
    <row r="42" spans="1:4" ht="15" customHeight="1" x14ac:dyDescent="0.25">
      <c r="A42" s="3" t="s">
        <v>92</v>
      </c>
      <c r="B42" s="8" t="s">
        <v>93</v>
      </c>
      <c r="C42" s="8"/>
      <c r="D42" s="8"/>
    </row>
    <row r="43" spans="1:4" ht="15" customHeight="1" x14ac:dyDescent="0.25">
      <c r="A43" s="3" t="s">
        <v>94</v>
      </c>
      <c r="B43" s="8" t="s">
        <v>95</v>
      </c>
      <c r="C43" s="8"/>
      <c r="D43" s="8"/>
    </row>
    <row r="44" spans="1:4" ht="15" customHeight="1" x14ac:dyDescent="0.25">
      <c r="A44" s="3" t="s">
        <v>96</v>
      </c>
      <c r="B44" s="8" t="s">
        <v>97</v>
      </c>
      <c r="C44" s="8"/>
      <c r="D44" s="8"/>
    </row>
    <row r="45" spans="1:4" ht="23.85" customHeight="1" x14ac:dyDescent="0.25">
      <c r="A45" s="3" t="s">
        <v>98</v>
      </c>
      <c r="B45" s="8" t="s">
        <v>99</v>
      </c>
      <c r="C45" s="8"/>
      <c r="D45" s="8"/>
    </row>
    <row r="46" spans="1:4" ht="15" customHeight="1" x14ac:dyDescent="0.25">
      <c r="A46" s="3" t="s">
        <v>100</v>
      </c>
      <c r="B46" s="8" t="s">
        <v>101</v>
      </c>
      <c r="C46" s="8"/>
      <c r="D46" s="8"/>
    </row>
  </sheetData>
  <mergeCells count="21">
    <mergeCell ref="B44:D44"/>
    <mergeCell ref="B45:D45"/>
    <mergeCell ref="B46:D46"/>
    <mergeCell ref="B38:D38"/>
    <mergeCell ref="B39:D39"/>
    <mergeCell ref="B40:D40"/>
    <mergeCell ref="B41:D41"/>
    <mergeCell ref="B42:D42"/>
    <mergeCell ref="B43:D43"/>
    <mergeCell ref="B30:D30"/>
    <mergeCell ref="B33:D33"/>
    <mergeCell ref="B34:D34"/>
    <mergeCell ref="B35:D35"/>
    <mergeCell ref="B36:D36"/>
    <mergeCell ref="B37:D37"/>
    <mergeCell ref="B4:D4"/>
    <mergeCell ref="B5:D5"/>
    <mergeCell ref="B26:D26"/>
    <mergeCell ref="B27:D27"/>
    <mergeCell ref="B28:D28"/>
    <mergeCell ref="B29:D29"/>
  </mergeCells>
  <hyperlinks>
    <hyperlink ref="B33" r:id="rId1" xr:uid="{A408CE4B-E594-4369-8571-30E94B27E365}"/>
    <hyperlink ref="B34" r:id="rId2" xr:uid="{FF2C1121-EDE3-47A2-8D15-6B2710FD4D76}"/>
    <hyperlink ref="B35" r:id="rId3" xr:uid="{72E68263-FC3D-4DA7-8530-586E801E6046}"/>
    <hyperlink ref="B36" r:id="rId4" xr:uid="{A8D8D040-6905-4772-BE77-4209D0D01401}"/>
    <hyperlink ref="B37" r:id="rId5" xr:uid="{41EEFA05-D250-4BBC-B5FF-C6D936B73E03}"/>
    <hyperlink ref="B38" r:id="rId6" xr:uid="{50314158-FC7E-4612-B2CD-8C85C9F6FD6E}"/>
    <hyperlink ref="B39" r:id="rId7" xr:uid="{08C42446-0A16-4AE7-8438-9307059FA229}"/>
    <hyperlink ref="B40" r:id="rId8" xr:uid="{29B6AFD6-4328-44D7-A97A-9518EBFE8535}"/>
    <hyperlink ref="B41" r:id="rId9" xr:uid="{2194C5AE-604C-4422-B072-3435A9C0937A}"/>
    <hyperlink ref="B42" r:id="rId10" xr:uid="{9B6599A1-0660-4B9F-8FE7-67D3FC6580EE}"/>
    <hyperlink ref="B43" r:id="rId11" xr:uid="{4E2B5613-6D91-4579-A1AB-F75B5FB97F65}"/>
    <hyperlink ref="B44" r:id="rId12" xr:uid="{C6657D1A-D7AB-4A03-A140-CAF57645A4E5}"/>
    <hyperlink ref="B45" r:id="rId13" xr:uid="{0B9B54B6-9F70-4AE3-BA71-FA2EA9EF13FE}"/>
    <hyperlink ref="B46" r:id="rId14" xr:uid="{92298D8F-391E-4146-ACD9-942E6197BE99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 Rate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kayali</dc:creator>
  <cp:lastModifiedBy>Nabil kayali</cp:lastModifiedBy>
  <dcterms:created xsi:type="dcterms:W3CDTF">2026-09-29T12:56:35Z</dcterms:created>
  <dcterms:modified xsi:type="dcterms:W3CDTF">2026-09-29T12:56:35Z</dcterms:modified>
</cp:coreProperties>
</file>