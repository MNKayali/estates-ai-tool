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Instructions" sheetId="1" state="visible" r:id="rId3"/>
    <sheet name="2. Scope and Rates" sheetId="2" state="visible" r:id="rId4"/>
    <sheet name="3. Settings" sheetId="3" state="visible" r:id="rId5"/>
  </sheets>
  <definedNames>
    <definedName function="false" hidden="true" localSheetId="1" name="_xlnm._FilterDatabase" vbProcedure="false">'2. Scope and Rates'!$A$4:$AN$145</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<sst xmlns="http://schemas.openxmlformats.org/spreadsheetml/2006/main" count="3319" uniqueCount="1327">
  <si>
    <t xml:space="preserve">NRM1 COST ESTIMATE TOOL — v5.2 (September 2026)</t>
  </si>
  <si>
    <t xml:space="preserve">Single source of truth for the scope of works and its prices, in three sheets. Prepared by Projento.</t>
  </si>
  <si>
    <t xml:space="preserve">THE THREE SHEETS</t>
  </si>
  <si>
    <t xml:space="preserve">2. Scope and Rates</t>
  </si>
  <si>
    <t xml:space="preserve">Every scope item, its options and prices, where each price came from, and when the item shows and is ticked. The only place rates live.</t>
  </si>
  <si>
    <t xml:space="preserve">3. Settings</t>
  </si>
  <si>
    <t xml:space="preserve">Everything else the app reads: workbook version, building uses, project types (with their rate columns), spec levels, intervention levels, location factors, benchmarks, inputs, quantity ratios, factors, percentage rules, retired codes.</t>
  </si>
  <si>
    <t xml:space="preserve">1. Instructions</t>
  </si>
  <si>
    <t xml:space="preserve">This guide, the price-source key, the self-checks and the update log.</t>
  </si>
  <si>
    <t xml:space="preserve">HOW THE APP USES THIS WORKBOOK — it is the app's brain</t>
  </si>
  <si>
    <t xml:space="preserve">Runtime source</t>
  </si>
  <si>
    <t xml:space="preserve">The app loads this file at runtime (from GitHub, cached about 10 minutes, as with v4.5). Every item, option, rule, list, rate and percentage comes from here; the code holds none.</t>
  </si>
  <si>
    <t xml:space="preserve">To change a number</t>
  </si>
  <si>
    <t xml:space="preserve">Edit it here in Excel, save (Excel recalculates the formula cells), check the self-checks below read 0, bump the version on '3. Settings', and push to GitHub. New estimates use it within about 10 minutes.</t>
  </si>
  <si>
    <t xml:space="preserve">Live, no code change</t>
  </si>
  <si>
    <t xml:space="preserve">Rates and factors; price sources; new options and building-use rates; new items; quantity rules and ratios; Shown on / Pre-ticked on lists; conditions using the existing names; BCIS mapping; percentages, location factors, benchmarks; new project types or building uses added to their tables on '3. Settings'.</t>
  </si>
  <si>
    <t xml:space="preserve">Needs a code change</t>
  </si>
  <si>
    <t xml:space="preserve">A new column; a new pricing type; a new input name or function in quantity rules; a new kind of 'When selected' effect; renamed ▶ markers or column headers.</t>
  </si>
  <si>
    <t xml:space="preserve">Safety net</t>
  </si>
  <si>
    <t xml:space="preserve">If the file won't load, a header is missing or a self-check isn't 0, the app keeps the last good version and warns the admin. Every report records the workbook version it was priced with.</t>
  </si>
  <si>
    <t xml:space="preserve">Save with Excel</t>
  </si>
  <si>
    <t xml:space="preserve">Save from Excel or LibreOffice. Tools that don't recalculate (e.g. scripts) can leave formula cells empty, and the app will then reject the file.</t>
  </si>
  <si>
    <t xml:space="preserve">CODES USED ON '2. SCOPE AND RATES'</t>
  </si>
  <si>
    <t xml:space="preserve">Project types</t>
  </si>
  <si>
    <t xml:space="preserve">NB New Build · EX Extension · RF Refurbishment · FO Fit-out · EW External works only · DM Demolition only · OM Other or mixed. Several codes are separated by spaces, e.g. 'NB EX RF'. '—' means none.</t>
  </si>
  <si>
    <t xml:space="preserve">Building uses</t>
  </si>
  <si>
    <t xml:space="preserve">RES Residential · STU Student · OFF Commercial offices · EDU Education · HEA Healthcare · RET Retail · IND Industrial / warehouse · HOS Hospitality / leisure · MIX Mixed use · OTH Other · ALL any building use.</t>
  </si>
  <si>
    <t xml:space="preserve">Other conditions</t>
  </si>
  <si>
    <t xml:space="preserve">Tests joined by '&amp;' (and), then '→ tick' or '→ untick'. Each test is a name from the inputs table, an operator (= &lt;&gt; &lt; &gt; &lt;= &gt;=) and a value; '=' followed by several codes means any of them. E.g. 'PT=NB &amp; USE=RES STU &amp; STOREYS&gt;=4 → tick'. 'AUTO' = added by the app, never shown.</t>
  </si>
  <si>
    <t xml:space="preserve">Options: pick</t>
  </si>
  <si>
    <t xml:space="preserve">On Item rows. One = the user picks one option (drop-down). Several = the user can tick more than one option, each with its own quantity (e.g. standard + accessible toilets; passenger + goods lifts).</t>
  </si>
  <si>
    <t xml:space="preserve">When selected</t>
  </si>
  <si>
    <t xml:space="preserve">RISK: adds a risk · ASSUME: adds an assumption · RATE: changes another item's rate · SUGGEST: ticks another item (by Scope ID). Separate several with ' · '.</t>
  </si>
  <si>
    <t xml:space="preserve">Rate key vs Scope ID</t>
  </si>
  <si>
    <t xml:space="preserve">Scope ID (S-0039) = the item, e.g. Heating and hot water. Rate key (S-0039-02) = one priced line of that item, e.g. heat pump, full system. Saved projects store the rate key.</t>
  </si>
  <si>
    <t xml:space="preserve">Factor (× base row)</t>
  </si>
  <si>
    <t xml:space="preserve">Filled only on rows priced as a multiple of another row: rate = base row's rate × factor. Blank = the rate is typed in.</t>
  </si>
  <si>
    <t xml:space="preserve">QUANTITY RULES (column 'Quantity rule')</t>
  </si>
  <si>
    <t xml:space="preserve">What it is</t>
  </si>
  <si>
    <t xml:space="preserve">How the app estimates the quantity when the user hasn't entered one. The user's own quantity always replaces it. On Option rows, blank = same rule as the Item row.</t>
  </si>
  <si>
    <t xml:space="preserve">Names</t>
  </si>
  <si>
    <t xml:space="preserve">GIFA · STOREYS · FOOTPRINT · UPPER · EXT_AREA · DEMOLISHED · PT · USE · AGE · LEVEL — defined, with defaults, in the inputs table on '3. Settings'.</t>
  </si>
  <si>
    <t xml:space="preserve">Ratios</t>
  </si>
  <si>
    <t xml:space="preserve">r.name reads the quantity_ratios table on '3. Settings': the row for the project's building use, else the ALL row. E.g. r.m2_per_bed is 25 for student, 70 for healthcare.</t>
  </si>
  <si>
    <t xml:space="preserve">Functions</t>
  </si>
  <si>
    <t xml:space="preserve">IF(test, then, else) · ROUND(x, 0) · MAX(a, b) · SQRT(x) · Q(S-0000) = the quantity of another item · + − * / and = &lt;&gt; &lt; &gt; &lt;= &gt;=.</t>
  </si>
  <si>
    <t xml:space="preserve">Keywords</t>
  </si>
  <si>
    <t xml:space="preserve">ENTER = no reliable estimate; the item isn't priced until the user enters a quantity. 1 = one item or one size band.</t>
  </si>
  <si>
    <t xml:space="preserve">Examples</t>
  </si>
  <si>
    <t xml:space="preserve">Toilets: ROUND(GIFA / r.m2_per_person / r.persons_per_wc, 0). Solar PV: FOOTPRINT * r.kwp_per_m2_roof. Lifts: IF(STOREYS&gt;=2, 1, 0).</t>
  </si>
  <si>
    <t xml:space="preserve">HOW TO CHANGE THINGS</t>
  </si>
  <si>
    <t xml:space="preserve">Change a rate</t>
  </si>
  <si>
    <t xml:space="preserve">Edit the rate cell on its row. Change 'Price source' to say where the new figure came from (e.g. Verified – BCIS) and add the reference in 'Source detail'. Rows with a Factor update themselves when their base row changes.</t>
  </si>
  <si>
    <t xml:space="preserve">Add an option</t>
  </si>
  <si>
    <t xml:space="preserve">Insert a row under the item. Row type = Option, same Scope ID, next Rate key (e.g. S-0039-16). Fill Option, Unit, Pricing type, rates and Price source. Leave the Item columns blank; they inherit from the Item row.</t>
  </si>
  <si>
    <t xml:space="preserve">Add a building-use rate</t>
  </si>
  <si>
    <t xml:space="preserve">Same as an option, with 'Rate building use' set to the use's code (e.g. HEA). The app uses the row matching the building use, else the ALL row.</t>
  </si>
  <si>
    <t xml:space="preserve">Add a scope item</t>
  </si>
  <si>
    <t xml:space="preserve">Insert an Item row in its group with the next unused Scope ID (never reuse one) and Rate key ending -01. Fill every Item column, the rules columns, BCIS element and a price.</t>
  </si>
  <si>
    <t xml:space="preserve">Add a project type or building use</t>
  </si>
  <si>
    <t xml:space="preserve">Give it a new code in the project_types or building_uses table on '3. Settings', then add the code to 'Shown on' / 'Pre-ticked on' / 'Relevant building uses' where it applies. Also add the code to the matching 'Unknown … codes' check below. No new columns needed.</t>
  </si>
  <si>
    <t xml:space="preserve">Retire an item</t>
  </si>
  <si>
    <t xml:space="preserve">Don't delete it. Change its rules so it isn't shown, and list its codes against the replacement item ('Replaces old codes') or on the retired_codes table.</t>
  </si>
  <si>
    <t xml:space="preserve">Change an estimate</t>
  </si>
  <si>
    <t xml:space="preserve">To change a ratio, edit its value on quantity_ratios; to change it for one building use only, add a row with that use's code. To change how an item is estimated, edit its 'Quantity rule'.</t>
  </si>
  <si>
    <t xml:space="preserve">Change a BCIS mapping</t>
  </si>
  <si>
    <t xml:space="preserve">Edit 'BCIS element' and 'Share' on the Item row. Shares must add up to 100%.</t>
  </si>
  <si>
    <t xml:space="preserve">Change a percentage or factor</t>
  </si>
  <si>
    <t xml:space="preserve">Edit the value in its table on '3. Settings'.</t>
  </si>
  <si>
    <t xml:space="preserve">After any change</t>
  </si>
  <si>
    <t xml:space="preserve">Check the self-checks below all show 0, then add a line to the update log.</t>
  </si>
  <si>
    <t xml:space="preserve">COLUMNS THE APP READS</t>
  </si>
  <si>
    <t xml:space="preserve">Read by the app</t>
  </si>
  <si>
    <t xml:space="preserve">Every column on '2. Scope and Rates' except those below, found by header text in row 4. Rows 1–3 are titles only. Every table on '3. Settings', found by its ▶ marker.</t>
  </si>
  <si>
    <t xml:space="preserve">Report only</t>
  </si>
  <si>
    <t xml:space="preserve">'Price source': lines marked 'AI estimate – verify' are flagged on the report so the reader knows the rate is unverified.</t>
  </si>
  <si>
    <t xml:space="preserve">For people, not the app</t>
  </si>
  <si>
    <t xml:space="preserve">'Factor (× base row)' and 'Base row' (they work out the rate in Excel; the app reads the rate), 'Source detail', 'Notes', and 'Used for' / 'Source' on the ratio tables.</t>
  </si>
  <si>
    <t xml:space="preserve">PRICE SOURCE KEY (column 'Price source' on '2. Scope and Rates')</t>
  </si>
  <si>
    <t xml:space="preserve">v4.5 – BCIS cited</t>
  </si>
  <si>
    <t xml:space="preserve">Carried from v4.5, where the v4.5 note cites BCIS. The citation hasn't been checked against BCIS data.</t>
  </si>
  <si>
    <t xml:space="preserve">v4.5 – other source cited</t>
  </si>
  <si>
    <t xml:space="preserve">Carried from v4.5, where the v4.5 note cites another source (manufacturer, C&amp;W, BCO, Ofgem …). Not checked.</t>
  </si>
  <si>
    <t xml:space="preserve">v4.5 – no source recorded</t>
  </si>
  <si>
    <t xml:space="preserve">Carried from v4.5 with no source recorded. Treat as an unverified benchmark.</t>
  </si>
  <si>
    <t xml:space="preserve">Derived from v4.5</t>
  </si>
  <si>
    <t xml:space="preserve">Worked out from v4.5 rows; the arithmetic and any assumption are in 'Source detail'.</t>
  </si>
  <si>
    <t xml:space="preserve">AI estimate – verify</t>
  </si>
  <si>
    <t xml:space="preserve">New number estimated by AI (Claude) for this version. Verify before relying on it.</t>
  </si>
  <si>
    <t xml:space="preserve">Verified – BCIS</t>
  </si>
  <si>
    <t xml:space="preserve">Use when you have checked a rate against BCIS. Put the BCIS reference and date in 'Source detail'.</t>
  </si>
  <si>
    <t xml:space="preserve">Verified – tender</t>
  </si>
  <si>
    <t xml:space="preserve">Use when a rate comes from recent tender returns. Put the project and date in 'Source detail'.</t>
  </si>
  <si>
    <t xml:space="preserve">SELF-CHECKS (each should be 0)</t>
  </si>
  <si>
    <t xml:space="preserve">Duplicate rate keys</t>
  </si>
  <si>
    <t xml:space="preserve">Scope IDs with more than one Item row</t>
  </si>
  <si>
    <t xml:space="preserve">Option rows with no Item row</t>
  </si>
  <si>
    <t xml:space="preserve">Rows with no price source</t>
  </si>
  <si>
    <t xml:space="preserve">Item rows whose BCIS shares don't total 100%</t>
  </si>
  <si>
    <t xml:space="preserve">Rows whose option has no ALL building-use row</t>
  </si>
  <si>
    <t xml:space="preserve">Unknown project type codes</t>
  </si>
  <si>
    <t xml:space="preserve">Unknown building use codes</t>
  </si>
  <si>
    <t xml:space="preserve">Items with no default option</t>
  </si>
  <si>
    <t xml:space="preserve">'Pick one' items with more than one default</t>
  </si>
  <si>
    <t xml:space="preserve">Item rows with no quantity rule</t>
  </si>
  <si>
    <t xml:space="preserve">Ratio keys with no ALL row</t>
  </si>
  <si>
    <t xml:space="preserve">Ratios with no value</t>
  </si>
  <si>
    <t xml:space="preserve">COUNTS</t>
  </si>
  <si>
    <t xml:space="preserve">Scope items</t>
  </si>
  <si>
    <t xml:space="preserve">Option rows</t>
  </si>
  <si>
    <t xml:space="preserve">CALCULATION SEQUENCE</t>
  </si>
  <si>
    <t xml:space="preserve">1</t>
  </si>
  <si>
    <t xml:space="preserve">Project type + specification level → rate column (project_types); postcode → location factor; inputs worked out (FOOTPRINT, UPPER, EXT_AREA) with their defaults.</t>
  </si>
  <si>
    <t xml:space="preserve">2</t>
  </si>
  <si>
    <t xml:space="preserve">Refurbishment and Fit-out: the user picks the level of intervention; the app never picks it. The level sets the band multiplier ('3. Settings'), greys out options whose 'Available from intervention level' is higher, and ticks the rows that list it in 'Pre-ticked at intervention levels'.</t>
  </si>
  <si>
    <t xml:space="preserve">3</t>
  </si>
  <si>
    <t xml:space="preserve">Other project types: items start ticked per 'Pre-ticked on', 'Relevant building uses' and 'Other conditions'.</t>
  </si>
  <si>
    <t xml:space="preserve">4</t>
  </si>
  <si>
    <t xml:space="preserve">For each selected item: use the row for the chosen option and building use (fall back to ALL). Quantity = the user's figure, else the Quantity rule. Line = rate × quantity × location factor × band multiplier (last two only where 'Apply band + location factor' = Yes); × modular_factor on Groups 1–3 if Modular.</t>
  </si>
  <si>
    <t xml:space="preserve">5</t>
  </si>
  <si>
    <t xml:space="preserve">Apply 'When selected' effects; add the automatic Builder's work line if any Group 5 item is selected; apply percentage rules; total by BCIS element. Lines on BCIS element 12 (biodiversity net gain) print below the construction total.</t>
  </si>
  <si>
    <t xml:space="preserve">GOLDEN RULES</t>
  </si>
  <si>
    <t xml:space="preserve">Contingency (H) is always 5%; survey uncertainty sits in Risk (E).</t>
  </si>
  <si>
    <t xml:space="preserve">Every number lives in this workbook once. The questionnaire and the code hold no rates.</t>
  </si>
  <si>
    <t xml:space="preserve">Rate keys and Scope IDs are permanent. Old codes are never deleted.</t>
  </si>
  <si>
    <t xml:space="preserve">The app still reads v4.5 by sheet name. Publish v5.2 only together with the matching Claude Code change.</t>
  </si>
  <si>
    <t xml:space="preserve">Question numbers in the percentage rules follow the current screen labels (scope = Q2.2, level of intervention = Q2.3) until the relabelling.</t>
  </si>
  <si>
    <t xml:space="preserve">UPDATE LOG</t>
  </si>
  <si>
    <t xml:space="preserve">v5.2 — 23 Sept 2026</t>
  </si>
  <si>
    <t xml:space="preserve">Brief decisions confirmed: loose furniture moved into the construction total (BCIS 4.1); number of storeys read from the existing question.</t>
  </si>
  <si>
    <t xml:space="preserve">v5.2 — Sept 2026</t>
  </si>
  <si>
    <t xml:space="preserve">Ready for Claude Code. Quantity rules written in a coded form the app can run, with named ratios and inputs on '3. Settings'. 'Options: pick' (One / Several) added. Band items default to Medium. Other conditions use the same names. Rate columns per project type and spec level, and benchmark codes, made machine-readable. 'Group 0?' column, redundant notes and old-code references removed.</t>
  </si>
  <si>
    <t xml:space="preserve">v5.1 — Sept 2026</t>
  </si>
  <si>
    <t xml:space="preserve">Reduced to three sheets. Scope items, rates, rules, intervention defaults, BCIS mapping, dependencies and old codes merged into '2. Scope and Rates'. All settings tables stacked on '3. Settings'. Drop-down validation and self-checks added.</t>
  </si>
  <si>
    <t xml:space="preserve">v5.0 — Sept 2026</t>
  </si>
  <si>
    <t xml:space="preserve">Scope library merged with the v4.5 Master Cost Table. Permanent Scope IDs. Every rate tagged with its source.</t>
  </si>
  <si>
    <t xml:space="preserve">v4.5 — June 2026</t>
  </si>
  <si>
    <t xml:space="preserve">Q2.2 trigger column removed from the Master Cost Table (see v4.5 file for earlier logs).</t>
  </si>
  <si>
    <t xml:space="preserve">SCOPE AND RATES — every scope item, its options and prices, and when it applies</t>
  </si>
  <si>
    <t xml:space="preserve">One row per priced line. The Item row holds the item's details and rules; Option rows below it (same Scope ID) add other options or building-use rates. Rate key and Scope ID are permanent: never change or reuse them. See '1. Instructions' for how to add or change anything.</t>
  </si>
  <si>
    <t xml:space="preserve">IDENTITY</t>
  </si>
  <si>
    <t xml:space="preserve">ITEM (on Item rows only)</t>
  </si>
  <si>
    <t xml:space="preserve">OPTION, QUANTITY AND PRICING</t>
  </si>
  <si>
    <t xml:space="preserve">RATES £ (UK mid-point, before location factor)</t>
  </si>
  <si>
    <t xml:space="preserve">WHERE THE PRICE CAME FROM</t>
  </si>
  <si>
    <t xml:space="preserve">WHEN IT SHOWS AND IS TICKED (Item rows; 'When selected' on any row)</t>
  </si>
  <si>
    <t xml:space="preserve">BCIS AND OLD CODES (Item rows)</t>
  </si>
  <si>
    <t xml:space="preserve">Rate key</t>
  </si>
  <si>
    <t xml:space="preserve">Scope ID</t>
  </si>
  <si>
    <t xml:space="preserve">Row type</t>
  </si>
  <si>
    <t xml:space="preserve">Group</t>
  </si>
  <si>
    <t xml:space="preserve">Section</t>
  </si>
  <si>
    <t xml:space="preserve">Item</t>
  </si>
  <si>
    <t xml:space="preserve">What's included</t>
  </si>
  <si>
    <t xml:space="preserve">Option</t>
  </si>
  <si>
    <t xml:space="preserve">Rate building use</t>
  </si>
  <si>
    <t xml:space="preserve">Default option</t>
  </si>
  <si>
    <t xml:space="preserve">Unit</t>
  </si>
  <si>
    <t xml:space="preserve">Pricing type</t>
  </si>
  <si>
    <t xml:space="preserve">Quantity rule</t>
  </si>
  <si>
    <t xml:space="preserve">Available from intervention level</t>
  </si>
  <si>
    <t xml:space="preserve">Pre-ticked at intervention levels</t>
  </si>
  <si>
    <t xml:space="preserve">Apply band + location factor</t>
  </si>
  <si>
    <t xml:space="preserve">Base row (rate key)</t>
  </si>
  <si>
    <t xml:space="preserve">Rfb Basic</t>
  </si>
  <si>
    <t xml:space="preserve">Rfb Std</t>
  </si>
  <si>
    <t xml:space="preserve">Rfb High</t>
  </si>
  <si>
    <t xml:space="preserve">NB Std</t>
  </si>
  <si>
    <t xml:space="preserve">NB High</t>
  </si>
  <si>
    <t xml:space="preserve">Ext Std</t>
  </si>
  <si>
    <t xml:space="preserve">Ext High</t>
  </si>
  <si>
    <t xml:space="preserve">Ext Works</t>
  </si>
  <si>
    <t xml:space="preserve">Price source</t>
  </si>
  <si>
    <t xml:space="preserve">Source detail</t>
  </si>
  <si>
    <t xml:space="preserve">Shown on (project type codes)</t>
  </si>
  <si>
    <t xml:space="preserve">Pre-ticked on (project type codes)</t>
  </si>
  <si>
    <t xml:space="preserve">Relevant building uses (codes)</t>
  </si>
  <si>
    <t xml:space="preserve">When selected (dependencies)</t>
  </si>
  <si>
    <t xml:space="preserve">BCIS element 1</t>
  </si>
  <si>
    <t xml:space="preserve">Share 1</t>
  </si>
  <si>
    <t xml:space="preserve">BCIS element 2</t>
  </si>
  <si>
    <t xml:space="preserve">Share 2</t>
  </si>
  <si>
    <t xml:space="preserve">Replaces old codes</t>
  </si>
  <si>
    <t xml:space="preserve">Notes</t>
  </si>
  <si>
    <t xml:space="preserve">S-0001-01</t>
  </si>
  <si>
    <t xml:space="preserve">S-0001</t>
  </si>
  <si>
    <t xml:space="preserve">0 Facilitating works</t>
  </si>
  <si>
    <t xml:space="preserve">—</t>
  </si>
  <si>
    <t xml:space="preserve">Asbestos removal</t>
  </si>
  <si>
    <t xml:space="preserve">Removal of asbestos and other hazardous materials in the building</t>
  </si>
  <si>
    <t xml:space="preserve">One</t>
  </si>
  <si>
    <t xml:space="preserve">Standard</t>
  </si>
  <si>
    <t xml:space="preserve">ALL</t>
  </si>
  <si>
    <t xml:space="preserve">Yes</t>
  </si>
  <si>
    <t xml:space="preserve">m²</t>
  </si>
  <si>
    <t xml:space="preserve">gifa_rate</t>
  </si>
  <si>
    <t xml:space="preserve">IF(PT=NB, DEMOLISHED, GIFA)</t>
  </si>
  <si>
    <t xml:space="preserve">v4.5 0.1 for Refurbishment and Extension. New Build and External works columns were 0 in v4.5; set to the Refurbishment Std/High values (AI adjustment) so asbestos in a building being demolished is priced</t>
  </si>
  <si>
    <t xml:space="preserve">NB EX RF FO EW DM OM</t>
  </si>
  <si>
    <t xml:space="preserve">AGE&lt;2000 &amp; PT=RF FO DM → tick</t>
  </si>
  <si>
    <t xml:space="preserve">0.1</t>
  </si>
  <si>
    <t xml:space="preserve">S-0002-01</t>
  </si>
  <si>
    <t xml:space="preserve">S-0002</t>
  </si>
  <si>
    <t xml:space="preserve">Demolition of existing building</t>
  </si>
  <si>
    <t xml:space="preserve">Whole-building demolition, soft strip and service disconnections</t>
  </si>
  <si>
    <t xml:space="preserve">m² demolished</t>
  </si>
  <si>
    <t xml:space="preserve">DEMOLISHED</t>
  </si>
  <si>
    <t xml:space="preserve">v4.5 0.2 Refurbishment rates applied to every column: demolition cost doesn't depend on what replaces the building. v4.5 0.2 also covered structural alterations, now in Alterations</t>
  </si>
  <si>
    <t xml:space="preserve">NB EX EW DM OM</t>
  </si>
  <si>
    <t xml:space="preserve">DM</t>
  </si>
  <si>
    <t xml:space="preserve">SUGGEST: S-0001 Asbestos removal · ASSUME (NB): demolished area = new GIFA unless entered</t>
  </si>
  <si>
    <t xml:space="preserve">0.2</t>
  </si>
  <si>
    <t xml:space="preserve">S-0003-01</t>
  </si>
  <si>
    <t xml:space="preserve">S-0003</t>
  </si>
  <si>
    <t xml:space="preserve">Strip-out</t>
  </si>
  <si>
    <t xml:space="preserve">Removal of existing finishes, fittings and redundant services</t>
  </si>
  <si>
    <t xml:space="preserve">GIFA</t>
  </si>
  <si>
    <t xml:space="preserve">1, 2, 3, 4</t>
  </si>
  <si>
    <t xml:space="preserve">v4.5 0.5. No source recorded in v4.5</t>
  </si>
  <si>
    <t xml:space="preserve">RF FO OM</t>
  </si>
  <si>
    <t xml:space="preserve">0.5</t>
  </si>
  <si>
    <t xml:space="preserve">S-0004-01</t>
  </si>
  <si>
    <t xml:space="preserve">S-0004</t>
  </si>
  <si>
    <t xml:space="preserve">Contaminated land</t>
  </si>
  <si>
    <t xml:space="preserve">Remediation of contaminated ground</t>
  </si>
  <si>
    <t xml:space="preserve">IF(PT=EW, EXT_AREA, GIFA)</t>
  </si>
  <si>
    <t xml:space="preserve">v4.5 0.3. No source recorded in v4.5</t>
  </si>
  <si>
    <t xml:space="preserve">0.3</t>
  </si>
  <si>
    <t xml:space="preserve">S-0005-01</t>
  </si>
  <si>
    <t xml:space="preserve">S-0005</t>
  </si>
  <si>
    <t xml:space="preserve">Ground improvement</t>
  </si>
  <si>
    <t xml:space="preserve">Ground stabilisation and mine-working treatment (not piling)</t>
  </si>
  <si>
    <t xml:space="preserve">FOOTPRINT</t>
  </si>
  <si>
    <t xml:space="preserve">v4.5 0.4. No source recorded in v4.5</t>
  </si>
  <si>
    <t xml:space="preserve">NB EX EW OM</t>
  </si>
  <si>
    <t xml:space="preserve">0.4</t>
  </si>
  <si>
    <t xml:space="preserve">Piling is in Foundations</t>
  </si>
  <si>
    <t xml:space="preserve">S-0006-01</t>
  </si>
  <si>
    <t xml:space="preserve">S-0006</t>
  </si>
  <si>
    <t xml:space="preserve">Tree removal</t>
  </si>
  <si>
    <t xml:space="preserve">Felling and arboricultural works</t>
  </si>
  <si>
    <t xml:space="preserve">nr trees</t>
  </si>
  <si>
    <t xml:space="preserve">per_nr</t>
  </si>
  <si>
    <t xml:space="preserve">ENTER</t>
  </si>
  <si>
    <t xml:space="preserve">No</t>
  </si>
  <si>
    <t xml:space="preserve">AI estimate: felling and stump removal per tree. Spec level stands in for tree size. Not in v4.5</t>
  </si>
  <si>
    <t xml:space="preserve">8.1</t>
  </si>
  <si>
    <t xml:space="preserve">0.6</t>
  </si>
  <si>
    <t xml:space="preserve">S-0007-01</t>
  </si>
  <si>
    <t xml:space="preserve">S-0007</t>
  </si>
  <si>
    <t xml:space="preserve">Service diversions</t>
  </si>
  <si>
    <t xml:space="preserve">Diverting existing underground services</t>
  </si>
  <si>
    <t xml:space="preserve">Size: Small</t>
  </si>
  <si>
    <t xml:space="preserve">band</t>
  </si>
  <si>
    <t xml:space="preserve">per_item</t>
  </si>
  <si>
    <t xml:space="preserve">AI estimate. Large = HV cable or strategic main. Not in v4.5</t>
  </si>
  <si>
    <t xml:space="preserve">0.7</t>
  </si>
  <si>
    <t xml:space="preserve">S-0007-02</t>
  </si>
  <si>
    <t xml:space="preserve">Size: Medium</t>
  </si>
  <si>
    <t xml:space="preserve">S-0007-03</t>
  </si>
  <si>
    <t xml:space="preserve">Size: Large</t>
  </si>
  <si>
    <t xml:space="preserve">S-0008-01</t>
  </si>
  <si>
    <t xml:space="preserve">S-0008</t>
  </si>
  <si>
    <t xml:space="preserve">1 Substructure</t>
  </si>
  <si>
    <t xml:space="preserve">Foundations</t>
  </si>
  <si>
    <t xml:space="preserve">Excavation and foundations</t>
  </si>
  <si>
    <t xml:space="preserve">Type: Standard</t>
  </si>
  <si>
    <t xml:space="preserve">footprint_rate</t>
  </si>
  <si>
    <t xml:space="preserve">v4.5 1.1. No source recorded in v4.5</t>
  </si>
  <si>
    <t xml:space="preserve">NB EX OM</t>
  </si>
  <si>
    <t xml:space="preserve">NB EX</t>
  </si>
  <si>
    <t xml:space="preserve">1.1</t>
  </si>
  <si>
    <t xml:space="preserve">1.1, 1.2</t>
  </si>
  <si>
    <t xml:space="preserve">S-0008-02</t>
  </si>
  <si>
    <t xml:space="preserve">Type: Piled</t>
  </si>
  <si>
    <t xml:space="preserve">v4.5 1.2. No source recorded in v4.5</t>
  </si>
  <si>
    <t xml:space="preserve">S-0008-03</t>
  </si>
  <si>
    <t xml:space="preserve">Type: Not sure</t>
  </si>
  <si>
    <t xml:space="preserve">Prices as Standard foundations and raises a piling risk (Dependencies)</t>
  </si>
  <si>
    <t xml:space="preserve">RISK: piling may be required</t>
  </si>
  <si>
    <t xml:space="preserve">S-0009-01</t>
  </si>
  <si>
    <t xml:space="preserve">S-0009</t>
  </si>
  <si>
    <t xml:space="preserve">Ground floor slab</t>
  </si>
  <si>
    <t xml:space="preserve">Excavation, sub-base, DPM, insulation and slab</t>
  </si>
  <si>
    <t xml:space="preserve">v4.5 1.3. No source recorded in v4.5</t>
  </si>
  <si>
    <t xml:space="preserve">1.3</t>
  </si>
  <si>
    <t xml:space="preserve">S-0010-01</t>
  </si>
  <si>
    <t xml:space="preserve">S-0010</t>
  </si>
  <si>
    <t xml:space="preserve">Basement</t>
  </si>
  <si>
    <t xml:space="preserve">Excavation, retaining walls and tanking</t>
  </si>
  <si>
    <t xml:space="preserve">m² basement</t>
  </si>
  <si>
    <t xml:space="preserve">v4.5 1.4 (900 / 1,600) plus an AI allowance of £100 / £150 per m² for tanking, which moved here from retired 2.9</t>
  </si>
  <si>
    <t xml:space="preserve">ASSUME: excavation, retaining walls and tanking included · RISK: groundwater and dewatering</t>
  </si>
  <si>
    <t xml:space="preserve">1.4, 2.9, 2.10</t>
  </si>
  <si>
    <t xml:space="preserve">S-0011-01</t>
  </si>
  <si>
    <t xml:space="preserve">S-0011</t>
  </si>
  <si>
    <t xml:space="preserve">2 Superstructure and envelope</t>
  </si>
  <si>
    <t xml:space="preserve">Structure</t>
  </si>
  <si>
    <t xml:space="preserve">Frame</t>
  </si>
  <si>
    <t xml:space="preserve">Structural frame</t>
  </si>
  <si>
    <t xml:space="preserve">v4.5 2.1. No source recorded in v4.5</t>
  </si>
  <si>
    <t xml:space="preserve">2.1</t>
  </si>
  <si>
    <t xml:space="preserve">S-0012-01</t>
  </si>
  <si>
    <t xml:space="preserve">S-0012</t>
  </si>
  <si>
    <t xml:space="preserve">Upper floors</t>
  </si>
  <si>
    <t xml:space="preserve">Upper floor structure, incl. balconies</t>
  </si>
  <si>
    <t xml:space="preserve">upperfloors_rate</t>
  </si>
  <si>
    <t xml:space="preserve">UPPER</t>
  </si>
  <si>
    <t xml:space="preserve">v4.5 2.2. No source recorded in v4.5</t>
  </si>
  <si>
    <t xml:space="preserve">STOREYS&lt;2 → untick</t>
  </si>
  <si>
    <t xml:space="preserve">2.2</t>
  </si>
  <si>
    <t xml:space="preserve">S-0013-01</t>
  </si>
  <si>
    <t xml:space="preserve">S-0013</t>
  </si>
  <si>
    <t xml:space="preserve">Stairs and ramps</t>
  </si>
  <si>
    <t xml:space="preserve">Stairs, ramps and balustrades</t>
  </si>
  <si>
    <t xml:space="preserve">v4.5 2.4. No source recorded in v4.5</t>
  </si>
  <si>
    <t xml:space="preserve">NB EX RF OM</t>
  </si>
  <si>
    <t xml:space="preserve">2.4</t>
  </si>
  <si>
    <t xml:space="preserve">S-0014-01</t>
  </si>
  <si>
    <t xml:space="preserve">S-0014</t>
  </si>
  <si>
    <t xml:space="preserve">Mezzanine floor</t>
  </si>
  <si>
    <t xml:space="preserve">Free-standing mezzanine</t>
  </si>
  <si>
    <t xml:space="preserve">m² mezzanine</t>
  </si>
  <si>
    <t xml:space="preserve">area_rate</t>
  </si>
  <si>
    <t xml:space="preserve">AI estimate per m² of mezzanine floor. v4.5 6.2 was priced per m² of whole-building GIFA, so it isn't comparable</t>
  </si>
  <si>
    <t xml:space="preserve">NB EX RF FO OM</t>
  </si>
  <si>
    <t xml:space="preserve">OFF EDU RET IND</t>
  </si>
  <si>
    <t xml:space="preserve">2.12, 6.2</t>
  </si>
  <si>
    <t xml:space="preserve">S-0015-01</t>
  </si>
  <si>
    <t xml:space="preserve">S-0015</t>
  </si>
  <si>
    <t xml:space="preserve">Roof and walls</t>
  </si>
  <si>
    <t xml:space="preserve">Roof</t>
  </si>
  <si>
    <t xml:space="preserve">Structure, covering, insulation, drainage, access and edge protection</t>
  </si>
  <si>
    <t xml:space="preserve">v4.5 2.3. No source recorded in v4.5</t>
  </si>
  <si>
    <t xml:space="preserve">2.3</t>
  </si>
  <si>
    <t xml:space="preserve">S-0016-01</t>
  </si>
  <si>
    <t xml:space="preserve">S-0016</t>
  </si>
  <si>
    <t xml:space="preserve">External walls</t>
  </si>
  <si>
    <t xml:space="preserve">Walls and facade, incl. over-cladding</t>
  </si>
  <si>
    <t xml:space="preserve">v4.5 2.5. No source recorded in v4.5</t>
  </si>
  <si>
    <t xml:space="preserve">2.5</t>
  </si>
  <si>
    <t xml:space="preserve">S-0017-01</t>
  </si>
  <si>
    <t xml:space="preserve">S-0017</t>
  </si>
  <si>
    <t xml:space="preserve">Windows and external doors</t>
  </si>
  <si>
    <t xml:space="preserve">Windows, external doors and screens</t>
  </si>
  <si>
    <t xml:space="preserve">v4.5 2.6. No source recorded in v4.5</t>
  </si>
  <si>
    <t xml:space="preserve">2.6</t>
  </si>
  <si>
    <t xml:space="preserve">S-0018-01</t>
  </si>
  <si>
    <t xml:space="preserve">S-0018</t>
  </si>
  <si>
    <t xml:space="preserve">Internal walls and doors</t>
  </si>
  <si>
    <t xml:space="preserve">Internal walls</t>
  </si>
  <si>
    <t xml:space="preserve">Walls and partitions</t>
  </si>
  <si>
    <t xml:space="preserve">v4.5 2.7. No source recorded in v4.5</t>
  </si>
  <si>
    <t xml:space="preserve">2.7</t>
  </si>
  <si>
    <t xml:space="preserve">S-0019-01</t>
  </si>
  <si>
    <t xml:space="preserve">S-0019</t>
  </si>
  <si>
    <t xml:space="preserve">Internal doors</t>
  </si>
  <si>
    <t xml:space="preserve">Doors and ironmongery, incl. fire doors</t>
  </si>
  <si>
    <t xml:space="preserve">v4.5 2.8. No source recorded in v4.5</t>
  </si>
  <si>
    <t xml:space="preserve">2.8</t>
  </si>
  <si>
    <t xml:space="preserve">S-0020-01</t>
  </si>
  <si>
    <t xml:space="preserve">S-0020</t>
  </si>
  <si>
    <t xml:space="preserve">Fire stopping</t>
  </si>
  <si>
    <t xml:space="preserve">Fire stopping and compartmentation upgrade</t>
  </si>
  <si>
    <t xml:space="preserve">3, 4</t>
  </si>
  <si>
    <t xml:space="preserve">AI estimate: fire stopping and compartmentation upgrade in an existing building. Not in v4.5</t>
  </si>
  <si>
    <t xml:space="preserve">EX RF FO OM</t>
  </si>
  <si>
    <t xml:space="preserve">2.11</t>
  </si>
  <si>
    <t xml:space="preserve">S-0021-01</t>
  </si>
  <si>
    <t xml:space="preserve">S-0021</t>
  </si>
  <si>
    <t xml:space="preserve">3 Internal finishes</t>
  </si>
  <si>
    <t xml:space="preserve">Wall finishes</t>
  </si>
  <si>
    <t xml:space="preserve">Plaster, paint and tiling, incl. tanking in wet areas</t>
  </si>
  <si>
    <t xml:space="preserve">v4.5 3.1. No source recorded in v4.5</t>
  </si>
  <si>
    <t xml:space="preserve">3.1</t>
  </si>
  <si>
    <t xml:space="preserve">2.9, 3.1</t>
  </si>
  <si>
    <t xml:space="preserve">S-0022-01</t>
  </si>
  <si>
    <t xml:space="preserve">S-0022</t>
  </si>
  <si>
    <t xml:space="preserve">Floor finishes</t>
  </si>
  <si>
    <t xml:space="preserve">Screed and floor coverings, incl. tanking in wet areas</t>
  </si>
  <si>
    <t xml:space="preserve">Raised access floor: No</t>
  </si>
  <si>
    <t xml:space="preserve">v4.5 3.2. No source recorded in v4.5</t>
  </si>
  <si>
    <t xml:space="preserve">3.2</t>
  </si>
  <si>
    <t xml:space="preserve">2.9, 3.2</t>
  </si>
  <si>
    <t xml:space="preserve">S-0022-02</t>
  </si>
  <si>
    <t xml:space="preserve">Raised access floor: Yes</t>
  </si>
  <si>
    <t xml:space="preserve">v4.5 3.2 plus an AI allowance of £45/m² for raised access floor</t>
  </si>
  <si>
    <t xml:space="preserve">S-0023-01</t>
  </si>
  <si>
    <t xml:space="preserve">S-0023</t>
  </si>
  <si>
    <t xml:space="preserve">Ceiling finishes</t>
  </si>
  <si>
    <t xml:space="preserve">Plasterboard or suspended ceilings</t>
  </si>
  <si>
    <t xml:space="preserve">v4.5 3.3. No source recorded in v4.5</t>
  </si>
  <si>
    <t xml:space="preserve">3.3</t>
  </si>
  <si>
    <t xml:space="preserve">S-0024-01</t>
  </si>
  <si>
    <t xml:space="preserve">S-0024</t>
  </si>
  <si>
    <t xml:space="preserve">4 Toilets, kitchens and fittings</t>
  </si>
  <si>
    <t xml:space="preserve">Toilets, bathrooms and kitchens</t>
  </si>
  <si>
    <t xml:space="preserve">Toilets</t>
  </si>
  <si>
    <t xml:space="preserve">WC pans, basins, cubicles, vanity, dryers and accessories. Pipework is in Water and drainage, tiling in Group 3</t>
  </si>
  <si>
    <t xml:space="preserve">Several</t>
  </si>
  <si>
    <t xml:space="preserve">nr</t>
  </si>
  <si>
    <t xml:space="preserve">ROUND(GIFA / r.m2_per_person / r.persons_per_wc, 0)</t>
  </si>
  <si>
    <t xml:space="preserve">Standard WC: v4.5 4.2-COM ware + 4.31-NR cubicle + ½ × 5.30-NR hand dryer + ¼ × 4.32-HOH vanity run (assumption: 1 dryer per 2 WCs, 1 vanity run per 4 WCs)</t>
  </si>
  <si>
    <t xml:space="preserve">OFF EDU HEA RET IND HOS</t>
  </si>
  <si>
    <t xml:space="preserve">5.1</t>
  </si>
  <si>
    <t xml:space="preserve">4.2-COM, 4.2-HC, 4.2-HP, 4.31-NR, 4.32-HOH, 5.30-NR</t>
  </si>
  <si>
    <t xml:space="preserve">BCIS split is an AI estimate</t>
  </si>
  <si>
    <t xml:space="preserve">S-0024-02</t>
  </si>
  <si>
    <t xml:space="preserve">HOS</t>
  </si>
  <si>
    <t xml:space="preserve">Standard WC: v4.5 4.2-HP ware + 4.31-NR cubicle + ½ × 5.30-NR hand dryer + ¼ × 4.32-HOH vanity run (assumption: 1 dryer per 2 WCs, 1 vanity run per 4 WCs)</t>
  </si>
  <si>
    <t xml:space="preserve">S-0024-03</t>
  </si>
  <si>
    <t xml:space="preserve">HEA</t>
  </si>
  <si>
    <t xml:space="preserve">Standard WC: v4.5 4.2-HC ware + 4.31-NR cubicle + ½ × 5.30-NR hand dryer + ¼ × 4.32-HOH vanity run (assumption: 1 dryer per 2 WCs, 1 vanity run per 4 WCs)</t>
  </si>
  <si>
    <t xml:space="preserve">S-0024-04</t>
  </si>
  <si>
    <t xml:space="preserve">Accessible</t>
  </si>
  <si>
    <t xml:space="preserve">STOREYS * r.accessible_wc_per_floor</t>
  </si>
  <si>
    <t xml:space="preserve">AI estimate: Doc M pack, grab rails, alarm and larger cubicle. Not in v4.5</t>
  </si>
  <si>
    <t xml:space="preserve">S-0024-05</t>
  </si>
  <si>
    <t xml:space="preserve">Changing Places</t>
  </si>
  <si>
    <t xml:space="preserve">AI estimate per Changing Places facility (hoist, adult changing bench, peninsular WC). Not in v4.5</t>
  </si>
  <si>
    <t xml:space="preserve">S-0025-01</t>
  </si>
  <si>
    <t xml:space="preserve">S-0025</t>
  </si>
  <si>
    <t xml:space="preserve">Bathrooms and en-suites</t>
  </si>
  <si>
    <t xml:space="preserve">Bath or shower, WC, basin and accessories</t>
  </si>
  <si>
    <t xml:space="preserve">Built in</t>
  </si>
  <si>
    <t xml:space="preserve">Nr</t>
  </si>
  <si>
    <t xml:space="preserve">ROUND(IF(USE=STU, GIFA / r.m2_per_bed, IF(USE=HOS, GIFA / r.m2_per_key, GIFA / r.m2_per_dwelling * r.bathrooms_per_dwelling)), 0)</t>
  </si>
  <si>
    <t xml:space="preserve">v4.5 4.2-RES. No source recorded in v4.5</t>
  </si>
  <si>
    <t xml:space="preserve">RES STU HOS</t>
  </si>
  <si>
    <t xml:space="preserve">4.2-HG, 4.2-RES, 6.3</t>
  </si>
  <si>
    <t xml:space="preserve">S-0025-02</t>
  </si>
  <si>
    <t xml:space="preserve">v4.5 4.2-HG. No source recorded in v4.5</t>
  </si>
  <si>
    <t xml:space="preserve">S-0025-03</t>
  </si>
  <si>
    <t xml:space="preserve">Pods</t>
  </si>
  <si>
    <t xml:space="preserve">v4.5 6.3. v4.5 cites: Offsite Solutions Q2 2026 (not verified)</t>
  </si>
  <si>
    <t xml:space="preserve">S-0026-01</t>
  </si>
  <si>
    <t xml:space="preserve">S-0026</t>
  </si>
  <si>
    <t xml:space="preserve">Showers</t>
  </si>
  <si>
    <t xml:space="preserve">Showers and changing (non-residential)</t>
  </si>
  <si>
    <t xml:space="preserve">AI estimate per shower: tray, screen, valve and fittings. Not in v4.5</t>
  </si>
  <si>
    <t xml:space="preserve">4.41</t>
  </si>
  <si>
    <t xml:space="preserve">S-0027-01</t>
  </si>
  <si>
    <t xml:space="preserve">S-0027</t>
  </si>
  <si>
    <t xml:space="preserve">Kitchens</t>
  </si>
  <si>
    <t xml:space="preserve">Domestic kitchens or staff tea points</t>
  </si>
  <si>
    <t xml:space="preserve">Type: Domestic kitchen</t>
  </si>
  <si>
    <t xml:space="preserve">ROUND(IF(USE=RES, GIFA / r.m2_per_dwelling, IF(USE=STU, GIFA / r.m2_per_bed / r.beds_per_kitchen, STOREYS * r.tea_points_per_floor)), 0)</t>
  </si>
  <si>
    <t xml:space="preserve">v4.5 4.3. No source recorded in v4.5</t>
  </si>
  <si>
    <t xml:space="preserve">4.2</t>
  </si>
  <si>
    <t xml:space="preserve">4.3, 4.3-NR, 4.3-RES, 4.42</t>
  </si>
  <si>
    <t xml:space="preserve">S-0027-02</t>
  </si>
  <si>
    <t xml:space="preserve">Type: Tea point</t>
  </si>
  <si>
    <t xml:space="preserve">AI estimate for a staff kitchenette. v4.5 4.3 combined domestic kitchen and break-out</t>
  </si>
  <si>
    <t xml:space="preserve">S-0028-01</t>
  </si>
  <si>
    <t xml:space="preserve">S-0028</t>
  </si>
  <si>
    <t xml:space="preserve">Fittings and furniture</t>
  </si>
  <si>
    <t xml:space="preserve">Fixed joinery</t>
  </si>
  <si>
    <t xml:space="preserve">Reception desks, built-in storage and fitted furniture</t>
  </si>
  <si>
    <t xml:space="preserve">v4.5 4.1. No source recorded in v4.5</t>
  </si>
  <si>
    <t xml:space="preserve">4.1</t>
  </si>
  <si>
    <t xml:space="preserve">S-0029-01</t>
  </si>
  <si>
    <t xml:space="preserve">S-0029</t>
  </si>
  <si>
    <t xml:space="preserve">Signage</t>
  </si>
  <si>
    <t xml:space="preserve">Wayfinding and statutory signs</t>
  </si>
  <si>
    <t xml:space="preserve">v4.5 4.5. No source recorded in v4.5</t>
  </si>
  <si>
    <t xml:space="preserve">4.4</t>
  </si>
  <si>
    <t xml:space="preserve">4.5</t>
  </si>
  <si>
    <t xml:space="preserve">S-0030-01</t>
  </si>
  <si>
    <t xml:space="preserve">S-0030</t>
  </si>
  <si>
    <t xml:space="preserve">AV equipment</t>
  </si>
  <si>
    <t xml:space="preserve">Screens, projectors and audio in meeting and teaching rooms</t>
  </si>
  <si>
    <t xml:space="preserve">v4.5 4.22 £/room (v4.5 cites Kinly 2025, not verified) ÷ 200 m² GIFA per AV room (assumption)</t>
  </si>
  <si>
    <t xml:space="preserve">OFF EDU HEA HOS</t>
  </si>
  <si>
    <t xml:space="preserve">5.12</t>
  </si>
  <si>
    <t xml:space="preserve">4.22</t>
  </si>
  <si>
    <t xml:space="preserve">S-0031-01</t>
  </si>
  <si>
    <t xml:space="preserve">S-0031</t>
  </si>
  <si>
    <t xml:space="preserve">Loose furniture</t>
  </si>
  <si>
    <t xml:space="preserve">Desks, chairs, beds and white goods</t>
  </si>
  <si>
    <t xml:space="preserve">v4.5 4.7 £/workstation (cites BCO Fit-Out Guide 2024, not verified) ÷ 10 m² per workstation (assumption)</t>
  </si>
  <si>
    <t xml:space="preserve">4.6, 4.7, 4.8, 4.9, 4.33</t>
  </si>
  <si>
    <t xml:space="preserve">In the construction total (decision 23 Sept 2026)</t>
  </si>
  <si>
    <t xml:space="preserve">S-0031-02</t>
  </si>
  <si>
    <t xml:space="preserve">RES</t>
  </si>
  <si>
    <t xml:space="preserve">v4.5 4.6 furniture + 4.9 white goods per flat (cite BCIS Q1 2026, not verified) ÷ 70 m² per flat (assumption)</t>
  </si>
  <si>
    <t xml:space="preserve">S-0031-03</t>
  </si>
  <si>
    <t xml:space="preserve">STU</t>
  </si>
  <si>
    <t xml:space="preserve">v4.5 4.6 per room (cites BCIS Q1 2026, not verified) ÷ 25 m² GIFA per student bed (assumption)</t>
  </si>
  <si>
    <t xml:space="preserve">S-0031-04</t>
  </si>
  <si>
    <t xml:space="preserve">v4.5 4.8 per hotel room (cites C&amp;W 2025, not verified) ÷ 40 m² GIFA per key (assumption)</t>
  </si>
  <si>
    <t xml:space="preserve">S-0032-01</t>
  </si>
  <si>
    <t xml:space="preserve">S-0032</t>
  </si>
  <si>
    <t xml:space="preserve">Specialist equipment</t>
  </si>
  <si>
    <t xml:space="preserve">Catering kitchen</t>
  </si>
  <si>
    <t xml:space="preserve">Commercial kitchen equipment, bar and servery counters, extract canopy and grease trap</t>
  </si>
  <si>
    <t xml:space="preserve">m² kitchen and servery</t>
  </si>
  <si>
    <t xml:space="preserve">GIFA * r.pct_catering</t>
  </si>
  <si>
    <t xml:space="preserve">v4.5 4.10 equipment + 4.11 canopy (per kitchen) ÷ 60 m² typical kitchen (assumption), plus 5.23 grease/drainage per m². Sources cited in v4.5: CEDA 2024, BESA Q2 2026, ACO 2025 (not verified)</t>
  </si>
  <si>
    <t xml:space="preserve">STU OFF EDU HEA RET IND HOS</t>
  </si>
  <si>
    <t xml:space="preserve">ASSUME: extract canopy and grease trap included</t>
  </si>
  <si>
    <t xml:space="preserve">5.2</t>
  </si>
  <si>
    <t xml:space="preserve">4.10, 4.11, 4.12, 4.16, 4.34</t>
  </si>
  <si>
    <t xml:space="preserve">S-0033-01</t>
  </si>
  <si>
    <t xml:space="preserve">S-0033</t>
  </si>
  <si>
    <t xml:space="preserve">Laboratory</t>
  </si>
  <si>
    <t xml:space="preserve">Lab benching and fume cupboards</t>
  </si>
  <si>
    <t xml:space="preserve">m² lab</t>
  </si>
  <si>
    <t xml:space="preserve">GIFA * r.pct_lab</t>
  </si>
  <si>
    <t xml:space="preserve">v4.5 4.20 benching per m² + 4.21 fume cupboards ÷ 50 m² lab per cupboard (assumption). v4.5 cites Lab-Interiors / Waldner-Esco Q2 2026 (not verified)</t>
  </si>
  <si>
    <t xml:space="preserve">EDU HEA IND</t>
  </si>
  <si>
    <t xml:space="preserve">SUGGEST: S-0059 Fume extraction</t>
  </si>
  <si>
    <t xml:space="preserve">4.3</t>
  </si>
  <si>
    <t xml:space="preserve">4.20, 4.21, 4.36</t>
  </si>
  <si>
    <t xml:space="preserve">Fume extraction ductwork and fans are in Fume extraction</t>
  </si>
  <si>
    <t xml:space="preserve">S-0034-01</t>
  </si>
  <si>
    <t xml:space="preserve">S-0034</t>
  </si>
  <si>
    <t xml:space="preserve">Clinical</t>
  </si>
  <si>
    <t xml:space="preserve">Clinical fittings and equipment</t>
  </si>
  <si>
    <t xml:space="preserve">m² clinical</t>
  </si>
  <si>
    <t xml:space="preserve">GIFA * r.pct_clinical</t>
  </si>
  <si>
    <t xml:space="preserve">v4.5 4.19. v4.5 cites: NHS P21+ 2024 (not verified)</t>
  </si>
  <si>
    <t xml:space="preserve">SUGGEST: S-0061 Medical gases</t>
  </si>
  <si>
    <t xml:space="preserve">4.19, 4.37</t>
  </si>
  <si>
    <t xml:space="preserve">Medical gas pipework is in Medical gases</t>
  </si>
  <si>
    <t xml:space="preserve">S-0035-01</t>
  </si>
  <si>
    <t xml:space="preserve">S-0035</t>
  </si>
  <si>
    <t xml:space="preserve">Retail</t>
  </si>
  <si>
    <t xml:space="preserve">Display units, counters and fitting rooms</t>
  </si>
  <si>
    <t xml:space="preserve">m² sales area</t>
  </si>
  <si>
    <t xml:space="preserve">IF(USE=RET, GIFA, ENTER)</t>
  </si>
  <si>
    <t xml:space="preserve">v4.5 4.24 display per m² + 4.25 tills (1 per 100 m²) + 4.27 EAS (1 per 300 m²), assumptions. Fitting rooms: use Other / specialist</t>
  </si>
  <si>
    <t xml:space="preserve">RET</t>
  </si>
  <si>
    <t xml:space="preserve">4.24, 4.25, 4.27, 4.35</t>
  </si>
  <si>
    <t xml:space="preserve">S-0036-01</t>
  </si>
  <si>
    <t xml:space="preserve">S-0036</t>
  </si>
  <si>
    <t xml:space="preserve">Warehouse</t>
  </si>
  <si>
    <t xml:space="preserve">Racking, dock levellers and loading doors. Cranes: use Other / specialist scope</t>
  </si>
  <si>
    <t xml:space="preserve">IF(USE=IND, GIFA, ENTER)</t>
  </si>
  <si>
    <t xml:space="preserve">v4.5 4.13 racking ÷ 2,000 m² + 4.14 dock leveller and 4.15 door per 1,000 m² (assumptions). v4.5 cites SEMA, Thorworld, Hormann (not verified)</t>
  </si>
  <si>
    <t xml:space="preserve">IND</t>
  </si>
  <si>
    <t xml:space="preserve">4.13, 4.14, 4.15, 4.38</t>
  </si>
  <si>
    <t xml:space="preserve">S-0037-01</t>
  </si>
  <si>
    <t xml:space="preserve">S-0037</t>
  </si>
  <si>
    <t xml:space="preserve">Sports</t>
  </si>
  <si>
    <t xml:space="preserve">Gym equipment and changing lockers. Spectator seating: use Other / specialist scope</t>
  </si>
  <si>
    <t xml:space="preserve">m² sports area</t>
  </si>
  <si>
    <t xml:space="preserve">v4.5 4.28 gym equipment per m² + 20% of area as changing at 4.30 rate (assumption)</t>
  </si>
  <si>
    <t xml:space="preserve">EDU HOS</t>
  </si>
  <si>
    <t xml:space="preserve">4.28, 4.30, 4.39</t>
  </si>
  <si>
    <t xml:space="preserve">S-0038-01</t>
  </si>
  <si>
    <t xml:space="preserve">S-0038</t>
  </si>
  <si>
    <t xml:space="preserve">Cleanroom</t>
  </si>
  <si>
    <t xml:space="preserve">Cleanroom enclosure and fit-out</t>
  </si>
  <si>
    <t xml:space="preserve">m² cleanroom</t>
  </si>
  <si>
    <t xml:space="preserve">v4.5 6.4. v4.5 cites: ISO 14644, M+W 2025 (not verified)</t>
  </si>
  <si>
    <t xml:space="preserve">5.13</t>
  </si>
  <si>
    <t xml:space="preserve">4.44, 6.4</t>
  </si>
  <si>
    <t xml:space="preserve">S-0039-01</t>
  </si>
  <si>
    <t xml:space="preserve">S-0039</t>
  </si>
  <si>
    <t xml:space="preserve">5 Services</t>
  </si>
  <si>
    <t xml:space="preserve">Mechanical</t>
  </si>
  <si>
    <t xml:space="preserve">Heating and hot water</t>
  </si>
  <si>
    <t xml:space="preserve">Heat source, pipework, radiators or underfloor heating, and hot water</t>
  </si>
  <si>
    <t xml:space="preserve">System: Gas boiler · Scope: Full system</t>
  </si>
  <si>
    <t xml:space="preserve">v4.5 5.2 heating + 5.5 gas installation (no source recorded in v4.5)</t>
  </si>
  <si>
    <t xml:space="preserve">5.5</t>
  </si>
  <si>
    <t xml:space="preserve">5.6</t>
  </si>
  <si>
    <t xml:space="preserve">5.2, 5.2L, 5.5</t>
  </si>
  <si>
    <t xml:space="preserve">S-0039-02</t>
  </si>
  <si>
    <t xml:space="preserve">System: Air source heat pump · Scope: Full system</t>
  </si>
  <si>
    <t xml:space="preserve">Gas boiler full system × 1.3 (AI factor for air source heat pump)</t>
  </si>
  <si>
    <t xml:space="preserve">RISK: electrical capacity and DNO check · RATE: Electricity supply upgrade one band up · ASSUME: external plant space included</t>
  </si>
  <si>
    <t xml:space="preserve">S-0039-03</t>
  </si>
  <si>
    <t xml:space="preserve">System: Ground source heat pump · Scope: Full system</t>
  </si>
  <si>
    <t xml:space="preserve">Gas boiler full system × 1.8 (AI factor for ground source heat pump)</t>
  </si>
  <si>
    <t xml:space="preserve">S-0039-04</t>
  </si>
  <si>
    <t xml:space="preserve">System: District heating · Scope: Full system</t>
  </si>
  <si>
    <t xml:space="preserve">Gas boiler full system × 0.9 (AI factor for district heating)</t>
  </si>
  <si>
    <t xml:space="preserve">S-0039-05</t>
  </si>
  <si>
    <t xml:space="preserve">System: Electric · Scope: Full system</t>
  </si>
  <si>
    <t xml:space="preserve">Gas boiler full system × 0.6 (AI factor for electric)</t>
  </si>
  <si>
    <t xml:space="preserve">S-0039-06</t>
  </si>
  <si>
    <t xml:space="preserve">System: Gas boiler · Scope: Plant only</t>
  </si>
  <si>
    <t xml:space="preserve">Full system × 0.35 (AI share for plant). Replaces v4.5 5.2L (£ per item, domestic scale)</t>
  </si>
  <si>
    <t xml:space="preserve">S-0039-07</t>
  </si>
  <si>
    <t xml:space="preserve">System: Gas boiler · Scope: Radiators and controls only</t>
  </si>
  <si>
    <t xml:space="preserve">Full system × 0.30 (AI share for emitters, TRVs and controls)</t>
  </si>
  <si>
    <t xml:space="preserve">S-0039-08</t>
  </si>
  <si>
    <t xml:space="preserve">System: Air source heat pump · Scope: Plant only</t>
  </si>
  <si>
    <t xml:space="preserve">Full system × 0.45 (AI share for plant). Replaces v4.5 5.2L (£ per item, domestic scale)</t>
  </si>
  <si>
    <t xml:space="preserve">RISK: electrical capacity and DNO check · RATE: Electricity supply upgrade one band up · ASSUME: external plant space included · RISK: existing radiators may need upsizing</t>
  </si>
  <si>
    <t xml:space="preserve">S-0039-09</t>
  </si>
  <si>
    <t xml:space="preserve">System: Air source heat pump · Scope: Radiators and controls only</t>
  </si>
  <si>
    <t xml:space="preserve">S-0039-10</t>
  </si>
  <si>
    <t xml:space="preserve">System: Ground source heat pump · Scope: Plant only</t>
  </si>
  <si>
    <t xml:space="preserve">S-0039-11</t>
  </si>
  <si>
    <t xml:space="preserve">System: Ground source heat pump · Scope: Radiators and controls only</t>
  </si>
  <si>
    <t xml:space="preserve">S-0039-12</t>
  </si>
  <si>
    <t xml:space="preserve">System: District heating · Scope: Plant only</t>
  </si>
  <si>
    <t xml:space="preserve">Full system × 0.3 (AI share for plant). Replaces v4.5 5.2L (£ per item, domestic scale)</t>
  </si>
  <si>
    <t xml:space="preserve">S-0039-13</t>
  </si>
  <si>
    <t xml:space="preserve">System: District heating · Scope: Radiators and controls only</t>
  </si>
  <si>
    <t xml:space="preserve">S-0039-14</t>
  </si>
  <si>
    <t xml:space="preserve">System: Electric · Scope: Plant only</t>
  </si>
  <si>
    <t xml:space="preserve">Full system × 0.5 (AI share for plant). Replaces v4.5 5.2L (£ per item, domestic scale)</t>
  </si>
  <si>
    <t xml:space="preserve">S-0039-15</t>
  </si>
  <si>
    <t xml:space="preserve">System: Electric · Scope: Radiators and controls only</t>
  </si>
  <si>
    <t xml:space="preserve">S-0040-01</t>
  </si>
  <si>
    <t xml:space="preserve">S-0040</t>
  </si>
  <si>
    <t xml:space="preserve">Water and drainage</t>
  </si>
  <si>
    <t xml:space="preserve">Hot and cold water pipework and above-ground drainage</t>
  </si>
  <si>
    <t xml:space="preserve">Scope: Full installation</t>
  </si>
  <si>
    <t xml:space="preserve">v4.5 5.1. No source recorded in v4.5</t>
  </si>
  <si>
    <t xml:space="preserve">5.3</t>
  </si>
  <si>
    <t xml:space="preserve">5.4</t>
  </si>
  <si>
    <t xml:space="preserve">S-0040-02</t>
  </si>
  <si>
    <t xml:space="preserve">Scope: Visible fittings only</t>
  </si>
  <si>
    <t xml:space="preserve">Full installation × 0.30 (AI share for taps and visible fittings)</t>
  </si>
  <si>
    <t xml:space="preserve">S-0041-01</t>
  </si>
  <si>
    <t xml:space="preserve">S-0041</t>
  </si>
  <si>
    <t xml:space="preserve">Ventilation</t>
  </si>
  <si>
    <t xml:space="preserve">Extract and mechanical ventilation</t>
  </si>
  <si>
    <t xml:space="preserve">v4.5 5.3. No source recorded in v4.5</t>
  </si>
  <si>
    <t xml:space="preserve">5.7</t>
  </si>
  <si>
    <t xml:space="preserve">S-0042-01</t>
  </si>
  <si>
    <t xml:space="preserve">S-0042</t>
  </si>
  <si>
    <t xml:space="preserve">Cooling</t>
  </si>
  <si>
    <t xml:space="preserve">Air conditioning and comfort cooling</t>
  </si>
  <si>
    <t xml:space="preserve">v4.5 5.4. No source recorded in v4.5</t>
  </si>
  <si>
    <t xml:space="preserve">S-0043-01</t>
  </si>
  <si>
    <t xml:space="preserve">S-0043</t>
  </si>
  <si>
    <t xml:space="preserve">Controls and BMS</t>
  </si>
  <si>
    <t xml:space="preserve">Building management system and controls</t>
  </si>
  <si>
    <t xml:space="preserve">v4.5 5.14. No source recorded in v4.5</t>
  </si>
  <si>
    <t xml:space="preserve">5.14</t>
  </si>
  <si>
    <t xml:space="preserve">S-0044-01</t>
  </si>
  <si>
    <t xml:space="preserve">S-0044</t>
  </si>
  <si>
    <t xml:space="preserve">Electrical</t>
  </si>
  <si>
    <t xml:space="preserve">Electricity supply upgrade</t>
  </si>
  <si>
    <t xml:space="preserve">New or upgraded supply from the DNO, incl. substation</t>
  </si>
  <si>
    <t xml:space="preserve">v4.5 5.13 Basic lump sum reused as the Small band. v4.5 cites Ofgem/National Grid 2023-26 (not verified)</t>
  </si>
  <si>
    <t xml:space="preserve">NB EX RF FO EW OM</t>
  </si>
  <si>
    <t xml:space="preserve">8.7</t>
  </si>
  <si>
    <t xml:space="preserve">S-0044-02</t>
  </si>
  <si>
    <t xml:space="preserve">v4.5 5.13 Std lump sum reused as the Medium band. v4.5 cites Ofgem/National Grid 2023-26 (not verified)</t>
  </si>
  <si>
    <t xml:space="preserve">S-0044-03</t>
  </si>
  <si>
    <t xml:space="preserve">v4.5 5.13 High lump sum reused as the Large band. v4.5 cites Ofgem/National Grid 2023-26 (not verified)</t>
  </si>
  <si>
    <t xml:space="preserve">S-0045-01</t>
  </si>
  <si>
    <t xml:space="preserve">S-0045</t>
  </si>
  <si>
    <t xml:space="preserve">Power</t>
  </si>
  <si>
    <t xml:space="preserve">Switchgear, distribution boards, all wiring (power and lighting circuits) and sockets</t>
  </si>
  <si>
    <t xml:space="preserve">v4.5 5.7 switchgear + 5.7a sub-distribution + 5.8 wiring. 5.7a cites C&amp;W 2025 / BCIS Q1 2026 (not verified)</t>
  </si>
  <si>
    <t xml:space="preserve">5.8</t>
  </si>
  <si>
    <t xml:space="preserve">5.7, 5.7a, 5.8, 5.8a, 5.8b</t>
  </si>
  <si>
    <t xml:space="preserve">S-0045-02</t>
  </si>
  <si>
    <t xml:space="preserve">RES STU</t>
  </si>
  <si>
    <t xml:space="preserve">v4.5 5.7 switchgear + 5.8 wiring (no sub-distribution row for residential in v4.5)</t>
  </si>
  <si>
    <t xml:space="preserve">S-0045-03</t>
  </si>
  <si>
    <t xml:space="preserve">Scope: Second fix only</t>
  </si>
  <si>
    <t xml:space="preserve">v4.5 5.8b. v4.5 cites: C&amp;W 2025, RateQS Nov 2025 (not verified)</t>
  </si>
  <si>
    <t xml:space="preserve">S-0046-01</t>
  </si>
  <si>
    <t xml:space="preserve">S-0046</t>
  </si>
  <si>
    <t xml:space="preserve">Lighting</t>
  </si>
  <si>
    <t xml:space="preserve">Light fittings, controls and external lights on the building (wiring is in Power)</t>
  </si>
  <si>
    <t xml:space="preserve">v4.5 5.8c luminaires and controls (cites C&amp;W Fit-Out Guide 2025, not verified) + 5.10 external lighting on the building</t>
  </si>
  <si>
    <t xml:space="preserve">5.8c, 5.10</t>
  </si>
  <si>
    <t xml:space="preserve">S-0046-02</t>
  </si>
  <si>
    <t xml:space="preserve">Scope: Replace fittings only</t>
  </si>
  <si>
    <t xml:space="preserve">Full installation × 0.75 (AI: like-for-like luminaires, no new controls or layout)</t>
  </si>
  <si>
    <t xml:space="preserve">S-0047-01</t>
  </si>
  <si>
    <t xml:space="preserve">S-0047</t>
  </si>
  <si>
    <t xml:space="preserve">Emergency lighting</t>
  </si>
  <si>
    <t xml:space="preserve">Emergency and exit lighting</t>
  </si>
  <si>
    <t xml:space="preserve">v4.5 5.9b. v4.5 cites: BCIS Q1 2026 (not verified)</t>
  </si>
  <si>
    <t xml:space="preserve">5.9b</t>
  </si>
  <si>
    <t xml:space="preserve">S-0048-01</t>
  </si>
  <si>
    <t xml:space="preserve">S-0048</t>
  </si>
  <si>
    <t xml:space="preserve">Standby power</t>
  </si>
  <si>
    <t xml:space="preserve">Generator or UPS</t>
  </si>
  <si>
    <t xml:space="preserve">Type: Generator · Size: Small</t>
  </si>
  <si>
    <t xml:space="preserve">AI estimate (up to 50 kVA)</t>
  </si>
  <si>
    <t xml:space="preserve">PT=NB &amp; USE=HEA → tick</t>
  </si>
  <si>
    <t xml:space="preserve">5.25, 5.26</t>
  </si>
  <si>
    <t xml:space="preserve">S-0048-02</t>
  </si>
  <si>
    <t xml:space="preserve">Type: UPS · Size: Small</t>
  </si>
  <si>
    <t xml:space="preserve">v4.5 5.26 Std (10–20 kVA), cites Eaton 2025 (not verified)</t>
  </si>
  <si>
    <t xml:space="preserve">S-0048-03</t>
  </si>
  <si>
    <t xml:space="preserve">Type: Generator · Size: Medium</t>
  </si>
  <si>
    <t xml:space="preserve">v4.5 5.25 Std (50–100 kVA), cites FG Wilson 2025 (not verified)</t>
  </si>
  <si>
    <t xml:space="preserve">S-0048-04</t>
  </si>
  <si>
    <t xml:space="preserve">Type: UPS · Size: Medium</t>
  </si>
  <si>
    <t xml:space="preserve">AI estimate between v4.5 Std and High</t>
  </si>
  <si>
    <t xml:space="preserve">S-0048-05</t>
  </si>
  <si>
    <t xml:space="preserve">Type: Generator · Size: Large</t>
  </si>
  <si>
    <t xml:space="preserve">v4.5 5.25 High (200–400 kVA), cites FG Wilson 2025 (not verified)</t>
  </si>
  <si>
    <t xml:space="preserve">S-0048-06</t>
  </si>
  <si>
    <t xml:space="preserve">Type: UPS · Size: Large</t>
  </si>
  <si>
    <t xml:space="preserve">v4.5 5.26 High (50–100 kVA), cites Eaton 2025 (not verified)</t>
  </si>
  <si>
    <t xml:space="preserve">S-0049-01</t>
  </si>
  <si>
    <t xml:space="preserve">S-0049</t>
  </si>
  <si>
    <t xml:space="preserve">Fire safety</t>
  </si>
  <si>
    <t xml:space="preserve">Fire alarm</t>
  </si>
  <si>
    <t xml:space="preserve">Detection and alarm system</t>
  </si>
  <si>
    <t xml:space="preserve">v4.5 5.9a. v4.5 cites: BCIS Q1 2026, C&amp;W 2025 (not verified)</t>
  </si>
  <si>
    <t xml:space="preserve">5.9a</t>
  </si>
  <si>
    <t xml:space="preserve">S-0050-01</t>
  </si>
  <si>
    <t xml:space="preserve">S-0050</t>
  </si>
  <si>
    <t xml:space="preserve">Sprinklers</t>
  </si>
  <si>
    <t xml:space="preserve">Sprinklers and dry or wet risers</t>
  </si>
  <si>
    <t xml:space="preserve">v4.5 5.6. Refurbishment Basic was 0 in v4.5; set to the Std value so sprinklers are never free</t>
  </si>
  <si>
    <t xml:space="preserve">PT=NB &amp; USE=RES STU &amp; STOREYS&gt;=4 → tick</t>
  </si>
  <si>
    <t xml:space="preserve">5.11</t>
  </si>
  <si>
    <t xml:space="preserve">S-0051-01</t>
  </si>
  <si>
    <t xml:space="preserve">S-0051</t>
  </si>
  <si>
    <t xml:space="preserve">Smoke ventilation</t>
  </si>
  <si>
    <t xml:space="preserve">AOVs and smoke shafts to stairs and corridors</t>
  </si>
  <si>
    <t xml:space="preserve">nr floors</t>
  </si>
  <si>
    <t xml:space="preserve">STOREYS</t>
  </si>
  <si>
    <t xml:space="preserve">AI estimate per floor served: AOV, controls and interface. Not in v4.5</t>
  </si>
  <si>
    <t xml:space="preserve">RES STU HEA HOS</t>
  </si>
  <si>
    <t xml:space="preserve">PT=NB &amp; STOREYS&gt;=2 → tick</t>
  </si>
  <si>
    <t xml:space="preserve">5.31</t>
  </si>
  <si>
    <t xml:space="preserve">S-0052-01</t>
  </si>
  <si>
    <t xml:space="preserve">S-0052</t>
  </si>
  <si>
    <t xml:space="preserve">Data and security</t>
  </si>
  <si>
    <t xml:space="preserve">Data and IT</t>
  </si>
  <si>
    <t xml:space="preserve">Structured cabling, Wi-Fi and comms rooms</t>
  </si>
  <si>
    <t xml:space="preserve">v4.5 5.16. No source recorded in v4.5</t>
  </si>
  <si>
    <t xml:space="preserve">NB</t>
  </si>
  <si>
    <t xml:space="preserve">5.16</t>
  </si>
  <si>
    <t xml:space="preserve">S-0053-01</t>
  </si>
  <si>
    <t xml:space="preserve">S-0053</t>
  </si>
  <si>
    <t xml:space="preserve">Security</t>
  </si>
  <si>
    <t xml:space="preserve">Access control, CCTV and door entry</t>
  </si>
  <si>
    <t xml:space="preserve">v4.5 5.18. No source recorded in v4.5</t>
  </si>
  <si>
    <t xml:space="preserve">5.18</t>
  </si>
  <si>
    <t xml:space="preserve">S-0054-01</t>
  </si>
  <si>
    <t xml:space="preserve">S-0054</t>
  </si>
  <si>
    <t xml:space="preserve">Lifts</t>
  </si>
  <si>
    <t xml:space="preserve">Lift installation</t>
  </si>
  <si>
    <t xml:space="preserve">Type: Passenger</t>
  </si>
  <si>
    <t xml:space="preserve">IF(STOREYS&gt;=2, 1, 0)</t>
  </si>
  <si>
    <t xml:space="preserve">v4.5 5.19. No source recorded in v4.5</t>
  </si>
  <si>
    <t xml:space="preserve">5.10</t>
  </si>
  <si>
    <t xml:space="preserve">5.19</t>
  </si>
  <si>
    <t xml:space="preserve">S-0054-02</t>
  </si>
  <si>
    <t xml:space="preserve">Type: Platform</t>
  </si>
  <si>
    <t xml:space="preserve">AI estimate per platform lift. v4.5 5.19 combined lifts and platform lifts</t>
  </si>
  <si>
    <t xml:space="preserve">S-0054-03</t>
  </si>
  <si>
    <t xml:space="preserve">Type: Goods or bed</t>
  </si>
  <si>
    <t xml:space="preserve">AI estimate per goods or bed lift</t>
  </si>
  <si>
    <t xml:space="preserve">S-0055-01</t>
  </si>
  <si>
    <t xml:space="preserve">S-0055</t>
  </si>
  <si>
    <t xml:space="preserve">Renewables and EV</t>
  </si>
  <si>
    <t xml:space="preserve">Solar PV</t>
  </si>
  <si>
    <t xml:space="preserve">Panels, inverters and connection (roof, canopy or ground)</t>
  </si>
  <si>
    <t xml:space="preserve">kWp</t>
  </si>
  <si>
    <t xml:space="preserve">per_kwp</t>
  </si>
  <si>
    <t xml:space="preserve">FOOTPRINT * r.kwp_per_m2_roof</t>
  </si>
  <si>
    <t xml:space="preserve">v4.5 5.11. No source recorded in v4.5</t>
  </si>
  <si>
    <t xml:space="preserve">RISK: roof condition and structure to confirm; DNO G99 application</t>
  </si>
  <si>
    <t xml:space="preserve">S-0056-01</t>
  </si>
  <si>
    <t xml:space="preserve">S-0056</t>
  </si>
  <si>
    <t xml:space="preserve">Battery storage</t>
  </si>
  <si>
    <t xml:space="preserve">Battery and inverter</t>
  </si>
  <si>
    <t xml:space="preserve">kWh</t>
  </si>
  <si>
    <t xml:space="preserve">per_kwh</t>
  </si>
  <si>
    <t xml:space="preserve">v4.5 5.12. No source recorded in v4.5</t>
  </si>
  <si>
    <t xml:space="preserve">S-0057-01</t>
  </si>
  <si>
    <t xml:space="preserve">S-0057</t>
  </si>
  <si>
    <t xml:space="preserve">EV charging</t>
  </si>
  <si>
    <t xml:space="preserve">Charge points and cabling</t>
  </si>
  <si>
    <t xml:space="preserve">nr chargers</t>
  </si>
  <si>
    <t xml:space="preserve">IF(USE=RES, ROUND(GIFA / r.m2_per_dwelling, 0), MAX(1, ROUND(Q(S-0074) / 5, 0)))</t>
  </si>
  <si>
    <t xml:space="preserve">v4.5 5.15. Refurbishment Basic was 0 in v4.5; set to the Std value</t>
  </si>
  <si>
    <t xml:space="preserve">RISK: DNO capacity check · RATE: Electricity supply upgrade one band up</t>
  </si>
  <si>
    <t xml:space="preserve">5.15</t>
  </si>
  <si>
    <t xml:space="preserve">S-0058-01</t>
  </si>
  <si>
    <t xml:space="preserve">S-0058</t>
  </si>
  <si>
    <t xml:space="preserve">Specialist services</t>
  </si>
  <si>
    <t xml:space="preserve">Compressed air</t>
  </si>
  <si>
    <t xml:space="preserve">Compressed air plant and pipework</t>
  </si>
  <si>
    <t xml:space="preserve">AI estimate below v4.5 5.21 Std</t>
  </si>
  <si>
    <t xml:space="preserve">EDU IND</t>
  </si>
  <si>
    <t xml:space="preserve">5.21</t>
  </si>
  <si>
    <t xml:space="preserve">S-0058-02</t>
  </si>
  <si>
    <t xml:space="preserve">v4.5 5.21 Std. v4.5 cites Atlas Copco Q2 2026 (not verified)</t>
  </si>
  <si>
    <t xml:space="preserve">S-0058-03</t>
  </si>
  <si>
    <t xml:space="preserve">v4.5 5.21 High. v4.5 cites Atlas Copco Q2 2026 (not verified)</t>
  </si>
  <si>
    <t xml:space="preserve">S-0059-01</t>
  </si>
  <si>
    <t xml:space="preserve">S-0059</t>
  </si>
  <si>
    <t xml:space="preserve">Fume extraction</t>
  </si>
  <si>
    <t xml:space="preserve">Extract ductwork and fans for fume cupboards and processes</t>
  </si>
  <si>
    <t xml:space="preserve">AI estimate below v4.5 5.24 Std</t>
  </si>
  <si>
    <t xml:space="preserve">5.24</t>
  </si>
  <si>
    <t xml:space="preserve">S-0059-02</t>
  </si>
  <si>
    <t xml:space="preserve">v4.5 5.24 Std. v4.5 cites Airmaster Q2 2026 (not verified)</t>
  </si>
  <si>
    <t xml:space="preserve">S-0059-03</t>
  </si>
  <si>
    <t xml:space="preserve">v4.5 5.24 High. v4.5 cites Airmaster Q2 2026 (not verified)</t>
  </si>
  <si>
    <t xml:space="preserve">S-0060-01</t>
  </si>
  <si>
    <t xml:space="preserve">S-0060</t>
  </si>
  <si>
    <t xml:space="preserve">Process drainage</t>
  </si>
  <si>
    <t xml:space="preserve">Trade and process drainage</t>
  </si>
  <si>
    <t xml:space="preserve">m² process area</t>
  </si>
  <si>
    <t xml:space="preserve">v4.5 5.23. v4.5 cites: ACO 2025 (not verified)</t>
  </si>
  <si>
    <t xml:space="preserve">5.23</t>
  </si>
  <si>
    <t xml:space="preserve">S-0061-01</t>
  </si>
  <si>
    <t xml:space="preserve">S-0061</t>
  </si>
  <si>
    <t xml:space="preserve">Medical gases</t>
  </si>
  <si>
    <t xml:space="preserve">Medical gas pipework and outlets</t>
  </si>
  <si>
    <t xml:space="preserve">nr outlets</t>
  </si>
  <si>
    <t xml:space="preserve">ROUND(GIFA / r.m2_per_bed * r.gas_outlets_per_bed, 0)</t>
  </si>
  <si>
    <t xml:space="preserve">v4.5 4.18. v4.5 cites: BOC Healthcare 2025 (not verified)</t>
  </si>
  <si>
    <t xml:space="preserve">4.18, 5.33</t>
  </si>
  <si>
    <t xml:space="preserve">S-0062-01</t>
  </si>
  <si>
    <t xml:space="preserve">S-0062</t>
  </si>
  <si>
    <t xml:space="preserve">Nurse call</t>
  </si>
  <si>
    <t xml:space="preserve">Nurse call system</t>
  </si>
  <si>
    <t xml:space="preserve">ROUND(GIFA / r.m2_per_bed, 0)</t>
  </si>
  <si>
    <t xml:space="preserve">v4.5 5.27. v4.5 cites: Aidcall Q2 2026, HTM 08-03 (not verified)</t>
  </si>
  <si>
    <t xml:space="preserve">RES HEA</t>
  </si>
  <si>
    <t xml:space="preserve">5.27</t>
  </si>
  <si>
    <t xml:space="preserve">S-0063-01</t>
  </si>
  <si>
    <t xml:space="preserve">S-0063</t>
  </si>
  <si>
    <t xml:space="preserve">Server room cooling</t>
  </si>
  <si>
    <t xml:space="preserve">Precision cooling for server or comms rooms</t>
  </si>
  <si>
    <t xml:space="preserve">AI estimate below v4.5 5.29 Std</t>
  </si>
  <si>
    <t xml:space="preserve">5.29</t>
  </si>
  <si>
    <t xml:space="preserve">S-0063-02</t>
  </si>
  <si>
    <t xml:space="preserve">v4.5 5.29 Std. v4.5 cites Airedale Q2 2026 (not verified)</t>
  </si>
  <si>
    <t xml:space="preserve">S-0063-03</t>
  </si>
  <si>
    <t xml:space="preserve">v4.5 5.29 High. v4.5 cites Airedale Q2 2026 (not verified)</t>
  </si>
  <si>
    <t xml:space="preserve">S-0064-01</t>
  </si>
  <si>
    <t xml:space="preserve">S-0064</t>
  </si>
  <si>
    <t xml:space="preserve">7 Work to existing buildings</t>
  </si>
  <si>
    <t xml:space="preserve">Repairs</t>
  </si>
  <si>
    <t xml:space="preserve">Repairs to structure and fabric, incl. local underpinning</t>
  </si>
  <si>
    <t xml:space="preserve">Condition: Fair</t>
  </si>
  <si>
    <t xml:space="preserve">v4.5 7.1 structural + 7.2 fabric repairs (no source recorded)</t>
  </si>
  <si>
    <t xml:space="preserve">EX RF OM</t>
  </si>
  <si>
    <t xml:space="preserve">7.6</t>
  </si>
  <si>
    <t xml:space="preserve">7.1, 7.2</t>
  </si>
  <si>
    <t xml:space="preserve">S-0064-02</t>
  </si>
  <si>
    <t xml:space="preserve">Condition: Good</t>
  </si>
  <si>
    <t xml:space="preserve">Fair × 0.5 (AI)</t>
  </si>
  <si>
    <t xml:space="preserve">S-0064-03</t>
  </si>
  <si>
    <t xml:space="preserve">Condition: Poor</t>
  </si>
  <si>
    <t xml:space="preserve">Fair × 2.0 (AI)</t>
  </si>
  <si>
    <t xml:space="preserve">S-0065-01</t>
  </si>
  <si>
    <t xml:space="preserve">S-0065</t>
  </si>
  <si>
    <t xml:space="preserve">Alterations</t>
  </si>
  <si>
    <t xml:space="preserve">New openings, removing walls, partial demolition</t>
  </si>
  <si>
    <t xml:space="preserve">AI estimate informed by v4.5 0.2 (which combined demolition and structural alterations)</t>
  </si>
  <si>
    <t xml:space="preserve">7.1</t>
  </si>
  <si>
    <t xml:space="preserve">0.2, 7.6</t>
  </si>
  <si>
    <t xml:space="preserve">S-0066-01</t>
  </si>
  <si>
    <t xml:space="preserve">S-0066</t>
  </si>
  <si>
    <t xml:space="preserve">Damp treatment</t>
  </si>
  <si>
    <t xml:space="preserve">Damp-proof course and treatment</t>
  </si>
  <si>
    <t xml:space="preserve">m² footprint</t>
  </si>
  <si>
    <t xml:space="preserve">v4.5 7.3 was per m² GIFA; × 2.5 to convert to per m² footprint (assumes 2.5 storeys)</t>
  </si>
  <si>
    <t xml:space="preserve">7.3</t>
  </si>
  <si>
    <t xml:space="preserve">S-0067-01</t>
  </si>
  <si>
    <t xml:space="preserve">S-0067</t>
  </si>
  <si>
    <t xml:space="preserve">8 External works</t>
  </si>
  <si>
    <t xml:space="preserve">Site, access and drainage</t>
  </si>
  <si>
    <t xml:space="preserve">Site clearance and preparation</t>
  </si>
  <si>
    <t xml:space="preserve">Clearance, topsoil strip and levelling</t>
  </si>
  <si>
    <t xml:space="preserve">m² external</t>
  </si>
  <si>
    <t xml:space="preserve">external_area_rate</t>
  </si>
  <si>
    <t xml:space="preserve">EXT_AREA</t>
  </si>
  <si>
    <t xml:space="preserve">v4.5 8.1 External works column (£10/m²) used as Std; Basic ×0.7 and High ×1.6 (AI spread). v4.5 priced this per m² GIFA on other project types</t>
  </si>
  <si>
    <t xml:space="preserve">NB EX RF EW DM OM</t>
  </si>
  <si>
    <t xml:space="preserve">S-0068-01</t>
  </si>
  <si>
    <t xml:space="preserve">S-0068</t>
  </si>
  <si>
    <t xml:space="preserve">Surface water drainage</t>
  </si>
  <si>
    <t xml:space="preserve">Drainage, SuDS and attenuation</t>
  </si>
  <si>
    <t xml:space="preserve">v4.5 8.4 External works column (£25/m²) used as Std; Basic ×0.7 and High ×1.6 (AI spread). v4.5 priced this per m² GIFA on other project types</t>
  </si>
  <si>
    <t xml:space="preserve">NB EX RF EW OM</t>
  </si>
  <si>
    <t xml:space="preserve">8.6</t>
  </si>
  <si>
    <t xml:space="preserve">8.4</t>
  </si>
  <si>
    <t xml:space="preserve">S-0069-01</t>
  </si>
  <si>
    <t xml:space="preserve">S-0069</t>
  </si>
  <si>
    <t xml:space="preserve">Foul drainage</t>
  </si>
  <si>
    <t xml:space="preserve">Connections to the public sewer</t>
  </si>
  <si>
    <t xml:space="preserve">v4.5 8.5. No source recorded in v4.5</t>
  </si>
  <si>
    <t xml:space="preserve">8.5</t>
  </si>
  <si>
    <t xml:space="preserve">S-0070-01</t>
  </si>
  <si>
    <t xml:space="preserve">S-0070</t>
  </si>
  <si>
    <t xml:space="preserve">External utilities</t>
  </si>
  <si>
    <t xml:space="preserve">Water, gas, power and telecoms connections on site</t>
  </si>
  <si>
    <t xml:space="preserve">v4.5 8.6. No source recorded in v4.5</t>
  </si>
  <si>
    <t xml:space="preserve">S-0071-01</t>
  </si>
  <si>
    <t xml:space="preserve">S-0071</t>
  </si>
  <si>
    <t xml:space="preserve">Highways and site access</t>
  </si>
  <si>
    <t xml:space="preserve">New access and S278 works</t>
  </si>
  <si>
    <t xml:space="preserve">AI estimate. Not in v4.5</t>
  </si>
  <si>
    <t xml:space="preserve">8.2</t>
  </si>
  <si>
    <t xml:space="preserve">8.14</t>
  </si>
  <si>
    <t xml:space="preserve">S-0071-02</t>
  </si>
  <si>
    <t xml:space="preserve">S-0071-03</t>
  </si>
  <si>
    <t xml:space="preserve">S-0072-01</t>
  </si>
  <si>
    <t xml:space="preserve">S-0072</t>
  </si>
  <si>
    <t xml:space="preserve">Retaining walls and earthworks</t>
  </si>
  <si>
    <t xml:space="preserve">For sloping sites</t>
  </si>
  <si>
    <t xml:space="preserve">8.15</t>
  </si>
  <si>
    <t xml:space="preserve">S-0072-02</t>
  </si>
  <si>
    <t xml:space="preserve">S-0072-03</t>
  </si>
  <si>
    <t xml:space="preserve">S-0073-01</t>
  </si>
  <si>
    <t xml:space="preserve">S-0073</t>
  </si>
  <si>
    <t xml:space="preserve">Paving and landscaping</t>
  </si>
  <si>
    <t xml:space="preserve">Roads, paths and paving</t>
  </si>
  <si>
    <t xml:space="preserve">Roads, footpaths and hard landscaping</t>
  </si>
  <si>
    <t xml:space="preserve">m² hard surface</t>
  </si>
  <si>
    <t xml:space="preserve">EXT_AREA * r.pct_hard</t>
  </si>
  <si>
    <t xml:space="preserve">v4.5 8.2 External works column (£50/m²) used as Std; Basic ×0.7 and High ×1.6 (AI spread). v4.5 priced this per m² GIFA on other project types</t>
  </si>
  <si>
    <t xml:space="preserve">S-0074-01</t>
  </si>
  <si>
    <t xml:space="preserve">S-0074</t>
  </si>
  <si>
    <t xml:space="preserve">Car parking</t>
  </si>
  <si>
    <t xml:space="preserve">Surface car parking</t>
  </si>
  <si>
    <t xml:space="preserve">v4.5 8.3. No source recorded in v4.5</t>
  </si>
  <si>
    <t xml:space="preserve">8.3</t>
  </si>
  <si>
    <t xml:space="preserve">S-0075-01</t>
  </si>
  <si>
    <t xml:space="preserve">S-0075</t>
  </si>
  <si>
    <t xml:space="preserve">HGV yard</t>
  </si>
  <si>
    <t xml:space="preserve">Hardstanding and turning area</t>
  </si>
  <si>
    <t xml:space="preserve">v4.5 8.10. v4.5 cites: BCIS highways Q2 2026 (not verified)</t>
  </si>
  <si>
    <t xml:space="preserve">8.10</t>
  </si>
  <si>
    <t xml:space="preserve">S-0076-01</t>
  </si>
  <si>
    <t xml:space="preserve">S-0076</t>
  </si>
  <si>
    <t xml:space="preserve">Soft landscaping</t>
  </si>
  <si>
    <t xml:space="preserve">Planting, grass and trees</t>
  </si>
  <si>
    <t xml:space="preserve">m² soft landscape</t>
  </si>
  <si>
    <t xml:space="preserve">EXT_AREA * r.pct_soft</t>
  </si>
  <si>
    <t xml:space="preserve">v4.5 8.7 External works column (£30/m²) used as Std; Basic ×0.7 and High ×1.6 (AI spread). v4.5 priced this per m² GIFA on other project types</t>
  </si>
  <si>
    <t xml:space="preserve">S-0077-01</t>
  </si>
  <si>
    <t xml:space="preserve">S-0077</t>
  </si>
  <si>
    <t xml:space="preserve">Roof terrace and green roof</t>
  </si>
  <si>
    <t xml:space="preserve">Roof terrace or green roof finish</t>
  </si>
  <si>
    <t xml:space="preserve">m² roof</t>
  </si>
  <si>
    <t xml:space="preserve">v4.5 8.13. v4.5 cites: Bauder Q2 2026 (not verified)</t>
  </si>
  <si>
    <t xml:space="preserve">8.13</t>
  </si>
  <si>
    <t xml:space="preserve">S-0078-01</t>
  </si>
  <si>
    <t xml:space="preserve">S-0078</t>
  </si>
  <si>
    <t xml:space="preserve">Biodiversity net gain</t>
  </si>
  <si>
    <t xml:space="preserve">On-site enhancement or off-site units</t>
  </si>
  <si>
    <t xml:space="preserve">12</t>
  </si>
  <si>
    <t xml:space="preserve">8.16</t>
  </si>
  <si>
    <t xml:space="preserve">Reported below the construction total</t>
  </si>
  <si>
    <t xml:space="preserve">S-0078-02</t>
  </si>
  <si>
    <t xml:space="preserve">S-0078-03</t>
  </si>
  <si>
    <t xml:space="preserve">S-0079-01</t>
  </si>
  <si>
    <t xml:space="preserve">S-0079</t>
  </si>
  <si>
    <t xml:space="preserve">Boundaries and fixtures</t>
  </si>
  <si>
    <t xml:space="preserve">Fences, gates and walls</t>
  </si>
  <si>
    <t xml:space="preserve">Boundary treatment</t>
  </si>
  <si>
    <t xml:space="preserve">m</t>
  </si>
  <si>
    <t xml:space="preserve">per_m</t>
  </si>
  <si>
    <t xml:space="preserve">r.fence_multiplier * SQRT(EXT_AREA)</t>
  </si>
  <si>
    <t xml:space="preserve">AI estimate per linear metre. v4.5 8.8 was per m² GIFA, so it isn't comparable</t>
  </si>
  <si>
    <t xml:space="preserve">8.8</t>
  </si>
  <si>
    <t xml:space="preserve">S-0080-01</t>
  </si>
  <si>
    <t xml:space="preserve">S-0080</t>
  </si>
  <si>
    <t xml:space="preserve">External lighting</t>
  </si>
  <si>
    <t xml:space="preserve">Site and car park lighting</t>
  </si>
  <si>
    <t xml:space="preserve">v4.5 8.9 External works column (£10/m²) used as Std; Basic ×0.7 and High ×1.6 (AI spread). v4.5 priced this per m² GIFA on other project types</t>
  </si>
  <si>
    <t xml:space="preserve">8.9</t>
  </si>
  <si>
    <t xml:space="preserve">S-0081-01</t>
  </si>
  <si>
    <t xml:space="preserve">S-0081</t>
  </si>
  <si>
    <t xml:space="preserve">Cycle storage</t>
  </si>
  <si>
    <t xml:space="preserve">Cycle stands and shelters</t>
  </si>
  <si>
    <t xml:space="preserve">v4.5 8.11. v4.5 cites: Cyclehoop Q2 2026 (not verified)</t>
  </si>
  <si>
    <t xml:space="preserve">8.11</t>
  </si>
  <si>
    <t xml:space="preserve">S-0082-01</t>
  </si>
  <si>
    <t xml:space="preserve">S-0082</t>
  </si>
  <si>
    <t xml:space="preserve">Bin store</t>
  </si>
  <si>
    <t xml:space="preserve">Bin store and waste enclosure</t>
  </si>
  <si>
    <t xml:space="preserve">v4.5 8.12 Basic reused as the Small band. v4.5 cites Industry Q2 2026 (not verified)</t>
  </si>
  <si>
    <t xml:space="preserve">8.12</t>
  </si>
  <si>
    <t xml:space="preserve">S-0082-02</t>
  </si>
  <si>
    <t xml:space="preserve">v4.5 8.12 Std reused as the Medium band. v4.5 cites Industry Q2 2026 (not verified)</t>
  </si>
  <si>
    <t xml:space="preserve">S-0082-03</t>
  </si>
  <si>
    <t xml:space="preserve">v4.5 8.12 High reused as the Large band. v4.5 cites Industry Q2 2026 (not verified)</t>
  </si>
  <si>
    <t xml:space="preserve">S-0083-01</t>
  </si>
  <si>
    <t xml:space="preserve">S-0083</t>
  </si>
  <si>
    <t xml:space="preserve">Automatic (not shown)</t>
  </si>
  <si>
    <t xml:space="preserve">Builder's work in connection</t>
  </si>
  <si>
    <t xml:space="preserve">Holes, plinths and plant bases for services. Added automatically when any Group 5 item is selected</t>
  </si>
  <si>
    <t xml:space="preserve">v4.5 5.20. No source recorded in v4.5</t>
  </si>
  <si>
    <t xml:space="preserve">AUTO: add when any Group 5 item is selected; never shown</t>
  </si>
  <si>
    <t xml:space="preserve">5.20</t>
  </si>
  <si>
    <t xml:space="preserve">SETTINGS — every other number the app reads</t>
  </si>
  <si>
    <t xml:space="preserve">Each table starts at its ▶ marker and ends at the first blank row. To add a row, insert it inside the table (above the blank row). Don't rename markers or headers: the app finds tables by them.</t>
  </si>
  <si>
    <t xml:space="preserve">▶ workbook_info</t>
  </si>
  <si>
    <t xml:space="preserve">Version stamped on every report the app produces. Update on every change</t>
  </si>
  <si>
    <t xml:space="preserve">Field</t>
  </si>
  <si>
    <t xml:space="preserve">Value</t>
  </si>
  <si>
    <t xml:space="preserve">Version</t>
  </si>
  <si>
    <t xml:space="preserve">Bump on every published change (5.3, 5.4 …) and add a line to the update log</t>
  </si>
  <si>
    <t xml:space="preserve">Date</t>
  </si>
  <si>
    <t xml:space="preserve">2026-09-23</t>
  </si>
  <si>
    <t xml:space="preserve">Owner</t>
  </si>
  <si>
    <t xml:space="preserve">Projento</t>
  </si>
  <si>
    <t xml:space="preserve">▶ building_uses</t>
  </si>
  <si>
    <t xml:space="preserve">Q1.3 options. The Code is what '2. Scope and Rates' uses</t>
  </si>
  <si>
    <t xml:space="preserve">Code</t>
  </si>
  <si>
    <t xml:space="preserve">Building use (label on screen)</t>
  </si>
  <si>
    <t xml:space="preserve">Treated as residential</t>
  </si>
  <si>
    <t xml:space="preserve">Residential</t>
  </si>
  <si>
    <t xml:space="preserve">Student accommodation (PBSA / halls)</t>
  </si>
  <si>
    <t xml:space="preserve">OFF</t>
  </si>
  <si>
    <t xml:space="preserve">Commercial offices</t>
  </si>
  <si>
    <t xml:space="preserve">EDU</t>
  </si>
  <si>
    <t xml:space="preserve">Education</t>
  </si>
  <si>
    <t xml:space="preserve">Healthcare</t>
  </si>
  <si>
    <t xml:space="preserve">Industrial / warehouse</t>
  </si>
  <si>
    <t xml:space="preserve">Hospitality / leisure</t>
  </si>
  <si>
    <t xml:space="preserve">MIX</t>
  </si>
  <si>
    <t xml:space="preserve">Mixed use</t>
  </si>
  <si>
    <t xml:space="preserve">Every item listed; nothing hidden under More items</t>
  </si>
  <si>
    <t xml:space="preserve">OTH</t>
  </si>
  <si>
    <t xml:space="preserve">Other</t>
  </si>
  <si>
    <t xml:space="preserve">(any building use)</t>
  </si>
  <si>
    <t xml:space="preserve">Used on '2. Scope and Rates' only: the item or rate applies to every building use</t>
  </si>
  <si>
    <t xml:space="preserve">▶ project_types</t>
  </si>
  <si>
    <t xml:space="preserve">Q1.2 options. The rate column read for each specification level. The Code is what '2. Scope and Rates' uses</t>
  </si>
  <si>
    <t xml:space="preserve">Project type (label on screen)</t>
  </si>
  <si>
    <t xml:space="preserve">Basic column</t>
  </si>
  <si>
    <t xml:space="preserve">Standard column</t>
  </si>
  <si>
    <t xml:space="preserve">High column</t>
  </si>
  <si>
    <t xml:space="preserve">Uses level of intervention</t>
  </si>
  <si>
    <t xml:space="preserve">New Build</t>
  </si>
  <si>
    <t xml:space="preserve">There is no Basic new-build rate, so Basic reads NB Std</t>
  </si>
  <si>
    <t xml:space="preserve">EX</t>
  </si>
  <si>
    <t xml:space="preserve">Extension</t>
  </si>
  <si>
    <t xml:space="preserve">New-build elements plus tie-in to the existing building</t>
  </si>
  <si>
    <t xml:space="preserve">RF</t>
  </si>
  <si>
    <t xml:space="preserve">Refurbishment</t>
  </si>
  <si>
    <t xml:space="preserve">FO</t>
  </si>
  <si>
    <t xml:space="preserve">Fit-out</t>
  </si>
  <si>
    <t xml:space="preserve">EW</t>
  </si>
  <si>
    <t xml:space="preserve">External works only</t>
  </si>
  <si>
    <t xml:space="preserve">Quantities from the external works area</t>
  </si>
  <si>
    <t xml:space="preserve">Demolition only</t>
  </si>
  <si>
    <t xml:space="preserve">OM</t>
  </si>
  <si>
    <t xml:space="preserve">Other or mixed</t>
  </si>
  <si>
    <t xml:space="preserve">Per component</t>
  </si>
  <si>
    <t xml:space="preserve">From v4.5: split GIFA by use/type, price each block on its own project type's columns, and sum</t>
  </si>
  <si>
    <t xml:space="preserve">▶ spec_levels</t>
  </si>
  <si>
    <t xml:space="preserve">Q2.4 options. The level picks the Basic / Standard / High column on project_types</t>
  </si>
  <si>
    <t xml:space="preserve">Level</t>
  </si>
  <si>
    <t xml:space="preserve">Description</t>
  </si>
  <si>
    <t xml:space="preserve">Basic</t>
  </si>
  <si>
    <t xml:space="preserve">Minimum compliance; budget materials; functional finish. Student accommodation, back-of-house, warehouses.</t>
  </si>
  <si>
    <t xml:space="preserve">Good commercial standard; durable mid-range materials. Typical offices, education, general academic space.</t>
  </si>
  <si>
    <t xml:space="preserve">High</t>
  </si>
  <si>
    <t xml:space="preserve">Flagship/premium; high-end finishes, bespoke joinery, enhanced M&amp;E. Boardrooms, reception, executive, prestige.</t>
  </si>
  <si>
    <t xml:space="preserve">▶ intervention_levels</t>
  </si>
  <si>
    <t xml:space="preserve">Level of intervention (Refurbishment and Fit-out only) → band multiplier and design duration (from v4.5)</t>
  </si>
  <si>
    <t xml:space="preserve">Name</t>
  </si>
  <si>
    <t xml:space="preserve">Band multiplier (m² rates)</t>
  </si>
  <si>
    <t xml:space="preserve">Design duration multiplier</t>
  </si>
  <si>
    <t xml:space="preserve">Fabric and finishes only</t>
  </si>
  <si>
    <t xml:space="preserve">Decoration, floor/wall finishes, ceilings, fixtures replaced in-place. No M&amp;E work. No walls moved. Lowest cost and shortest programme.</t>
  </si>
  <si>
    <t xml:space="preserve">Finishes with minor services</t>
  </si>
  <si>
    <t xml:space="preserve">Finishes as above plus light-touch M&amp;E: 2nd fix fixtures, replacement light fittings, sockets and switches. Existing wiring and pipework retained. No new systems.</t>
  </si>
  <si>
    <t xml:space="preserve">Full systems replacement</t>
  </si>
  <si>
    <t xml:space="preserve">Complete replacement of heating, plumbing and electrical systems throughout. Same layout, same positions, no structural changes. Building rewired and re-plumbed. Typical full flat or office refurbishment.</t>
  </si>
  <si>
    <t xml:space="preserve">Reconfiguration or full redesign</t>
  </si>
  <si>
    <t xml:space="preserve">Layout changes, walls moved or removed, or building stripped to structure and redesigned. Requires architect, structural engineer, building control, possibly planning. Highest cost and longest programme.</t>
  </si>
  <si>
    <t xml:space="preserve">▶ location_factors</t>
  </si>
  <si>
    <t xml:space="preserve">Regional location factor by postcode area (from v4.5, unchanged). West Midlands is the default</t>
  </si>
  <si>
    <t xml:space="preserve">Region</t>
  </si>
  <si>
    <t xml:space="preserve">Postcode areas</t>
  </si>
  <si>
    <t xml:space="preserve">Low</t>
  </si>
  <si>
    <t xml:space="preserve">Mid (use)</t>
  </si>
  <si>
    <t xml:space="preserve">Inner London</t>
  </si>
  <si>
    <t xml:space="preserve">EC,WC,E1W,SW1,SE1</t>
  </si>
  <si>
    <t xml:space="preserve">Outer London</t>
  </si>
  <si>
    <t xml:space="preserve">E,N,NW,SE,SW,W,BR,CR,DA,EN,HA,IG,KT,RM,SM,TW,UB,WD</t>
  </si>
  <si>
    <t xml:space="preserve">South East</t>
  </si>
  <si>
    <t xml:space="preserve">GU,RH,TN,ME,CT,BN,PO,SO,RG,SL,OX,HP</t>
  </si>
  <si>
    <t xml:space="preserve">East of England</t>
  </si>
  <si>
    <t xml:space="preserve">CM,CB,IP,NR,LU,AL,SG,PE,SS,CO</t>
  </si>
  <si>
    <t xml:space="preserve">West Midlands ★ DEFAULT</t>
  </si>
  <si>
    <t xml:space="preserve">B,CV,WV,WS,DY,ST,WR,HR</t>
  </si>
  <si>
    <t xml:space="preserve">East Midlands</t>
  </si>
  <si>
    <t xml:space="preserve">LE,NG,DE,LN,NN</t>
  </si>
  <si>
    <t xml:space="preserve">Yorkshire &amp; Humberside</t>
  </si>
  <si>
    <t xml:space="preserve">LS,BD,HX,HD,HG,YO,HU,S,DN,WF</t>
  </si>
  <si>
    <t xml:space="preserve">North West</t>
  </si>
  <si>
    <t xml:space="preserve">M,SK,WN,WA,BL,OL,PR,BB,LA,FY,CW,CH</t>
  </si>
  <si>
    <t xml:space="preserve">North East</t>
  </si>
  <si>
    <t xml:space="preserve">NE,SR,DH,TS,DL</t>
  </si>
  <si>
    <t xml:space="preserve">Wales</t>
  </si>
  <si>
    <t xml:space="preserve">CF,SA,NP,LD,SY,LL</t>
  </si>
  <si>
    <t xml:space="preserve">Scotland</t>
  </si>
  <si>
    <t xml:space="preserve">EH,G,FK,KY,DD,PH,AB,IV,KW,PA,KA,ML,TD,DG</t>
  </si>
  <si>
    <t xml:space="preserve">Northern Ireland</t>
  </si>
  <si>
    <t xml:space="preserve">BT</t>
  </si>
  <si>
    <t xml:space="preserve">▶ benchmarks</t>
  </si>
  <si>
    <t xml:space="preserve">Expected works £/m² by project type and building use (from v4.5, now in codes). Outside the range = review flag</t>
  </si>
  <si>
    <t xml:space="preserve">Project type</t>
  </si>
  <si>
    <t xml:space="preserve">Building use</t>
  </si>
  <si>
    <t xml:space="preserve">Expected low £/m²</t>
  </si>
  <si>
    <t xml:space="preserve">Expected high £/m²</t>
  </si>
  <si>
    <t xml:space="preserve">▶ inputs</t>
  </si>
  <si>
    <t xml:space="preserve">Names used in 'Quantity rule' and 'Other conditions'. Default = what the app uses if the answer is blank</t>
  </si>
  <si>
    <t xml:space="preserve">Comes from</t>
  </si>
  <si>
    <t xml:space="preserve">Default (quantity rule)</t>
  </si>
  <si>
    <t xml:space="preserve">Q1.5 Approximate size (GIFA)</t>
  </si>
  <si>
    <t xml:space="preserve">IF(PT=EW, 0, ENTER)</t>
  </si>
  <si>
    <t xml:space="preserve">On Refurbishment and Fit-out this is the area of works</t>
  </si>
  <si>
    <t xml:space="preserve">Number of storeys (existing question)</t>
  </si>
  <si>
    <t xml:space="preserve">Default used only if the answer is blank</t>
  </si>
  <si>
    <t xml:space="preserve">Worked out</t>
  </si>
  <si>
    <t xml:space="preserve">GIFA / STOREYS</t>
  </si>
  <si>
    <t xml:space="preserve">Ground floor area</t>
  </si>
  <si>
    <t xml:space="preserve">GIFA - FOOTPRINT</t>
  </si>
  <si>
    <t xml:space="preserve">Upper floor area</t>
  </si>
  <si>
    <t xml:space="preserve">External works area, asked on the Group 8 header</t>
  </si>
  <si>
    <t xml:space="preserve">IF(PT=EW, ENTER, FOOTPRINT * r.site_ratio)</t>
  </si>
  <si>
    <t xml:space="preserve">Must be entered on External works only</t>
  </si>
  <si>
    <t xml:space="preserve">Demolition item, 'I know this'</t>
  </si>
  <si>
    <t xml:space="preserve">Area of building to demolish</t>
  </si>
  <si>
    <t xml:space="preserve">PT</t>
  </si>
  <si>
    <t xml:space="preserve">Q1.2 Project type</t>
  </si>
  <si>
    <t xml:space="preserve">A code from project_types</t>
  </si>
  <si>
    <t xml:space="preserve">USE</t>
  </si>
  <si>
    <t xml:space="preserve">Q1.3 Building use</t>
  </si>
  <si>
    <t xml:space="preserve">A code from building_uses</t>
  </si>
  <si>
    <t xml:space="preserve">AGE</t>
  </si>
  <si>
    <t xml:space="preserve">Q1.4 Building age</t>
  </si>
  <si>
    <t xml:space="preserve">End year of the chosen band (e.g. 1980–1999 → 1999); post-2000 → current year</t>
  </si>
  <si>
    <t xml:space="preserve">LEVEL</t>
  </si>
  <si>
    <t xml:space="preserve">Level of intervention</t>
  </si>
  <si>
    <t xml:space="preserve">1–4; Refurbishment and Fit-out only</t>
  </si>
  <si>
    <t xml:space="preserve">▶ quantity_ratios</t>
  </si>
  <si>
    <t xml:space="preserve">Named ratios used as r.name in quantity rules. The row for the building use is used, else ALL</t>
  </si>
  <si>
    <t xml:space="preserve">Key</t>
  </si>
  <si>
    <t xml:space="preserve">Used for</t>
  </si>
  <si>
    <t xml:space="preserve">Source</t>
  </si>
  <si>
    <t xml:space="preserve">m2_per_person</t>
  </si>
  <si>
    <t xml:space="preserve">Toilets: people = GIFA ÷ this</t>
  </si>
  <si>
    <t xml:space="preserve">Toilets (education)</t>
  </si>
  <si>
    <t xml:space="preserve">Toilets (healthcare)</t>
  </si>
  <si>
    <t xml:space="preserve">Toilets (retail)</t>
  </si>
  <si>
    <t xml:space="preserve">Toilets (industrial)</t>
  </si>
  <si>
    <t xml:space="preserve">Toilets (hospitality)</t>
  </si>
  <si>
    <t xml:space="preserve">persons_per_wc</t>
  </si>
  <si>
    <t xml:space="preserve">Toilets: WCs = people ÷ this (simplified BS 6465-1 / Workplace Regs)</t>
  </si>
  <si>
    <t xml:space="preserve">accessible_wc_per_floor</t>
  </si>
  <si>
    <t xml:space="preserve">Toilets: accessible option</t>
  </si>
  <si>
    <t xml:space="preserve">m2_per_dwelling</t>
  </si>
  <si>
    <t xml:space="preserve">Bathrooms, kitchens, EV charging (residential)</t>
  </si>
  <si>
    <t xml:space="preserve">bathrooms_per_dwelling</t>
  </si>
  <si>
    <t xml:space="preserve">Bathrooms (residential)</t>
  </si>
  <si>
    <t xml:space="preserve">m2_per_bed</t>
  </si>
  <si>
    <t xml:space="preserve">Student beds or hospital beds, by building use</t>
  </si>
  <si>
    <t xml:space="preserve">Bathrooms and kitchens (student en-suite beds)</t>
  </si>
  <si>
    <t xml:space="preserve">Medical gases and nurse call (hospital beds)</t>
  </si>
  <si>
    <t xml:space="preserve">m2_per_key</t>
  </si>
  <si>
    <t xml:space="preserve">Bathrooms (hotel rooms)</t>
  </si>
  <si>
    <t xml:space="preserve">beds_per_kitchen</t>
  </si>
  <si>
    <t xml:space="preserve">Kitchens (student cluster flats)</t>
  </si>
  <si>
    <t xml:space="preserve">tea_points_per_floor</t>
  </si>
  <si>
    <t xml:space="preserve">Kitchens (non-residential)</t>
  </si>
  <si>
    <t xml:space="preserve">pct_catering</t>
  </si>
  <si>
    <t xml:space="preserve">Catering kitchen area as a share of GIFA</t>
  </si>
  <si>
    <t xml:space="preserve">Catering kitchen area (hospitality)</t>
  </si>
  <si>
    <t xml:space="preserve">pct_lab</t>
  </si>
  <si>
    <t xml:space="preserve">Laboratory area as a share of GIFA</t>
  </si>
  <si>
    <t xml:space="preserve">Laboratory area (education)</t>
  </si>
  <si>
    <t xml:space="preserve">pct_clinical</t>
  </si>
  <si>
    <t xml:space="preserve">Clinical fit-out area as a share of GIFA</t>
  </si>
  <si>
    <t xml:space="preserve">Clinical fit-out area (healthcare)</t>
  </si>
  <si>
    <t xml:space="preserve">gas_outlets_per_bed</t>
  </si>
  <si>
    <t xml:space="preserve">kwp_per_m2_roof</t>
  </si>
  <si>
    <t xml:space="preserve">Solar PV kWp = footprint × this</t>
  </si>
  <si>
    <t xml:space="preserve">site_ratio</t>
  </si>
  <si>
    <t xml:space="preserve">External area default = footprint × this</t>
  </si>
  <si>
    <t xml:space="preserve">pct_hard</t>
  </si>
  <si>
    <t xml:space="preserve">Roads, paths and paving = external area × this</t>
  </si>
  <si>
    <t xml:space="preserve">pct_soft</t>
  </si>
  <si>
    <t xml:space="preserve">Soft landscaping = external area × this</t>
  </si>
  <si>
    <t xml:space="preserve">fence_multiplier</t>
  </si>
  <si>
    <t xml:space="preserve">Fences = this × √ external area (perimeter of a square)</t>
  </si>
  <si>
    <t xml:space="preserve">▶ factors</t>
  </si>
  <si>
    <t xml:space="preserve">Multipliers applied to rates</t>
  </si>
  <si>
    <t xml:space="preserve">Applies to</t>
  </si>
  <si>
    <t xml:space="preserve">When</t>
  </si>
  <si>
    <t xml:space="preserve">modular_factor</t>
  </si>
  <si>
    <t xml:space="preserve">Groups 1–3 rates</t>
  </si>
  <si>
    <t xml:space="preserve">Group 2 construction method = Modular</t>
  </si>
  <si>
    <t xml:space="preserve">▶ percentage_rules</t>
  </si>
  <si>
    <t xml:space="preserve">Additions A–H (from v4.5, unchanged). Construction = Works × (1 + A + B); C and D on Construction; E, F, H on Works</t>
  </si>
  <si>
    <t xml:space="preserve">Addition</t>
  </si>
  <si>
    <t xml:space="preserve">Type</t>
  </si>
  <si>
    <t xml:space="preserve">Condition (questionnaire trigger)</t>
  </si>
  <si>
    <t xml:space="preserve">Adjust %</t>
  </si>
  <si>
    <t xml:space="preserve">Cap %</t>
  </si>
  <si>
    <t xml:space="preserve">A</t>
  </si>
  <si>
    <t xml:space="preserve">Contractor's Preliminaries</t>
  </si>
  <si>
    <t xml:space="preserve">BASE</t>
  </si>
  <si>
    <t xml:space="preserve">Base 8% — clean/vacant/short programme</t>
  </si>
  <si>
    <t xml:space="preserve">ADD</t>
  </si>
  <si>
    <t xml:space="preserve">Q3.6 = Fully occupied throughout</t>
  </si>
  <si>
    <t xml:space="preserve">Q3.6 = Partially occupied</t>
  </si>
  <si>
    <t xml:space="preserve">Q3.5 includes Restricted working hours</t>
  </si>
  <si>
    <t xml:space="preserve">Q3.5 includes Shared access with other occupiers</t>
  </si>
  <si>
    <t xml:space="preserve">Programme duration &gt; 18 months</t>
  </si>
  <si>
    <t xml:space="preserve">B</t>
  </si>
  <si>
    <t xml:space="preserve">Overheads &amp; Profit</t>
  </si>
  <si>
    <t xml:space="preserve">RANGE</t>
  </si>
  <si>
    <t xml:space="preserve">Works cost &lt; £1M → 10–12% (use 11%)</t>
  </si>
  <si>
    <t xml:space="preserve">Works cost £1M–£5M → 9–10% (use 9.5%)</t>
  </si>
  <si>
    <t xml:space="preserve">Works cost &gt; £5M → 8–9% (use 8.5%)</t>
  </si>
  <si>
    <t xml:space="preserve">C</t>
  </si>
  <si>
    <t xml:space="preserve">Professional Fees</t>
  </si>
  <si>
    <t xml:space="preserve">Q4.5 = Stage 0–1 → 12–15% (use 13.5%)</t>
  </si>
  <si>
    <t xml:space="preserve">Q4.5 = Stage 2 → 10–13% (use 11.5%)</t>
  </si>
  <si>
    <t xml:space="preserve">Q4.5 = Stage 3 → 7–10% (use 8.5%)</t>
  </si>
  <si>
    <t xml:space="preserve">Q4.5 = Stage 4 → 5–7% (use 6%)</t>
  </si>
  <si>
    <t xml:space="preserve">Q2.2 has ≥4 M&amp;E items (M&amp;E-heavy)</t>
  </si>
  <si>
    <t xml:space="preserve">Q2.5 includes BREEAM</t>
  </si>
  <si>
    <t xml:space="preserve">Q1.4 = Pre-1900 OR Q3.4 includes Listed Building Consent (heritage/conservation consultant uplift — apply once only, do not stack)</t>
  </si>
  <si>
    <t xml:space="preserve">D</t>
  </si>
  <si>
    <t xml:space="preserve">Developer &amp; Project Costs</t>
  </si>
  <si>
    <t xml:space="preserve">Q3.4 = Full planning (3–4%, use 3.5%)</t>
  </si>
  <si>
    <t xml:space="preserve">Q3.4 = Full planning + Listed Building Consent</t>
  </si>
  <si>
    <t xml:space="preserve">Q3.4 = Change of use consent</t>
  </si>
  <si>
    <t xml:space="preserve">Q3.4 = Prior approval (2–3%, use 2.5%)</t>
  </si>
  <si>
    <t xml:space="preserve">Q3.4 = Permitted development</t>
  </si>
  <si>
    <t xml:space="preserve">Q3.4 = Unsure / pre-application</t>
  </si>
  <si>
    <t xml:space="preserve">Q3.3 = No surveys yet</t>
  </si>
  <si>
    <t xml:space="preserve">Q3.4 includes Listed Building Consent (LBC + planning assumed; same as Full planning + Listed Building Consent trigger)</t>
  </si>
  <si>
    <t xml:space="preserve">E</t>
  </si>
  <si>
    <t xml:space="preserve">Risk Allowance</t>
  </si>
  <si>
    <t xml:space="preserve">Baseline 5%</t>
  </si>
  <si>
    <t xml:space="preserve">Q3.3 = None — surveys needed</t>
  </si>
  <si>
    <t xml:space="preserve">Q3.1 = Unsure — surveys needed</t>
  </si>
  <si>
    <t xml:space="preserve">Q3.1 = Asbestos known or suspected</t>
  </si>
  <si>
    <t xml:space="preserve">Q3.1 = Contaminated land</t>
  </si>
  <si>
    <t xml:space="preserve">Q3.1 = Structural concerns</t>
  </si>
  <si>
    <t xml:space="preserve">Q3.1 = Ageing or inadequate M&amp;E</t>
  </si>
  <si>
    <t xml:space="preserve">Q3.1 = Drainage issues</t>
  </si>
  <si>
    <t xml:space="preserve">Q3.1 = Damp or water ingress</t>
  </si>
  <si>
    <t xml:space="preserve">Q3.1 = Fire safety deficiencies</t>
  </si>
  <si>
    <t xml:space="preserve">Q4.1 = Hard deadline (specific date given)</t>
  </si>
  <si>
    <t xml:space="preserve">H</t>
  </si>
  <si>
    <t xml:space="preserve">Client Contingency</t>
  </si>
  <si>
    <t xml:space="preserve">FIXED</t>
  </si>
  <si>
    <t xml:space="preserve">ALWAYS 5% — never adjusted. Survey uncertainty sits in E, not here.</t>
  </si>
  <si>
    <t xml:space="preserve">F</t>
  </si>
  <si>
    <t xml:space="preserve">Inflation — tender delay</t>
  </si>
  <si>
    <t xml:space="preserve">COMPONENT</t>
  </si>
  <si>
    <t xml:space="preserve">0–6 months to tender → 0%</t>
  </si>
  <si>
    <t xml:space="preserve">6–12 months to tender → 2%</t>
  </si>
  <si>
    <t xml:space="preserve">12–18 months to tender → 4%</t>
  </si>
  <si>
    <t xml:space="preserve">18+ months to tender → 6%</t>
  </si>
  <si>
    <t xml:space="preserve">Inflation — construction mid-pt</t>
  </si>
  <si>
    <t xml:space="preserve">Construction ≤ 6 months → 1%</t>
  </si>
  <si>
    <t xml:space="preserve">Construction 6–12 months → 2%</t>
  </si>
  <si>
    <t xml:space="preserve">Construction 12–18 months → 3%</t>
  </si>
  <si>
    <t xml:space="preserve">Construction 18–24 months → 4%</t>
  </si>
  <si>
    <t xml:space="preserve">Construction 24+ months → 5%</t>
  </si>
  <si>
    <t xml:space="preserve">G</t>
  </si>
  <si>
    <t xml:space="preserve">VAT (reference only)</t>
  </si>
  <si>
    <t xml:space="preserve">NOT added to total. Recoverability confirmed by client Finance. New build may zero-rate.</t>
  </si>
  <si>
    <t xml:space="preserve">▶ retired_codes</t>
  </si>
  <si>
    <t xml:space="preserve">Old codes with no replacement item (all others are listed on their item's 'Replaces old codes')</t>
  </si>
  <si>
    <t xml:space="preserve">Old code</t>
  </si>
  <si>
    <t xml:space="preserve">Was</t>
  </si>
  <si>
    <t xml:space="preserve">Status</t>
  </si>
  <si>
    <t xml:space="preserve">Reason</t>
  </si>
  <si>
    <t xml:space="preserve">Specialist equipment (lab/AV/med)</t>
  </si>
  <si>
    <t xml:space="preserve">Retired</t>
  </si>
  <si>
    <t xml:space="preserve">Use Other / specialist scope</t>
  </si>
  <si>
    <t xml:space="preserve">4.17</t>
  </si>
  <si>
    <t xml:space="preserve">Overhead crane and gantry</t>
  </si>
  <si>
    <t xml:space="preserve">Cranes via Other / specialist scope</t>
  </si>
  <si>
    <t xml:space="preserve">4.26</t>
  </si>
  <si>
    <t xml:space="preserve">Fitting rooms</t>
  </si>
  <si>
    <t xml:space="preserve">Fitting rooms via Other / specialist</t>
  </si>
  <si>
    <t xml:space="preserve">4.29</t>
  </si>
  <si>
    <t xml:space="preserve">Spectator seating and bleachers</t>
  </si>
  <si>
    <t xml:space="preserve">Spectator seating via Other / specialist</t>
  </si>
  <si>
    <t xml:space="preserve">5.1b</t>
  </si>
  <si>
    <t xml:space="preserve">Mechanical second fix</t>
  </si>
  <si>
    <t xml:space="preserve">Empty row in v4.5</t>
  </si>
  <si>
    <t xml:space="preserve">6.1</t>
  </si>
  <si>
    <t xml:space="preserve">Prefabricated / modular units</t>
  </si>
  <si>
    <t xml:space="preserve">Group 2 construction method: Modular</t>
  </si>
  <si>
    <t xml:space="preserve">7.4</t>
  </si>
  <si>
    <t xml:space="preserve">M&amp;E overhaul / life-expired services</t>
  </si>
  <si>
    <t xml:space="preserve">Group 5 covers replacement</t>
  </si>
  <si>
    <t xml:space="preserve">7.5</t>
  </si>
  <si>
    <t xml:space="preserve">Making good after structural works</t>
  </si>
  <si>
    <t xml:space="preserve">Inside every refurbishment rate</t>
  </si>
  <si>
    <t xml:space="preserve">0.8</t>
  </si>
  <si>
    <t xml:space="preserve">Temporary works and propping (question map)</t>
  </si>
  <si>
    <t xml:space="preserve">Inside the alteration and basement rates</t>
  </si>
  <si>
    <t xml:space="preserve">v4.5 5.11. No source recorded in v4.5. Ext Works (added v5.3) = the NB Std rate; a ground-mount frame or car-park canopy is not included — add it under Other / specialist scope.</t>
  </si>
  <si>
    <t xml:space="preserve">v4.5 5.12. No source recorded in v4.5. Ext Works (added v5.3) = the NB Std rate.</t>
  </si>
  <si>
    <t xml:space="preserve">NB EW</t>
  </si>
  <si>
    <t xml:space="preserve">NB EX EW</t>
  </si>
  <si>
    <t xml:space="preserve">Q2.3 has ≥4 M&amp;E items (M&amp;E-heavy)</t>
  </si>
  <si>
    <t xml:space="preserve">NRM1 COST ESTIMATE TOOL — v5.3 (September 2026)</t>
  </si>
  <si>
    <t xml:space="preserve">The app reads this workbook through its v5 loader (sheets by name, columns by header text, Settings tables by ▶ marker). The v4.5 app cannot read it, so publish it only with, or after, that code change.</t>
  </si>
  <si>
    <t xml:space="preserve">Question numbers in the percentage rules follow the screen labels: Q2.2 = level of intervention, Q2.3 = scope of works.</t>
  </si>
  <si>
    <t xml:space="preserve">▶ range_widths</t>
  </si>
  <si>
    <t xml:space="preserve">Estimate range around the mid-point, by confidence grade (A–D). Low × mid = bottom, High × mid = top</t>
  </si>
  <si>
    <t xml:space="preserve">Grade</t>
  </si>
  <si>
    <t xml:space="preserve">Values from the September 2026 workbook spec (illustrative) — review against real outturns</t>
  </si>
  <si>
    <t xml:space="preserve">v5.3 — 23 Sept 2026</t>
  </si>
  <si>
    <t xml:space="preserve">Gaps filled: Solar PV and Battery storage Ext Works rates (= NB Std); External works only pre-ticks (site clearance, surface water drainage, paving, soft landscaping, fences — the app's previous External works preset); ▶ range_widths added on '3. Settings' (illustrative); percentage rule and golden rules updated to Q2.2 = level of intervention, Q2.3 = scope.</t>
  </si>
  <si>
    <t xml:space="preserve">B,CV,WV,WS,DY,ST,WR,HR,TF,SY1,SY2,SY3,SY4,SY5,SY6,SY7,SY8,SY9,SY10,SY11,SY12,SY13</t>
  </si>
  <si>
    <t xml:space="preserve">M,SK,WN,WA,BL,OL,PR,BB,LA,FY,CW,CH,L,CA,SY14</t>
  </si>
  <si>
    <t xml:space="preserve">GU,RH,TN,ME,CT,BN,PO,SO,RG,SL,OX,HP,MK</t>
  </si>
  <si>
    <t xml:space="preserve">EH,G,FK,KY,DD,PH,AB,IV,KW,PA,KA,ML,TD,DG,HS,ZE</t>
  </si>
  <si>
    <t xml:space="preserve">Regional location factor by postcode area, or by district where an area is split (e.g. SY10). West Midlands is the default. South West added in v5.4 — its factors are an AI estimate, verify against BCIS</t>
  </si>
  <si>
    <t xml:space="preserve">2026-09-24</t>
  </si>
  <si>
    <t xml:space="preserve">South West</t>
  </si>
  <si>
    <t xml:space="preserve">BS,BA,BH,DT,EX,GL,PL,SN,SP,TA,TQ,TR</t>
  </si>
  <si>
    <t xml:space="preserve">NRM1 COST ESTIMATE TOOL — v5.4 (September 2026)</t>
  </si>
  <si>
    <t xml:space="preserve">v5.4 — 24 Sept 2026</t>
  </si>
  <si>
    <t xml:space="preserve">Regions: South West added (BS, BA, BH, DT, EX, GL, PL, SN, SP, TA, TQ, TR — factors 0.94 / 1.00 / 0.97 are an AI estimate, verify against BCIS); missing areas added (L and CA North West, MK South East, TF West Midlands, HS and ZE Scotland); Shropshire districts SY1–SY13 West Midlands and SY14 North West, the rest of SY stays Wales. Found by the 21-report test run: Bristol, Cotswolds and Liverpool were priced at the West Midlands default.</t>
  </si>
</sst>
</file>

<file path=xl/styles.xml><?xml version="1.0" encoding="utf-8"?>
<styleSheet xmlns="http://schemas.openxmlformats.org/spreadsheetml/2006/main">
  <numFmts count="5">
    <numFmt numFmtId="164" formatCode="General"/>
    <numFmt numFmtId="165" formatCode="General"/>
    <numFmt numFmtId="166" formatCode="0.00"/>
    <numFmt numFmtId="167" formatCode="#,##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4"/>
      <color rgb="FF1A2E4A"/>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595959"/>
      <name val="Arial"/>
      <family val="0"/>
      <charset val="1"/>
    </font>
    <font>
      <b val="true"/>
      <sz val="10"/>
      <color rgb="FF1A2E4A"/>
      <name val="Arial"/>
      <family val="0"/>
      <charset val="1"/>
    </font>
    <font>
      <i val="true"/>
      <sz val="10"/>
      <color rgb="FF808080"/>
      <name val="Arial"/>
      <family val="0"/>
      <charset val="1"/>
    </font>
  </fonts>
  <fills count="14">
    <fill>
      <patternFill patternType="none"/>
    </fill>
    <fill>
      <patternFill patternType="gray125"/>
    </fill>
    <fill>
      <patternFill patternType="solid">
        <fgColor rgb="FF1A2E4A"/>
        <bgColor rgb="FF003366"/>
      </patternFill>
    </fill>
    <fill>
      <patternFill patternType="solid">
        <fgColor rgb="FFC6EFCE"/>
        <bgColor rgb="FFE2EFDA"/>
      </patternFill>
    </fill>
    <fill>
      <patternFill patternType="solid">
        <fgColor rgb="FFDDEBF7"/>
        <bgColor rgb="FFD9E1F2"/>
      </patternFill>
    </fill>
    <fill>
      <patternFill patternType="solid">
        <fgColor rgb="FFEDEDED"/>
        <bgColor rgb="FFEEF2F7"/>
      </patternFill>
    </fill>
    <fill>
      <patternFill patternType="solid">
        <fgColor rgb="FFFFF2CC"/>
        <bgColor rgb="FFFCE4D6"/>
      </patternFill>
    </fill>
    <fill>
      <patternFill patternType="solid">
        <fgColor rgb="FFF8CBAD"/>
        <bgColor rgb="FFFCE4D6"/>
      </patternFill>
    </fill>
    <fill>
      <patternFill patternType="solid">
        <fgColor rgb="FFE2EFDA"/>
        <bgColor rgb="FFE7E6E6"/>
      </patternFill>
    </fill>
    <fill>
      <patternFill patternType="solid">
        <fgColor rgb="FFD9E1F2"/>
        <bgColor rgb="FFDDEBF7"/>
      </patternFill>
    </fill>
    <fill>
      <patternFill patternType="solid">
        <fgColor rgb="FFFCE4D6"/>
        <bgColor rgb="FFFFF2CC"/>
      </patternFill>
    </fill>
    <fill>
      <patternFill patternType="solid">
        <fgColor rgb="FFEDE7F6"/>
        <bgColor rgb="FFEDEDED"/>
      </patternFill>
    </fill>
    <fill>
      <patternFill patternType="solid">
        <fgColor rgb="FFE7E6E6"/>
        <bgColor rgb="FFEDE7F6"/>
      </patternFill>
    </fill>
    <fill>
      <patternFill patternType="solid">
        <fgColor rgb="FFEEF2F7"/>
        <bgColor rgb="FFEDEDED"/>
      </patternFill>
    </fill>
  </fills>
  <borders count="2">
    <border diagonalUp="false" diagonalDown="false">
      <left/>
      <right/>
      <top/>
      <bottom/>
      <diagonal/>
    </border>
    <border diagonalUp="false" diagonalDown="false">
      <left/>
      <right/>
      <top style="medium">
        <color rgb="FF3D5A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true" applyAlignment="false" applyProtection="false">
      <alignment horizontal="general" vertical="bottom" textRotation="0" wrapText="false" indent="0" shrinkToFit="false"/>
      <protection locked="true" hidden="false"/>
    </xf>
    <xf numFmtId="164" fontId="9" fillId="8" borderId="0" xfId="0" applyFont="true" applyBorder="true" applyAlignment="false" applyProtection="false">
      <alignment horizontal="general" vertical="bottom" textRotation="0" wrapText="false" indent="0" shrinkToFit="false"/>
      <protection locked="true" hidden="false"/>
    </xf>
    <xf numFmtId="164" fontId="9" fillId="6" borderId="0" xfId="0" applyFont="true" applyBorder="true" applyAlignment="false" applyProtection="false">
      <alignment horizontal="general" vertical="bottom" textRotation="0" wrapText="false" indent="0" shrinkToFit="false"/>
      <protection locked="true" hidden="false"/>
    </xf>
    <xf numFmtId="164" fontId="9" fillId="10" borderId="0" xfId="0" applyFont="true" applyBorder="true" applyAlignment="false" applyProtection="false">
      <alignment horizontal="general" vertical="bottom" textRotation="0" wrapText="false" indent="0" shrinkToFit="false"/>
      <protection locked="true" hidden="false"/>
    </xf>
    <xf numFmtId="164" fontId="9" fillId="11" borderId="0" xfId="0" applyFont="true" applyBorder="true" applyAlignment="false" applyProtection="false">
      <alignment horizontal="general" vertical="bottom" textRotation="0" wrapText="false" indent="0" shrinkToFit="false"/>
      <protection locked="true" hidden="false"/>
    </xf>
    <xf numFmtId="164" fontId="9" fillId="1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6" fillId="13" borderId="0" xfId="0" applyFont="true" applyBorder="false" applyAlignment="true" applyProtection="false">
      <alignment horizontal="general" vertical="top" textRotation="0" wrapText="true" indent="0" shrinkToFit="false"/>
      <protection locked="true" hidden="false"/>
    </xf>
    <xf numFmtId="164" fontId="6" fillId="13" borderId="0" xfId="0" applyFont="true" applyBorder="false" applyAlignment="true" applyProtection="false">
      <alignment horizontal="center" vertical="top" textRotation="0" wrapText="true" indent="0" shrinkToFit="false"/>
      <protection locked="true" hidden="false"/>
    </xf>
    <xf numFmtId="164" fontId="5" fillId="1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true" applyProtection="false">
      <alignment horizontal="right"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8"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center"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A2E4A"/>
          <bgColor rgb="FF000000"/>
        </patternFill>
      </fill>
    </dxf>
    <dxf>
      <fill>
        <patternFill patternType="solid">
          <fgColor rgb="FFEEF2F7"/>
          <bgColor rgb="FF000000"/>
        </patternFill>
      </fill>
    </dxf>
    <dxf>
      <fill>
        <patternFill patternType="solid">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7E6E6"/>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CE4D6"/>
      <rgbColor rgb="FFEDE7F6"/>
      <rgbColor rgb="FFEDEDED"/>
      <rgbColor rgb="FFEEF2F7"/>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D5A80"/>
      <rgbColor rgb="FF1A2E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 collapsed="false" customWidth="true" hidden="false" outlineLevel="0" max="3" min="3" style="0" width="10"/>
  </cols>
  <sheetData>
    <row r="1" customFormat="false" ht="17.35" hidden="false" customHeight="false" outlineLevel="0" collapsed="false">
      <c r="A1" s="1" t="s">
        <v>1324</v>
      </c>
    </row>
    <row r="2" customFormat="false" ht="15" hidden="false" customHeight="false" outlineLevel="0" collapsed="false">
      <c r="A2" s="2"/>
      <c r="B2" s="3" t="s">
        <v>1</v>
      </c>
    </row>
    <row r="4" customFormat="false" ht="15" hidden="false" customHeight="false" outlineLevel="0" collapsed="false">
      <c r="A4" s="4" t="s">
        <v>2</v>
      </c>
      <c r="B4" s="5"/>
      <c r="C4" s="5"/>
    </row>
    <row r="5" customFormat="false" ht="15" hidden="false" customHeight="false" outlineLevel="0" collapsed="false">
      <c r="A5" s="2" t="s">
        <v>3</v>
      </c>
      <c r="B5" s="3" t="s">
        <v>4</v>
      </c>
    </row>
    <row r="6" customFormat="false" ht="23.85" hidden="false" customHeight="false" outlineLevel="0" collapsed="false">
      <c r="A6" s="2" t="s">
        <v>5</v>
      </c>
      <c r="B6" s="3" t="s">
        <v>6</v>
      </c>
    </row>
    <row r="7" customFormat="false" ht="15" hidden="false" customHeight="false" outlineLevel="0" collapsed="false">
      <c r="A7" s="2" t="s">
        <v>7</v>
      </c>
      <c r="B7" s="3" t="s">
        <v>8</v>
      </c>
    </row>
    <row r="9" customFormat="false" ht="15" hidden="false" customHeight="false" outlineLevel="0" collapsed="false">
      <c r="A9" s="4" t="s">
        <v>9</v>
      </c>
      <c r="B9" s="5"/>
      <c r="C9" s="5"/>
    </row>
    <row r="10" customFormat="false" ht="23.85" hidden="false" customHeight="false" outlineLevel="0" collapsed="false">
      <c r="A10" s="2" t="s">
        <v>10</v>
      </c>
      <c r="B10" s="3" t="s">
        <v>11</v>
      </c>
    </row>
    <row r="11" customFormat="false" ht="23.85" hidden="false" customHeight="false" outlineLevel="0" collapsed="false">
      <c r="A11" s="2" t="s">
        <v>12</v>
      </c>
      <c r="B11" s="3" t="s">
        <v>13</v>
      </c>
    </row>
    <row r="12" customFormat="false" ht="35.05" hidden="false" customHeight="false" outlineLevel="0" collapsed="false">
      <c r="A12" s="2" t="s">
        <v>14</v>
      </c>
      <c r="B12" s="3" t="s">
        <v>15</v>
      </c>
    </row>
    <row r="13" customFormat="false" ht="23.85" hidden="false" customHeight="false" outlineLevel="0" collapsed="false">
      <c r="A13" s="2" t="s">
        <v>16</v>
      </c>
      <c r="B13" s="3" t="s">
        <v>17</v>
      </c>
    </row>
    <row r="14" customFormat="false" ht="23.85" hidden="false" customHeight="false" outlineLevel="0" collapsed="false">
      <c r="A14" s="2" t="s">
        <v>18</v>
      </c>
      <c r="B14" s="3" t="s">
        <v>19</v>
      </c>
    </row>
    <row r="15" customFormat="false" ht="23.85" hidden="false" customHeight="false" outlineLevel="0" collapsed="false">
      <c r="A15" s="2" t="s">
        <v>20</v>
      </c>
      <c r="B15" s="3" t="s">
        <v>21</v>
      </c>
    </row>
    <row r="17" customFormat="false" ht="15" hidden="false" customHeight="false" outlineLevel="0" collapsed="false">
      <c r="A17" s="4" t="s">
        <v>22</v>
      </c>
      <c r="B17" s="5"/>
      <c r="C17" s="5"/>
    </row>
    <row r="18" customFormat="false" ht="23.85" hidden="false" customHeight="false" outlineLevel="0" collapsed="false">
      <c r="A18" s="2" t="s">
        <v>23</v>
      </c>
      <c r="B18" s="3" t="s">
        <v>24</v>
      </c>
    </row>
    <row r="19" customFormat="false" ht="23.85" hidden="false" customHeight="false" outlineLevel="0" collapsed="false">
      <c r="A19" s="2" t="s">
        <v>25</v>
      </c>
      <c r="B19" s="3" t="s">
        <v>26</v>
      </c>
    </row>
    <row r="20" customFormat="false" ht="35.05" hidden="false" customHeight="false" outlineLevel="0" collapsed="false">
      <c r="A20" s="2" t="s">
        <v>27</v>
      </c>
      <c r="B20" s="3" t="s">
        <v>28</v>
      </c>
    </row>
    <row r="21" customFormat="false" ht="23.85" hidden="false" customHeight="false" outlineLevel="0" collapsed="false">
      <c r="A21" s="2" t="s">
        <v>29</v>
      </c>
      <c r="B21" s="3" t="s">
        <v>30</v>
      </c>
    </row>
    <row r="22" customFormat="false" ht="23.85" hidden="false" customHeight="false" outlineLevel="0" collapsed="false">
      <c r="A22" s="2" t="s">
        <v>31</v>
      </c>
      <c r="B22" s="3" t="s">
        <v>32</v>
      </c>
    </row>
    <row r="23" customFormat="false" ht="23.85" hidden="false" customHeight="false" outlineLevel="0" collapsed="false">
      <c r="A23" s="2" t="s">
        <v>33</v>
      </c>
      <c r="B23" s="3" t="s">
        <v>34</v>
      </c>
    </row>
    <row r="24" customFormat="false" ht="15" hidden="false" customHeight="false" outlineLevel="0" collapsed="false">
      <c r="A24" s="2" t="s">
        <v>35</v>
      </c>
      <c r="B24" s="3" t="s">
        <v>36</v>
      </c>
    </row>
    <row r="26" customFormat="false" ht="15" hidden="false" customHeight="false" outlineLevel="0" collapsed="false">
      <c r="A26" s="4" t="s">
        <v>37</v>
      </c>
      <c r="B26" s="5"/>
      <c r="C26" s="5"/>
    </row>
    <row r="27" customFormat="false" ht="23.85" hidden="false" customHeight="false" outlineLevel="0" collapsed="false">
      <c r="A27" s="2" t="s">
        <v>38</v>
      </c>
      <c r="B27" s="3" t="s">
        <v>39</v>
      </c>
    </row>
    <row r="28" customFormat="false" ht="23.85" hidden="false" customHeight="false" outlineLevel="0" collapsed="false">
      <c r="A28" s="2" t="s">
        <v>40</v>
      </c>
      <c r="B28" s="3" t="s">
        <v>41</v>
      </c>
    </row>
    <row r="29" customFormat="false" ht="23.85" hidden="false" customHeight="false" outlineLevel="0" collapsed="false">
      <c r="A29" s="2" t="s">
        <v>42</v>
      </c>
      <c r="B29" s="3" t="s">
        <v>43</v>
      </c>
    </row>
    <row r="30" customFormat="false" ht="15" hidden="false" customHeight="false" outlineLevel="0" collapsed="false">
      <c r="A30" s="2" t="s">
        <v>44</v>
      </c>
      <c r="B30" s="3" t="s">
        <v>45</v>
      </c>
    </row>
    <row r="31" customFormat="false" ht="15" hidden="false" customHeight="false" outlineLevel="0" collapsed="false">
      <c r="A31" s="2" t="s">
        <v>46</v>
      </c>
      <c r="B31" s="3" t="s">
        <v>47</v>
      </c>
    </row>
    <row r="32" customFormat="false" ht="23.85" hidden="false" customHeight="false" outlineLevel="0" collapsed="false">
      <c r="A32" s="2" t="s">
        <v>48</v>
      </c>
      <c r="B32" s="3" t="s">
        <v>49</v>
      </c>
    </row>
    <row r="34" customFormat="false" ht="15" hidden="false" customHeight="false" outlineLevel="0" collapsed="false">
      <c r="A34" s="4" t="s">
        <v>50</v>
      </c>
      <c r="B34" s="5"/>
      <c r="C34" s="5"/>
    </row>
    <row r="35" customFormat="false" ht="23.85" hidden="false" customHeight="false" outlineLevel="0" collapsed="false">
      <c r="A35" s="2" t="s">
        <v>51</v>
      </c>
      <c r="B35" s="3" t="s">
        <v>52</v>
      </c>
    </row>
    <row r="36" customFormat="false" ht="23.85" hidden="false" customHeight="false" outlineLevel="0" collapsed="false">
      <c r="A36" s="2" t="s">
        <v>53</v>
      </c>
      <c r="B36" s="3" t="s">
        <v>54</v>
      </c>
    </row>
    <row r="37" customFormat="false" ht="23.85" hidden="false" customHeight="false" outlineLevel="0" collapsed="false">
      <c r="A37" s="2" t="s">
        <v>55</v>
      </c>
      <c r="B37" s="3" t="s">
        <v>56</v>
      </c>
    </row>
    <row r="38" customFormat="false" ht="23.85" hidden="false" customHeight="false" outlineLevel="0" collapsed="false">
      <c r="A38" s="2" t="s">
        <v>57</v>
      </c>
      <c r="B38" s="3" t="s">
        <v>58</v>
      </c>
    </row>
    <row r="39" customFormat="false" ht="23.85" hidden="false" customHeight="false" outlineLevel="0" collapsed="false">
      <c r="A39" s="2" t="s">
        <v>59</v>
      </c>
      <c r="B39" s="3" t="s">
        <v>60</v>
      </c>
    </row>
    <row r="40" customFormat="false" ht="23.85" hidden="false" customHeight="false" outlineLevel="0" collapsed="false">
      <c r="A40" s="2" t="s">
        <v>61</v>
      </c>
      <c r="B40" s="3" t="s">
        <v>62</v>
      </c>
    </row>
    <row r="41" customFormat="false" ht="23.85" hidden="false" customHeight="false" outlineLevel="0" collapsed="false">
      <c r="A41" s="2" t="s">
        <v>63</v>
      </c>
      <c r="B41" s="3" t="s">
        <v>64</v>
      </c>
    </row>
    <row r="42" customFormat="false" ht="15" hidden="false" customHeight="false" outlineLevel="0" collapsed="false">
      <c r="A42" s="2" t="s">
        <v>65</v>
      </c>
      <c r="B42" s="3" t="s">
        <v>66</v>
      </c>
    </row>
    <row r="43" customFormat="false" ht="15" hidden="false" customHeight="false" outlineLevel="0" collapsed="false">
      <c r="A43" s="2" t="s">
        <v>67</v>
      </c>
      <c r="B43" s="3" t="s">
        <v>68</v>
      </c>
    </row>
    <row r="44" customFormat="false" ht="15" hidden="false" customHeight="false" outlineLevel="0" collapsed="false">
      <c r="A44" s="2" t="s">
        <v>69</v>
      </c>
      <c r="B44" s="3" t="s">
        <v>70</v>
      </c>
    </row>
    <row r="46" customFormat="false" ht="15" hidden="false" customHeight="false" outlineLevel="0" collapsed="false">
      <c r="A46" s="4" t="s">
        <v>71</v>
      </c>
      <c r="B46" s="5"/>
      <c r="C46" s="5"/>
    </row>
    <row r="47" customFormat="false" ht="23.85" hidden="false" customHeight="false" outlineLevel="0" collapsed="false">
      <c r="A47" s="2" t="s">
        <v>72</v>
      </c>
      <c r="B47" s="3" t="s">
        <v>73</v>
      </c>
    </row>
    <row r="48" customFormat="false" ht="15" hidden="false" customHeight="false" outlineLevel="0" collapsed="false">
      <c r="A48" s="2" t="s">
        <v>74</v>
      </c>
      <c r="B48" s="3" t="s">
        <v>75</v>
      </c>
    </row>
    <row r="49" customFormat="false" ht="23.85" hidden="false" customHeight="false" outlineLevel="0" collapsed="false">
      <c r="A49" s="2" t="s">
        <v>76</v>
      </c>
      <c r="B49" s="3" t="s">
        <v>77</v>
      </c>
    </row>
    <row r="51" customFormat="false" ht="15" hidden="false" customHeight="false" outlineLevel="0" collapsed="false">
      <c r="A51" s="4" t="s">
        <v>78</v>
      </c>
      <c r="B51" s="5"/>
      <c r="C51" s="5"/>
    </row>
    <row r="52" customFormat="false" ht="15" hidden="false" customHeight="false" outlineLevel="0" collapsed="false">
      <c r="A52" s="6" t="s">
        <v>79</v>
      </c>
      <c r="B52" s="3" t="s">
        <v>80</v>
      </c>
      <c r="C52" s="7" t="n">
        <f aca="false">COUNTIF('2. Scope and Rates'!AB5:AB1000,A52)</f>
        <v>3</v>
      </c>
    </row>
    <row r="53" customFormat="false" ht="15" hidden="false" customHeight="false" outlineLevel="0" collapsed="false">
      <c r="A53" s="8" t="s">
        <v>81</v>
      </c>
      <c r="B53" s="3" t="s">
        <v>82</v>
      </c>
      <c r="C53" s="7" t="n">
        <f aca="false">COUNTIF('2. Scope and Rates'!AB5:AB1000,A53)</f>
        <v>25</v>
      </c>
    </row>
    <row r="54" customFormat="false" ht="15" hidden="false" customHeight="false" outlineLevel="0" collapsed="false">
      <c r="A54" s="9" t="s">
        <v>83</v>
      </c>
      <c r="B54" s="3" t="s">
        <v>84</v>
      </c>
      <c r="C54" s="7" t="n">
        <f aca="false">COUNTIF('2. Scope and Rates'!AB5:AB1000,A54)</f>
        <v>35</v>
      </c>
    </row>
    <row r="55" customFormat="false" ht="15" hidden="false" customHeight="false" outlineLevel="0" collapsed="false">
      <c r="A55" s="10" t="s">
        <v>85</v>
      </c>
      <c r="B55" s="3" t="s">
        <v>86</v>
      </c>
      <c r="C55" s="7" t="n">
        <f aca="false">COUNTIF('2. Scope and Rates'!AB5:AB1000,A55)</f>
        <v>31</v>
      </c>
    </row>
    <row r="56" customFormat="false" ht="15" hidden="false" customHeight="false" outlineLevel="0" collapsed="false">
      <c r="A56" s="11" t="s">
        <v>87</v>
      </c>
      <c r="B56" s="3" t="s">
        <v>88</v>
      </c>
      <c r="C56" s="7" t="n">
        <f aca="false">COUNTIF('2. Scope and Rates'!AB5:AB1000,A56)</f>
        <v>47</v>
      </c>
    </row>
    <row r="57" customFormat="false" ht="15" hidden="false" customHeight="false" outlineLevel="0" collapsed="false">
      <c r="A57" s="12" t="s">
        <v>89</v>
      </c>
      <c r="B57" s="3" t="s">
        <v>90</v>
      </c>
      <c r="C57" s="7" t="n">
        <f aca="false">COUNTIF('2. Scope and Rates'!AB5:AB1000,A57)</f>
        <v>0</v>
      </c>
    </row>
    <row r="58" customFormat="false" ht="15" hidden="false" customHeight="false" outlineLevel="0" collapsed="false">
      <c r="A58" s="12" t="s">
        <v>91</v>
      </c>
      <c r="B58" s="3" t="s">
        <v>92</v>
      </c>
      <c r="C58" s="7" t="n">
        <f aca="false">COUNTIF('2. Scope and Rates'!AB5:AB1000,A58)</f>
        <v>0</v>
      </c>
    </row>
    <row r="60" customFormat="false" ht="15" hidden="false" customHeight="false" outlineLevel="0" collapsed="false">
      <c r="A60" s="4" t="s">
        <v>93</v>
      </c>
      <c r="B60" s="5"/>
      <c r="C60" s="5"/>
    </row>
    <row r="61" customFormat="false" ht="15" hidden="false" customHeight="false" outlineLevel="0" collapsed="false">
      <c r="A61" s="2" t="s">
        <v>94</v>
      </c>
      <c r="C61" s="13" t="n">
        <f aca="false">SUMPRODUCT(('2. Scope and Rates'!A5:A1000&lt;&gt;"")*(COUNTIF('2. Scope and Rates'!A5:A1000,'2. Scope and Rates'!A5:A1000)&gt;1))</f>
        <v>0</v>
      </c>
    </row>
    <row r="62" customFormat="false" ht="23.85" hidden="false" customHeight="false" outlineLevel="0" collapsed="false">
      <c r="A62" s="2" t="s">
        <v>95</v>
      </c>
      <c r="C62" s="13" t="n">
        <f aca="false">SUMPRODUCT(('2. Scope and Rates'!C5:C1000="Item")*(COUNTIFS('2. Scope and Rates'!B5:B1000,'2. Scope and Rates'!B5:B1000,'2. Scope and Rates'!C5:C1000,"Item")&gt;1))</f>
        <v>0</v>
      </c>
    </row>
    <row r="63" customFormat="false" ht="15" hidden="false" customHeight="false" outlineLevel="0" collapsed="false">
      <c r="A63" s="2" t="s">
        <v>96</v>
      </c>
      <c r="C63" s="13" t="n">
        <f aca="false">SUMPRODUCT(('2. Scope and Rates'!C5:C1000="Option")*(COUNTIFS('2. Scope and Rates'!B5:B1000,'2. Scope and Rates'!B5:B1000,'2. Scope and Rates'!C5:C1000,"Item")=0))</f>
        <v>0</v>
      </c>
    </row>
    <row r="64" customFormat="false" ht="15" hidden="false" customHeight="false" outlineLevel="0" collapsed="false">
      <c r="A64" s="2" t="s">
        <v>97</v>
      </c>
      <c r="C64" s="13" t="n">
        <f aca="false">SUMPRODUCT(('2. Scope and Rates'!A5:A1000&lt;&gt;"")*('2. Scope and Rates'!AB5:AB1000=""))</f>
        <v>0</v>
      </c>
    </row>
    <row r="65" customFormat="false" ht="23.85" hidden="false" customHeight="false" outlineLevel="0" collapsed="false">
      <c r="A65" s="2" t="s">
        <v>98</v>
      </c>
      <c r="C65" s="13" t="n">
        <f aca="false">SUMPRODUCT(('2. Scope and Rates'!C5:C1000="Item")*(ROUND('2. Scope and Rates'!AJ5:AJ1000+'2. Scope and Rates'!AL5:AL1000,4)&lt;&gt;1))</f>
        <v>0</v>
      </c>
    </row>
    <row r="66" customFormat="false" ht="23.85" hidden="false" customHeight="false" outlineLevel="0" collapsed="false">
      <c r="A66" s="2" t="s">
        <v>99</v>
      </c>
      <c r="C66" s="13" t="n">
        <f aca="false">SUMPRODUCT(('2. Scope and Rates'!A5:A1000&lt;&gt;"")*(COUNTIFS('2. Scope and Rates'!B5:B1000,'2. Scope and Rates'!B5:B1000,'2. Scope and Rates'!I5:I1000,'2. Scope and Rates'!I5:I1000,'2. Scope and Rates'!J5:J1000,"ALL")=0))</f>
        <v>0</v>
      </c>
    </row>
    <row r="67" customFormat="false" ht="15" hidden="false" customHeight="false" outlineLevel="0" collapsed="false">
      <c r="A67" s="2" t="s">
        <v>100</v>
      </c>
      <c r="C67" s="13" t="n">
        <f aca="false">SUMPRODUCT(--(LEN(TRIM(SUBSTITUTE(SUBSTITUTE(SUBSTITUTE(SUBSTITUTE(SUBSTITUTE(SUBSTITUTE(SUBSTITUTE(SUBSTITUTE('2. Scope and Rates'!AD5:AD1000,"NB",""),"EX",""),"RF",""),"FO",""),"EW",""),"DM",""),"OM",""),"—","")))&gt;0))+SUMPRODUCT(--(LEN(TRIM(SUBSTITUTE(SUBSTITUTE(SUBSTITUTE(SUBSTITUTE(SUBSTITUTE(SUBSTITUTE(SUBSTITUTE(SUBSTITUTE('2. Scope and Rates'!AE5:AE1000,"NB",""),"EX",""),"RF",""),"FO",""),"EW",""),"DM",""),"OM",""),"—","")))&gt;0))</f>
        <v>0</v>
      </c>
    </row>
    <row r="68" customFormat="false" ht="15" hidden="false" customHeight="false" outlineLevel="0" collapsed="false">
      <c r="A68" s="2" t="s">
        <v>101</v>
      </c>
      <c r="C68" s="13" t="n">
        <f aca="false">SUMPRODUCT(--(LEN(TRIM(SUBSTITUTE(SUBSTITUTE(SUBSTITUTE(SUBSTITUTE(SUBSTITUTE(SUBSTITUTE(SUBSTITUTE(SUBSTITUTE(SUBSTITUTE(SUBSTITUTE(SUBSTITUTE('2. Scope and Rates'!AF5:AF1000,"RES",""),"STU",""),"OFF",""),"EDU",""),"HEA",""),"RET",""),"IND",""),"HOS",""),"MIX",""),"OTH",""),"ALL","")))&gt;0))+SUMPRODUCT(--(LEN(TRIM(SUBSTITUTE(SUBSTITUTE(SUBSTITUTE(SUBSTITUTE(SUBSTITUTE(SUBSTITUTE(SUBSTITUTE(SUBSTITUTE(SUBSTITUTE(SUBSTITUTE(SUBSTITUTE('2. Scope and Rates'!J5:J1000,"RES",""),"STU",""),"OFF",""),"EDU",""),"HEA",""),"RET",""),"IND",""),"HOS",""),"MIX",""),"OTH",""),"ALL","")))&gt;0))</f>
        <v>0</v>
      </c>
    </row>
    <row r="69" customFormat="false" ht="15" hidden="false" customHeight="false" outlineLevel="0" collapsed="false">
      <c r="A69" s="2" t="s">
        <v>102</v>
      </c>
      <c r="C69" s="13" t="n">
        <f aca="false">SUMPRODUCT(('2. Scope and Rates'!C5:C1000="Item")*(COUNTIFS('2. Scope and Rates'!B5:B1000,'2. Scope and Rates'!B5:B1000,'2. Scope and Rates'!K5:K1000,"Yes")=0))</f>
        <v>0</v>
      </c>
    </row>
    <row r="70" customFormat="false" ht="23.85" hidden="false" customHeight="false" outlineLevel="0" collapsed="false">
      <c r="A70" s="2" t="s">
        <v>103</v>
      </c>
      <c r="C70" s="13" t="n">
        <f aca="false">SUMPRODUCT(('2. Scope and Rates'!C5:C1000="Item")*('2. Scope and Rates'!H5:H1000="One")*(COUNTIFS('2. Scope and Rates'!B5:B1000,'2. Scope and Rates'!B5:B1000,'2. Scope and Rates'!K5:K1000,"Yes")&gt;1))</f>
        <v>0</v>
      </c>
    </row>
    <row r="71" customFormat="false" ht="15" hidden="false" customHeight="false" outlineLevel="0" collapsed="false">
      <c r="A71" s="2" t="s">
        <v>104</v>
      </c>
      <c r="C71" s="13" t="n">
        <f aca="false">SUMPRODUCT(('2. Scope and Rates'!C5:C1000="Item")*('2. Scope and Rates'!N5:N1000=""))</f>
        <v>0</v>
      </c>
    </row>
    <row r="72" customFormat="false" ht="15" hidden="false" customHeight="false" outlineLevel="0" collapsed="false">
      <c r="A72" s="2" t="s">
        <v>105</v>
      </c>
      <c r="C72" s="13" t="n">
        <f aca="false">SUMPRODUCT(('3. Settings'!A96:A123&lt;&gt;"")*(COUNTIFS('3. Settings'!A96:A123,'3. Settings'!A96:A123,'3. Settings'!B96:B123,"ALL")=0))</f>
        <v>0</v>
      </c>
    </row>
    <row r="73" customFormat="false" ht="15" hidden="false" customHeight="false" outlineLevel="0" collapsed="false">
      <c r="A73" s="2" t="s">
        <v>106</v>
      </c>
      <c r="C73" s="13" t="n">
        <f aca="false">SUMPRODUCT(('3. Settings'!A96:A123&lt;&gt;"")*('3. Settings'!C96:C123=""))</f>
        <v>0</v>
      </c>
    </row>
    <row r="75" customFormat="false" ht="15" hidden="false" customHeight="false" outlineLevel="0" collapsed="false">
      <c r="A75" s="4" t="s">
        <v>107</v>
      </c>
      <c r="B75" s="5"/>
      <c r="C75" s="5"/>
    </row>
    <row r="76" customFormat="false" ht="15" hidden="false" customHeight="false" outlineLevel="0" collapsed="false">
      <c r="A76" s="2" t="s">
        <v>108</v>
      </c>
      <c r="C76" s="13" t="n">
        <f aca="false">COUNTIF('2. Scope and Rates'!C5:C1000,"Item")</f>
        <v>83</v>
      </c>
    </row>
    <row r="77" customFormat="false" ht="15" hidden="false" customHeight="false" outlineLevel="0" collapsed="false">
      <c r="A77" s="2" t="s">
        <v>109</v>
      </c>
      <c r="C77" s="13" t="n">
        <f aca="false">COUNTIF('2. Scope and Rates'!C5:C1000,"Option")</f>
        <v>58</v>
      </c>
    </row>
    <row r="79" customFormat="false" ht="15" hidden="false" customHeight="false" outlineLevel="0" collapsed="false">
      <c r="A79" s="4" t="s">
        <v>110</v>
      </c>
      <c r="B79" s="5"/>
      <c r="C79" s="5"/>
    </row>
    <row r="80" customFormat="false" ht="23.85" hidden="false" customHeight="false" outlineLevel="0" collapsed="false">
      <c r="A80" s="2" t="s">
        <v>111</v>
      </c>
      <c r="B80" s="3" t="s">
        <v>112</v>
      </c>
    </row>
    <row r="81" customFormat="false" ht="23.85" hidden="false" customHeight="false" outlineLevel="0" collapsed="false">
      <c r="A81" s="2" t="s">
        <v>113</v>
      </c>
      <c r="B81" s="3" t="s">
        <v>114</v>
      </c>
    </row>
    <row r="82" customFormat="false" ht="15" hidden="false" customHeight="false" outlineLevel="0" collapsed="false">
      <c r="A82" s="2" t="s">
        <v>115</v>
      </c>
      <c r="B82" s="3" t="s">
        <v>116</v>
      </c>
    </row>
    <row r="83" customFormat="false" ht="35.05" hidden="false" customHeight="false" outlineLevel="0" collapsed="false">
      <c r="A83" s="2" t="s">
        <v>117</v>
      </c>
      <c r="B83" s="3" t="s">
        <v>118</v>
      </c>
    </row>
    <row r="84" customFormat="false" ht="23.85" hidden="false" customHeight="false" outlineLevel="0" collapsed="false">
      <c r="A84" s="2" t="s">
        <v>119</v>
      </c>
      <c r="B84" s="3" t="s">
        <v>120</v>
      </c>
    </row>
    <row r="86" customFormat="false" ht="15" hidden="false" customHeight="false" outlineLevel="0" collapsed="false">
      <c r="A86" s="4" t="s">
        <v>121</v>
      </c>
      <c r="B86" s="5"/>
      <c r="C86" s="5"/>
    </row>
    <row r="87" customFormat="false" ht="15" hidden="false" customHeight="false" outlineLevel="0" collapsed="false">
      <c r="A87" s="2"/>
      <c r="B87" s="3" t="s">
        <v>122</v>
      </c>
    </row>
    <row r="88" customFormat="false" ht="15" hidden="false" customHeight="false" outlineLevel="0" collapsed="false">
      <c r="A88" s="2"/>
      <c r="B88" s="3" t="s">
        <v>123</v>
      </c>
    </row>
    <row r="89" customFormat="false" ht="15" hidden="false" customHeight="false" outlineLevel="0" collapsed="false">
      <c r="A89" s="2"/>
      <c r="B89" s="3" t="s">
        <v>124</v>
      </c>
    </row>
    <row r="90" customFormat="false" ht="15" hidden="false" customHeight="false" outlineLevel="0" collapsed="false">
      <c r="A90" s="2"/>
      <c r="B90" s="3" t="s">
        <v>1308</v>
      </c>
    </row>
    <row r="91" customFormat="false" ht="23.85" hidden="false" customHeight="false" outlineLevel="0" collapsed="false">
      <c r="A91" s="2"/>
      <c r="B91" s="3" t="s">
        <v>1309</v>
      </c>
    </row>
    <row r="93" customFormat="false" ht="15" hidden="false" customHeight="false" outlineLevel="0" collapsed="false">
      <c r="A93" s="4" t="s">
        <v>127</v>
      </c>
      <c r="B93" s="5"/>
      <c r="C93" s="5"/>
    </row>
    <row r="94" customFormat="false" ht="15" hidden="false" customHeight="false" outlineLevel="0" collapsed="false">
      <c r="A94" s="2" t="s">
        <v>1325</v>
      </c>
      <c r="B94" s="3" t="s">
        <v>1326</v>
      </c>
    </row>
    <row r="95" customFormat="false" ht="15" hidden="false" customHeight="false" outlineLevel="0" collapsed="false">
      <c r="A95" s="2" t="s">
        <v>1314</v>
      </c>
      <c r="B95" s="3" t="s">
        <v>1315</v>
      </c>
    </row>
    <row r="96" customFormat="false" ht="15" hidden="false" customHeight="false" outlineLevel="0" collapsed="false">
      <c r="A96" s="2" t="s">
        <v>128</v>
      </c>
      <c r="B96" s="3" t="s">
        <v>129</v>
      </c>
    </row>
    <row r="97" customFormat="false" ht="35.05" hidden="false" customHeight="false" outlineLevel="0" collapsed="false">
      <c r="A97" s="2" t="s">
        <v>130</v>
      </c>
      <c r="B97" s="3" t="s">
        <v>131</v>
      </c>
    </row>
    <row r="98" customFormat="false" ht="23.85" hidden="false" customHeight="false" outlineLevel="0" collapsed="false">
      <c r="A98" s="2" t="s">
        <v>132</v>
      </c>
      <c r="B98" s="3" t="s">
        <v>133</v>
      </c>
    </row>
    <row r="99" customFormat="false" ht="15" hidden="false" customHeight="false" outlineLevel="0" collapsed="false">
      <c r="A99" s="2" t="s">
        <v>134</v>
      </c>
      <c r="B99" s="3" t="s">
        <v>135</v>
      </c>
    </row>
    <row r="100" customFormat="false" ht="15" hidden="false" customHeight="false" outlineLevel="0" collapsed="false">
      <c r="A100" s="2" t="s">
        <v>136</v>
      </c>
      <c r="B100"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11"/>
    <col collapsed="false" customWidth="true" hidden="false" outlineLevel="0" max="2" min="2" style="0" width="9"/>
    <col collapsed="false" customWidth="true" hidden="false" outlineLevel="0" max="3" min="3" style="0" width="8"/>
    <col collapsed="false" customWidth="true" hidden="false" outlineLevel="0" max="4" min="4" style="0" width="20"/>
    <col collapsed="false" customWidth="true" hidden="false" outlineLevel="0" max="5" min="5" style="0" width="18"/>
    <col collapsed="false" customWidth="true" hidden="false" outlineLevel="0" max="6" min="6" style="0" width="24"/>
    <col collapsed="false" customWidth="true" hidden="false" outlineLevel="0" max="7" min="7" style="0" width="38"/>
    <col collapsed="false" customWidth="true" hidden="false" outlineLevel="0" max="8" min="8" style="0" width="8"/>
    <col collapsed="false" customWidth="true" hidden="false" outlineLevel="0" max="9" min="9" style="0" width="30"/>
    <col collapsed="false" customWidth="true" hidden="false" outlineLevel="0" max="10" min="10" style="0" width="18"/>
    <col collapsed="false" customWidth="true" hidden="false" outlineLevel="0" max="11" min="11" style="0" width="8"/>
    <col collapsed="false" customWidth="true" hidden="false" outlineLevel="0" max="12" min="12" style="0" width="12"/>
    <col collapsed="false" customWidth="true" hidden="false" outlineLevel="0" max="13" min="13" style="0" width="14"/>
    <col collapsed="false" customWidth="true" hidden="false" outlineLevel="0" max="14" min="14" style="0" width="36"/>
    <col collapsed="false" customWidth="true" hidden="false" outlineLevel="0" max="15" min="15" style="0" width="7"/>
    <col collapsed="false" customWidth="true" hidden="false" outlineLevel="0" max="16" min="16" style="0" width="11"/>
    <col collapsed="false" customWidth="true" hidden="false" outlineLevel="0" max="17" min="17" style="0" width="9"/>
    <col collapsed="false" customWidth="true" hidden="false" outlineLevel="0" max="18" min="18" style="0" width="7"/>
    <col collapsed="false" customWidth="true" hidden="false" outlineLevel="0" max="19" min="19" style="0" width="11"/>
    <col collapsed="false" customWidth="true" hidden="false" outlineLevel="0" max="27" min="20" style="0" width="9"/>
    <col collapsed="false" customWidth="true" hidden="false" outlineLevel="0" max="28" min="28" style="0" width="19"/>
    <col collapsed="false" customWidth="true" hidden="false" outlineLevel="0" max="29" min="29" style="0" width="50"/>
    <col collapsed="false" customWidth="true" hidden="false" outlineLevel="1" max="30" min="30" style="0" width="30"/>
    <col collapsed="false" customWidth="true" hidden="false" outlineLevel="1" max="31" min="31" style="0" width="24"/>
    <col collapsed="false" customWidth="true" hidden="false" outlineLevel="1" max="32" min="32" style="0" width="26"/>
    <col collapsed="false" customWidth="true" hidden="false" outlineLevel="1" max="33" min="33" style="0" width="32"/>
    <col collapsed="false" customWidth="true" hidden="false" outlineLevel="1" max="34" min="34" style="0" width="40"/>
    <col collapsed="false" customWidth="true" hidden="false" outlineLevel="1" max="35" min="35" style="0" width="8"/>
    <col collapsed="false" customWidth="true" hidden="false" outlineLevel="1" max="36" min="36" style="0" width="7"/>
    <col collapsed="false" customWidth="true" hidden="false" outlineLevel="1" max="37" min="37" style="0" width="8"/>
    <col collapsed="false" customWidth="true" hidden="false" outlineLevel="1" max="38" min="38" style="0" width="7"/>
    <col collapsed="false" customWidth="true" hidden="false" outlineLevel="1" max="39" min="39" style="0" width="22"/>
    <col collapsed="false" customWidth="true" hidden="false" outlineLevel="1" max="40" min="40" style="0" width="30"/>
  </cols>
  <sheetData>
    <row r="1" customFormat="false" ht="17.35" hidden="false" customHeight="false" outlineLevel="0" collapsed="false">
      <c r="A1" s="1" t="s">
        <v>138</v>
      </c>
    </row>
    <row r="2" customFormat="false" ht="15" hidden="false" customHeight="false" outlineLevel="0" collapsed="false">
      <c r="A2" s="14" t="s">
        <v>139</v>
      </c>
    </row>
    <row r="3" customFormat="false" ht="15" hidden="false" customHeight="false" outlineLevel="0" collapsed="false">
      <c r="A3" s="15" t="s">
        <v>140</v>
      </c>
      <c r="B3" s="15"/>
      <c r="C3" s="15"/>
      <c r="D3" s="15" t="s">
        <v>141</v>
      </c>
      <c r="E3" s="15"/>
      <c r="F3" s="15"/>
      <c r="G3" s="15"/>
      <c r="H3" s="15"/>
      <c r="I3" s="16" t="s">
        <v>142</v>
      </c>
      <c r="J3" s="16"/>
      <c r="K3" s="16"/>
      <c r="L3" s="16"/>
      <c r="M3" s="16"/>
      <c r="N3" s="16"/>
      <c r="O3" s="16"/>
      <c r="P3" s="16"/>
      <c r="Q3" s="16"/>
      <c r="R3" s="16"/>
      <c r="S3" s="16"/>
      <c r="T3" s="17" t="s">
        <v>143</v>
      </c>
      <c r="U3" s="17"/>
      <c r="V3" s="17"/>
      <c r="W3" s="17"/>
      <c r="X3" s="17"/>
      <c r="Y3" s="17"/>
      <c r="Z3" s="17"/>
      <c r="AA3" s="17"/>
      <c r="AB3" s="18" t="s">
        <v>144</v>
      </c>
      <c r="AC3" s="18"/>
      <c r="AD3" s="19" t="s">
        <v>145</v>
      </c>
      <c r="AE3" s="19"/>
      <c r="AF3" s="19"/>
      <c r="AG3" s="19"/>
      <c r="AH3" s="19"/>
      <c r="AI3" s="20" t="s">
        <v>146</v>
      </c>
      <c r="AJ3" s="20"/>
      <c r="AK3" s="20"/>
      <c r="AL3" s="20"/>
      <c r="AM3" s="20"/>
      <c r="AN3" s="20"/>
    </row>
    <row r="4" customFormat="false" ht="42" hidden="false" customHeight="true" outlineLevel="0" collapsed="false">
      <c r="A4" s="21" t="s">
        <v>147</v>
      </c>
      <c r="B4" s="22" t="s">
        <v>148</v>
      </c>
      <c r="C4" s="22" t="s">
        <v>149</v>
      </c>
      <c r="D4" s="21" t="s">
        <v>150</v>
      </c>
      <c r="E4" s="21" t="s">
        <v>151</v>
      </c>
      <c r="F4" s="21" t="s">
        <v>152</v>
      </c>
      <c r="G4" s="21" t="s">
        <v>153</v>
      </c>
      <c r="H4" s="22" t="s">
        <v>29</v>
      </c>
      <c r="I4" s="21" t="s">
        <v>154</v>
      </c>
      <c r="J4" s="21" t="s">
        <v>155</v>
      </c>
      <c r="K4" s="22" t="s">
        <v>156</v>
      </c>
      <c r="L4" s="21" t="s">
        <v>157</v>
      </c>
      <c r="M4" s="21" t="s">
        <v>158</v>
      </c>
      <c r="N4" s="21" t="s">
        <v>159</v>
      </c>
      <c r="O4" s="22" t="s">
        <v>160</v>
      </c>
      <c r="P4" s="21" t="s">
        <v>161</v>
      </c>
      <c r="Q4" s="22" t="s">
        <v>162</v>
      </c>
      <c r="R4" s="22" t="s">
        <v>35</v>
      </c>
      <c r="S4" s="21" t="s">
        <v>163</v>
      </c>
      <c r="T4" s="22" t="s">
        <v>164</v>
      </c>
      <c r="U4" s="22" t="s">
        <v>165</v>
      </c>
      <c r="V4" s="22" t="s">
        <v>166</v>
      </c>
      <c r="W4" s="22" t="s">
        <v>167</v>
      </c>
      <c r="X4" s="22" t="s">
        <v>168</v>
      </c>
      <c r="Y4" s="22" t="s">
        <v>169</v>
      </c>
      <c r="Z4" s="22" t="s">
        <v>170</v>
      </c>
      <c r="AA4" s="22" t="s">
        <v>171</v>
      </c>
      <c r="AB4" s="21" t="s">
        <v>172</v>
      </c>
      <c r="AC4" s="21" t="s">
        <v>173</v>
      </c>
      <c r="AD4" s="21" t="s">
        <v>174</v>
      </c>
      <c r="AE4" s="21" t="s">
        <v>175</v>
      </c>
      <c r="AF4" s="21" t="s">
        <v>176</v>
      </c>
      <c r="AG4" s="21" t="s">
        <v>27</v>
      </c>
      <c r="AH4" s="21" t="s">
        <v>177</v>
      </c>
      <c r="AI4" s="22" t="s">
        <v>178</v>
      </c>
      <c r="AJ4" s="22" t="s">
        <v>179</v>
      </c>
      <c r="AK4" s="22" t="s">
        <v>180</v>
      </c>
      <c r="AL4" s="22" t="s">
        <v>181</v>
      </c>
      <c r="AM4" s="21" t="s">
        <v>182</v>
      </c>
      <c r="AN4" s="21" t="s">
        <v>183</v>
      </c>
    </row>
    <row r="5" customFormat="false" ht="46.25" hidden="false" customHeight="false" outlineLevel="0" collapsed="false">
      <c r="A5" s="23" t="s">
        <v>184</v>
      </c>
      <c r="B5" s="23" t="s">
        <v>185</v>
      </c>
      <c r="C5" s="24" t="s">
        <v>152</v>
      </c>
      <c r="D5" s="23" t="s">
        <v>186</v>
      </c>
      <c r="E5" s="23" t="s">
        <v>187</v>
      </c>
      <c r="F5" s="25" t="s">
        <v>188</v>
      </c>
      <c r="G5" s="23" t="s">
        <v>189</v>
      </c>
      <c r="H5" s="3" t="s">
        <v>190</v>
      </c>
      <c r="I5" s="3" t="s">
        <v>191</v>
      </c>
      <c r="J5" s="3" t="s">
        <v>192</v>
      </c>
      <c r="K5" s="26" t="s">
        <v>193</v>
      </c>
      <c r="L5" s="3" t="s">
        <v>194</v>
      </c>
      <c r="M5" s="3" t="s">
        <v>195</v>
      </c>
      <c r="N5" s="3" t="s">
        <v>196</v>
      </c>
      <c r="O5" s="26" t="n">
        <v>1</v>
      </c>
      <c r="P5" s="26"/>
      <c r="Q5" s="26" t="s">
        <v>193</v>
      </c>
      <c r="R5" s="27"/>
      <c r="S5" s="3"/>
      <c r="T5" s="28" t="n">
        <v>25</v>
      </c>
      <c r="U5" s="28" t="n">
        <v>40</v>
      </c>
      <c r="V5" s="28" t="n">
        <v>90</v>
      </c>
      <c r="W5" s="28" t="n">
        <v>40</v>
      </c>
      <c r="X5" s="28" t="n">
        <v>90</v>
      </c>
      <c r="Y5" s="28" t="n">
        <v>10</v>
      </c>
      <c r="Z5" s="28" t="n">
        <v>20</v>
      </c>
      <c r="AA5" s="28" t="n">
        <v>40</v>
      </c>
      <c r="AB5" s="29" t="s">
        <v>85</v>
      </c>
      <c r="AC5" s="3" t="s">
        <v>197</v>
      </c>
      <c r="AD5" s="3" t="s">
        <v>198</v>
      </c>
      <c r="AE5" s="3" t="s">
        <v>187</v>
      </c>
      <c r="AF5" s="3" t="s">
        <v>192</v>
      </c>
      <c r="AG5" s="3" t="s">
        <v>199</v>
      </c>
      <c r="AH5" s="3"/>
      <c r="AI5" s="26" t="s">
        <v>200</v>
      </c>
      <c r="AJ5" s="30" t="n">
        <v>1</v>
      </c>
      <c r="AK5" s="31"/>
      <c r="AL5" s="32"/>
      <c r="AM5" s="3" t="s">
        <v>200</v>
      </c>
      <c r="AN5" s="3"/>
    </row>
    <row r="6" customFormat="false" ht="35.05" hidden="false" customHeight="false" outlineLevel="0" collapsed="false">
      <c r="A6" s="23" t="s">
        <v>201</v>
      </c>
      <c r="B6" s="23" t="s">
        <v>202</v>
      </c>
      <c r="C6" s="24" t="s">
        <v>152</v>
      </c>
      <c r="D6" s="23" t="s">
        <v>186</v>
      </c>
      <c r="E6" s="23" t="s">
        <v>187</v>
      </c>
      <c r="F6" s="25" t="s">
        <v>203</v>
      </c>
      <c r="G6" s="23" t="s">
        <v>204</v>
      </c>
      <c r="H6" s="3" t="s">
        <v>190</v>
      </c>
      <c r="I6" s="3" t="s">
        <v>191</v>
      </c>
      <c r="J6" s="3" t="s">
        <v>192</v>
      </c>
      <c r="K6" s="26" t="s">
        <v>193</v>
      </c>
      <c r="L6" s="3" t="s">
        <v>205</v>
      </c>
      <c r="M6" s="3" t="s">
        <v>195</v>
      </c>
      <c r="N6" s="3" t="s">
        <v>206</v>
      </c>
      <c r="O6" s="26" t="n">
        <v>4</v>
      </c>
      <c r="P6" s="26"/>
      <c r="Q6" s="26" t="s">
        <v>193</v>
      </c>
      <c r="R6" s="27"/>
      <c r="S6" s="3"/>
      <c r="T6" s="28" t="n">
        <v>35</v>
      </c>
      <c r="U6" s="28" t="n">
        <v>60</v>
      </c>
      <c r="V6" s="28" t="n">
        <v>120</v>
      </c>
      <c r="W6" s="28" t="n">
        <v>60</v>
      </c>
      <c r="X6" s="28" t="n">
        <v>120</v>
      </c>
      <c r="Y6" s="28" t="n">
        <v>60</v>
      </c>
      <c r="Z6" s="28" t="n">
        <v>120</v>
      </c>
      <c r="AA6" s="28" t="n">
        <v>60</v>
      </c>
      <c r="AB6" s="29" t="s">
        <v>85</v>
      </c>
      <c r="AC6" s="3" t="s">
        <v>207</v>
      </c>
      <c r="AD6" s="3" t="s">
        <v>208</v>
      </c>
      <c r="AE6" s="3" t="s">
        <v>209</v>
      </c>
      <c r="AF6" s="3" t="s">
        <v>192</v>
      </c>
      <c r="AG6" s="3"/>
      <c r="AH6" s="3" t="s">
        <v>210</v>
      </c>
      <c r="AI6" s="26" t="s">
        <v>211</v>
      </c>
      <c r="AJ6" s="30" t="n">
        <v>1</v>
      </c>
      <c r="AK6" s="31"/>
      <c r="AL6" s="32"/>
      <c r="AM6" s="3" t="s">
        <v>211</v>
      </c>
      <c r="AN6" s="3"/>
    </row>
    <row r="7" customFormat="false" ht="23.85" hidden="false" customHeight="false" outlineLevel="0" collapsed="false">
      <c r="A7" s="23" t="s">
        <v>212</v>
      </c>
      <c r="B7" s="23" t="s">
        <v>213</v>
      </c>
      <c r="C7" s="24" t="s">
        <v>152</v>
      </c>
      <c r="D7" s="23" t="s">
        <v>186</v>
      </c>
      <c r="E7" s="23" t="s">
        <v>187</v>
      </c>
      <c r="F7" s="25" t="s">
        <v>214</v>
      </c>
      <c r="G7" s="23" t="s">
        <v>215</v>
      </c>
      <c r="H7" s="3" t="s">
        <v>190</v>
      </c>
      <c r="I7" s="3" t="s">
        <v>191</v>
      </c>
      <c r="J7" s="3" t="s">
        <v>192</v>
      </c>
      <c r="K7" s="26" t="s">
        <v>193</v>
      </c>
      <c r="L7" s="3" t="s">
        <v>194</v>
      </c>
      <c r="M7" s="3" t="s">
        <v>195</v>
      </c>
      <c r="N7" s="3" t="s">
        <v>216</v>
      </c>
      <c r="O7" s="26" t="n">
        <v>1</v>
      </c>
      <c r="P7" s="33" t="s">
        <v>217</v>
      </c>
      <c r="Q7" s="26" t="s">
        <v>193</v>
      </c>
      <c r="R7" s="27"/>
      <c r="S7" s="3"/>
      <c r="T7" s="28" t="n">
        <v>15</v>
      </c>
      <c r="U7" s="28" t="n">
        <v>25</v>
      </c>
      <c r="V7" s="28" t="n">
        <v>35</v>
      </c>
      <c r="W7" s="28" t="n">
        <v>0</v>
      </c>
      <c r="X7" s="28" t="n">
        <v>0</v>
      </c>
      <c r="Y7" s="28" t="n">
        <v>0</v>
      </c>
      <c r="Z7" s="28" t="n">
        <v>0</v>
      </c>
      <c r="AA7" s="28" t="n">
        <v>0</v>
      </c>
      <c r="AB7" s="34" t="s">
        <v>83</v>
      </c>
      <c r="AC7" s="3" t="s">
        <v>218</v>
      </c>
      <c r="AD7" s="3" t="s">
        <v>219</v>
      </c>
      <c r="AE7" s="3" t="s">
        <v>187</v>
      </c>
      <c r="AF7" s="3" t="s">
        <v>192</v>
      </c>
      <c r="AG7" s="3"/>
      <c r="AH7" s="3"/>
      <c r="AI7" s="26" t="s">
        <v>211</v>
      </c>
      <c r="AJ7" s="30" t="n">
        <v>1</v>
      </c>
      <c r="AK7" s="31"/>
      <c r="AL7" s="32"/>
      <c r="AM7" s="3" t="s">
        <v>220</v>
      </c>
      <c r="AN7" s="3"/>
    </row>
    <row r="8" customFormat="false" ht="23.85" hidden="false" customHeight="false" outlineLevel="0" collapsed="false">
      <c r="A8" s="23" t="s">
        <v>221</v>
      </c>
      <c r="B8" s="23" t="s">
        <v>222</v>
      </c>
      <c r="C8" s="24" t="s">
        <v>152</v>
      </c>
      <c r="D8" s="23" t="s">
        <v>186</v>
      </c>
      <c r="E8" s="23" t="s">
        <v>187</v>
      </c>
      <c r="F8" s="25" t="s">
        <v>223</v>
      </c>
      <c r="G8" s="23" t="s">
        <v>224</v>
      </c>
      <c r="H8" s="3" t="s">
        <v>190</v>
      </c>
      <c r="I8" s="3" t="s">
        <v>191</v>
      </c>
      <c r="J8" s="3" t="s">
        <v>192</v>
      </c>
      <c r="K8" s="26" t="s">
        <v>193</v>
      </c>
      <c r="L8" s="3" t="s">
        <v>194</v>
      </c>
      <c r="M8" s="3" t="s">
        <v>195</v>
      </c>
      <c r="N8" s="3" t="s">
        <v>225</v>
      </c>
      <c r="O8" s="26" t="n">
        <v>4</v>
      </c>
      <c r="P8" s="26"/>
      <c r="Q8" s="26" t="s">
        <v>193</v>
      </c>
      <c r="R8" s="27"/>
      <c r="S8" s="3"/>
      <c r="T8" s="28" t="n">
        <v>15</v>
      </c>
      <c r="U8" s="28" t="n">
        <v>35</v>
      </c>
      <c r="V8" s="28" t="n">
        <v>60</v>
      </c>
      <c r="W8" s="28" t="n">
        <v>35</v>
      </c>
      <c r="X8" s="28" t="n">
        <v>60</v>
      </c>
      <c r="Y8" s="28" t="n">
        <v>35</v>
      </c>
      <c r="Z8" s="28" t="n">
        <v>60</v>
      </c>
      <c r="AA8" s="28" t="n">
        <v>30</v>
      </c>
      <c r="AB8" s="34" t="s">
        <v>83</v>
      </c>
      <c r="AC8" s="3" t="s">
        <v>226</v>
      </c>
      <c r="AD8" s="3" t="s">
        <v>208</v>
      </c>
      <c r="AE8" s="3" t="s">
        <v>187</v>
      </c>
      <c r="AF8" s="3" t="s">
        <v>192</v>
      </c>
      <c r="AG8" s="3"/>
      <c r="AH8" s="3"/>
      <c r="AI8" s="26" t="s">
        <v>200</v>
      </c>
      <c r="AJ8" s="30" t="n">
        <v>1</v>
      </c>
      <c r="AK8" s="31"/>
      <c r="AL8" s="32"/>
      <c r="AM8" s="3" t="s">
        <v>227</v>
      </c>
      <c r="AN8" s="3"/>
    </row>
    <row r="9" customFormat="false" ht="23.85" hidden="false" customHeight="false" outlineLevel="0" collapsed="false">
      <c r="A9" s="23" t="s">
        <v>228</v>
      </c>
      <c r="B9" s="23" t="s">
        <v>229</v>
      </c>
      <c r="C9" s="24" t="s">
        <v>152</v>
      </c>
      <c r="D9" s="23" t="s">
        <v>186</v>
      </c>
      <c r="E9" s="23" t="s">
        <v>187</v>
      </c>
      <c r="F9" s="25" t="s">
        <v>230</v>
      </c>
      <c r="G9" s="23" t="s">
        <v>231</v>
      </c>
      <c r="H9" s="3" t="s">
        <v>190</v>
      </c>
      <c r="I9" s="3" t="s">
        <v>191</v>
      </c>
      <c r="J9" s="3" t="s">
        <v>192</v>
      </c>
      <c r="K9" s="26" t="s">
        <v>193</v>
      </c>
      <c r="L9" s="3" t="s">
        <v>194</v>
      </c>
      <c r="M9" s="3" t="s">
        <v>195</v>
      </c>
      <c r="N9" s="3" t="s">
        <v>232</v>
      </c>
      <c r="O9" s="26" t="n">
        <v>4</v>
      </c>
      <c r="P9" s="26"/>
      <c r="Q9" s="26" t="s">
        <v>193</v>
      </c>
      <c r="R9" s="27"/>
      <c r="S9" s="3"/>
      <c r="T9" s="28" t="n">
        <v>0</v>
      </c>
      <c r="U9" s="28" t="n">
        <v>0</v>
      </c>
      <c r="V9" s="28" t="n">
        <v>0</v>
      </c>
      <c r="W9" s="28" t="n">
        <v>20</v>
      </c>
      <c r="X9" s="28" t="n">
        <v>35</v>
      </c>
      <c r="Y9" s="28" t="n">
        <v>20</v>
      </c>
      <c r="Z9" s="28" t="n">
        <v>35</v>
      </c>
      <c r="AA9" s="28" t="n">
        <v>20</v>
      </c>
      <c r="AB9" s="34" t="s">
        <v>83</v>
      </c>
      <c r="AC9" s="3" t="s">
        <v>233</v>
      </c>
      <c r="AD9" s="3" t="s">
        <v>234</v>
      </c>
      <c r="AE9" s="3" t="s">
        <v>187</v>
      </c>
      <c r="AF9" s="3" t="s">
        <v>192</v>
      </c>
      <c r="AG9" s="3"/>
      <c r="AH9" s="3"/>
      <c r="AI9" s="26" t="s">
        <v>235</v>
      </c>
      <c r="AJ9" s="30" t="n">
        <v>1</v>
      </c>
      <c r="AK9" s="31"/>
      <c r="AL9" s="32"/>
      <c r="AM9" s="3" t="s">
        <v>235</v>
      </c>
      <c r="AN9" s="3" t="s">
        <v>236</v>
      </c>
    </row>
    <row r="10" customFormat="false" ht="23.85" hidden="false" customHeight="false" outlineLevel="0" collapsed="false">
      <c r="A10" s="23" t="s">
        <v>237</v>
      </c>
      <c r="B10" s="23" t="s">
        <v>238</v>
      </c>
      <c r="C10" s="24" t="s">
        <v>152</v>
      </c>
      <c r="D10" s="23" t="s">
        <v>186</v>
      </c>
      <c r="E10" s="23" t="s">
        <v>187</v>
      </c>
      <c r="F10" s="25" t="s">
        <v>239</v>
      </c>
      <c r="G10" s="23" t="s">
        <v>240</v>
      </c>
      <c r="H10" s="3" t="s">
        <v>190</v>
      </c>
      <c r="I10" s="3" t="s">
        <v>191</v>
      </c>
      <c r="J10" s="3" t="s">
        <v>192</v>
      </c>
      <c r="K10" s="26" t="s">
        <v>193</v>
      </c>
      <c r="L10" s="3" t="s">
        <v>241</v>
      </c>
      <c r="M10" s="3" t="s">
        <v>242</v>
      </c>
      <c r="N10" s="3" t="s">
        <v>243</v>
      </c>
      <c r="O10" s="26" t="n">
        <v>1</v>
      </c>
      <c r="P10" s="26"/>
      <c r="Q10" s="26" t="s">
        <v>244</v>
      </c>
      <c r="R10" s="27"/>
      <c r="S10" s="3"/>
      <c r="T10" s="28" t="n">
        <v>400</v>
      </c>
      <c r="U10" s="28" t="n">
        <v>750</v>
      </c>
      <c r="V10" s="28" t="n">
        <v>1500</v>
      </c>
      <c r="W10" s="28" t="n">
        <v>750</v>
      </c>
      <c r="X10" s="28" t="n">
        <v>1500</v>
      </c>
      <c r="Y10" s="28" t="n">
        <v>750</v>
      </c>
      <c r="Z10" s="28" t="n">
        <v>1500</v>
      </c>
      <c r="AA10" s="28" t="n">
        <v>750</v>
      </c>
      <c r="AB10" s="35" t="s">
        <v>87</v>
      </c>
      <c r="AC10" s="3" t="s">
        <v>245</v>
      </c>
      <c r="AD10" s="3" t="s">
        <v>208</v>
      </c>
      <c r="AE10" s="3" t="s">
        <v>187</v>
      </c>
      <c r="AF10" s="3" t="s">
        <v>192</v>
      </c>
      <c r="AG10" s="3"/>
      <c r="AH10" s="3"/>
      <c r="AI10" s="26" t="s">
        <v>246</v>
      </c>
      <c r="AJ10" s="30" t="n">
        <v>1</v>
      </c>
      <c r="AK10" s="31"/>
      <c r="AL10" s="32"/>
      <c r="AM10" s="3" t="s">
        <v>247</v>
      </c>
      <c r="AN10" s="3"/>
    </row>
    <row r="11" customFormat="false" ht="15" hidden="false" customHeight="false" outlineLevel="0" collapsed="false">
      <c r="A11" s="23" t="s">
        <v>248</v>
      </c>
      <c r="B11" s="23" t="s">
        <v>249</v>
      </c>
      <c r="C11" s="24" t="s">
        <v>152</v>
      </c>
      <c r="D11" s="23" t="s">
        <v>186</v>
      </c>
      <c r="E11" s="23" t="s">
        <v>187</v>
      </c>
      <c r="F11" s="25" t="s">
        <v>250</v>
      </c>
      <c r="G11" s="23" t="s">
        <v>251</v>
      </c>
      <c r="H11" s="3" t="s">
        <v>190</v>
      </c>
      <c r="I11" s="3" t="s">
        <v>252</v>
      </c>
      <c r="J11" s="3" t="s">
        <v>192</v>
      </c>
      <c r="K11" s="26"/>
      <c r="L11" s="3" t="s">
        <v>253</v>
      </c>
      <c r="M11" s="3" t="s">
        <v>254</v>
      </c>
      <c r="N11" s="3" t="s">
        <v>111</v>
      </c>
      <c r="O11" s="26" t="n">
        <v>1</v>
      </c>
      <c r="P11" s="26"/>
      <c r="Q11" s="26" t="s">
        <v>244</v>
      </c>
      <c r="R11" s="27"/>
      <c r="S11" s="3"/>
      <c r="T11" s="28" t="n">
        <v>15000</v>
      </c>
      <c r="U11" s="28" t="n">
        <v>15000</v>
      </c>
      <c r="V11" s="28" t="n">
        <v>15000</v>
      </c>
      <c r="W11" s="28" t="n">
        <v>15000</v>
      </c>
      <c r="X11" s="28" t="n">
        <v>15000</v>
      </c>
      <c r="Y11" s="28" t="n">
        <v>15000</v>
      </c>
      <c r="Z11" s="28" t="n">
        <v>15000</v>
      </c>
      <c r="AA11" s="28" t="n">
        <v>15000</v>
      </c>
      <c r="AB11" s="35" t="s">
        <v>87</v>
      </c>
      <c r="AC11" s="3" t="s">
        <v>255</v>
      </c>
      <c r="AD11" s="3" t="s">
        <v>208</v>
      </c>
      <c r="AE11" s="3" t="s">
        <v>187</v>
      </c>
      <c r="AF11" s="3" t="s">
        <v>192</v>
      </c>
      <c r="AG11" s="3"/>
      <c r="AH11" s="3"/>
      <c r="AI11" s="26" t="s">
        <v>220</v>
      </c>
      <c r="AJ11" s="30" t="n">
        <v>1</v>
      </c>
      <c r="AK11" s="31"/>
      <c r="AL11" s="32"/>
      <c r="AM11" s="3" t="s">
        <v>256</v>
      </c>
      <c r="AN11" s="3"/>
    </row>
    <row r="12" customFormat="false" ht="15" hidden="false" customHeight="false" outlineLevel="0" collapsed="false">
      <c r="A12" s="3" t="s">
        <v>257</v>
      </c>
      <c r="B12" s="3" t="s">
        <v>249</v>
      </c>
      <c r="C12" s="26" t="s">
        <v>154</v>
      </c>
      <c r="D12" s="36" t="str">
        <f aca="false">D11</f>
        <v>0 Facilitating works</v>
      </c>
      <c r="E12" s="36" t="str">
        <f aca="false">E11</f>
        <v>—</v>
      </c>
      <c r="F12" s="36" t="str">
        <f aca="false">F11</f>
        <v>Service diversions</v>
      </c>
      <c r="G12" s="3"/>
      <c r="H12" s="3"/>
      <c r="I12" s="3" t="s">
        <v>258</v>
      </c>
      <c r="J12" s="3" t="s">
        <v>192</v>
      </c>
      <c r="K12" s="26" t="s">
        <v>193</v>
      </c>
      <c r="L12" s="3" t="s">
        <v>253</v>
      </c>
      <c r="M12" s="3" t="s">
        <v>254</v>
      </c>
      <c r="N12" s="3"/>
      <c r="O12" s="26" t="n">
        <v>1</v>
      </c>
      <c r="P12" s="26"/>
      <c r="Q12" s="26" t="s">
        <v>244</v>
      </c>
      <c r="R12" s="27"/>
      <c r="S12" s="3"/>
      <c r="T12" s="28" t="n">
        <v>50000</v>
      </c>
      <c r="U12" s="28" t="n">
        <v>50000</v>
      </c>
      <c r="V12" s="28" t="n">
        <v>50000</v>
      </c>
      <c r="W12" s="28" t="n">
        <v>50000</v>
      </c>
      <c r="X12" s="28" t="n">
        <v>50000</v>
      </c>
      <c r="Y12" s="28" t="n">
        <v>50000</v>
      </c>
      <c r="Z12" s="28" t="n">
        <v>50000</v>
      </c>
      <c r="AA12" s="28" t="n">
        <v>50000</v>
      </c>
      <c r="AB12" s="35" t="s">
        <v>87</v>
      </c>
      <c r="AC12" s="3" t="s">
        <v>255</v>
      </c>
      <c r="AD12" s="3"/>
      <c r="AE12" s="3"/>
      <c r="AF12" s="3"/>
      <c r="AG12" s="3"/>
      <c r="AH12" s="3"/>
      <c r="AI12" s="31"/>
      <c r="AJ12" s="32"/>
      <c r="AK12" s="31"/>
      <c r="AL12" s="32"/>
      <c r="AM12" s="3"/>
      <c r="AN12" s="3"/>
    </row>
    <row r="13" customFormat="false" ht="15" hidden="false" customHeight="false" outlineLevel="0" collapsed="false">
      <c r="A13" s="3" t="s">
        <v>259</v>
      </c>
      <c r="B13" s="3" t="s">
        <v>249</v>
      </c>
      <c r="C13" s="26" t="s">
        <v>154</v>
      </c>
      <c r="D13" s="36" t="str">
        <f aca="false">D11</f>
        <v>0 Facilitating works</v>
      </c>
      <c r="E13" s="36" t="str">
        <f aca="false">E11</f>
        <v>—</v>
      </c>
      <c r="F13" s="36" t="str">
        <f aca="false">F11</f>
        <v>Service diversions</v>
      </c>
      <c r="G13" s="3"/>
      <c r="H13" s="3"/>
      <c r="I13" s="3" t="s">
        <v>260</v>
      </c>
      <c r="J13" s="3" t="s">
        <v>192</v>
      </c>
      <c r="K13" s="26"/>
      <c r="L13" s="3" t="s">
        <v>253</v>
      </c>
      <c r="M13" s="3" t="s">
        <v>254</v>
      </c>
      <c r="N13" s="3"/>
      <c r="O13" s="26" t="n">
        <v>1</v>
      </c>
      <c r="P13" s="26"/>
      <c r="Q13" s="26" t="s">
        <v>244</v>
      </c>
      <c r="R13" s="27"/>
      <c r="S13" s="3"/>
      <c r="T13" s="28" t="n">
        <v>150000</v>
      </c>
      <c r="U13" s="28" t="n">
        <v>150000</v>
      </c>
      <c r="V13" s="28" t="n">
        <v>150000</v>
      </c>
      <c r="W13" s="28" t="n">
        <v>150000</v>
      </c>
      <c r="X13" s="28" t="n">
        <v>150000</v>
      </c>
      <c r="Y13" s="28" t="n">
        <v>150000</v>
      </c>
      <c r="Z13" s="28" t="n">
        <v>150000</v>
      </c>
      <c r="AA13" s="28" t="n">
        <v>150000</v>
      </c>
      <c r="AB13" s="35" t="s">
        <v>87</v>
      </c>
      <c r="AC13" s="3" t="s">
        <v>255</v>
      </c>
      <c r="AD13" s="3"/>
      <c r="AE13" s="3"/>
      <c r="AF13" s="3"/>
      <c r="AG13" s="3"/>
      <c r="AH13" s="3"/>
      <c r="AI13" s="31"/>
      <c r="AJ13" s="32"/>
      <c r="AK13" s="31"/>
      <c r="AL13" s="32"/>
      <c r="AM13" s="3"/>
      <c r="AN13" s="3"/>
    </row>
    <row r="14" customFormat="false" ht="23.85" hidden="false" customHeight="false" outlineLevel="0" collapsed="false">
      <c r="A14" s="37" t="s">
        <v>261</v>
      </c>
      <c r="B14" s="37" t="s">
        <v>262</v>
      </c>
      <c r="C14" s="38" t="s">
        <v>152</v>
      </c>
      <c r="D14" s="37" t="s">
        <v>263</v>
      </c>
      <c r="E14" s="37" t="s">
        <v>187</v>
      </c>
      <c r="F14" s="39" t="s">
        <v>264</v>
      </c>
      <c r="G14" s="37" t="s">
        <v>265</v>
      </c>
      <c r="H14" s="40" t="s">
        <v>190</v>
      </c>
      <c r="I14" s="40" t="s">
        <v>266</v>
      </c>
      <c r="J14" s="40" t="s">
        <v>192</v>
      </c>
      <c r="K14" s="41" t="s">
        <v>193</v>
      </c>
      <c r="L14" s="40" t="s">
        <v>194</v>
      </c>
      <c r="M14" s="40" t="s">
        <v>267</v>
      </c>
      <c r="N14" s="40" t="s">
        <v>232</v>
      </c>
      <c r="O14" s="41" t="n">
        <v>4</v>
      </c>
      <c r="P14" s="41"/>
      <c r="Q14" s="41" t="s">
        <v>193</v>
      </c>
      <c r="R14" s="42"/>
      <c r="S14" s="40"/>
      <c r="T14" s="43" t="n">
        <v>0</v>
      </c>
      <c r="U14" s="43" t="n">
        <v>0</v>
      </c>
      <c r="V14" s="43" t="n">
        <v>0</v>
      </c>
      <c r="W14" s="43" t="n">
        <v>80</v>
      </c>
      <c r="X14" s="43" t="n">
        <v>120</v>
      </c>
      <c r="Y14" s="43" t="n">
        <v>80</v>
      </c>
      <c r="Z14" s="43" t="n">
        <v>120</v>
      </c>
      <c r="AA14" s="43" t="n">
        <v>0</v>
      </c>
      <c r="AB14" s="44" t="s">
        <v>83</v>
      </c>
      <c r="AC14" s="40" t="s">
        <v>268</v>
      </c>
      <c r="AD14" s="40" t="s">
        <v>269</v>
      </c>
      <c r="AE14" s="40" t="s">
        <v>270</v>
      </c>
      <c r="AF14" s="40" t="s">
        <v>192</v>
      </c>
      <c r="AG14" s="40"/>
      <c r="AH14" s="40"/>
      <c r="AI14" s="41" t="s">
        <v>271</v>
      </c>
      <c r="AJ14" s="45" t="n">
        <v>1</v>
      </c>
      <c r="AK14" s="46"/>
      <c r="AL14" s="47"/>
      <c r="AM14" s="40" t="s">
        <v>272</v>
      </c>
      <c r="AN14" s="40"/>
    </row>
    <row r="15" customFormat="false" ht="23.85" hidden="false" customHeight="false" outlineLevel="0" collapsed="false">
      <c r="A15" s="3" t="s">
        <v>273</v>
      </c>
      <c r="B15" s="3" t="s">
        <v>262</v>
      </c>
      <c r="C15" s="26" t="s">
        <v>154</v>
      </c>
      <c r="D15" s="36" t="str">
        <f aca="false">D14</f>
        <v>1 Substructure</v>
      </c>
      <c r="E15" s="36" t="str">
        <f aca="false">E14</f>
        <v>—</v>
      </c>
      <c r="F15" s="36" t="str">
        <f aca="false">F14</f>
        <v>Foundations</v>
      </c>
      <c r="G15" s="3"/>
      <c r="H15" s="3"/>
      <c r="I15" s="3" t="s">
        <v>274</v>
      </c>
      <c r="J15" s="3" t="s">
        <v>192</v>
      </c>
      <c r="K15" s="26"/>
      <c r="L15" s="3" t="s">
        <v>194</v>
      </c>
      <c r="M15" s="3" t="s">
        <v>267</v>
      </c>
      <c r="N15" s="3"/>
      <c r="O15" s="26" t="n">
        <v>4</v>
      </c>
      <c r="P15" s="26"/>
      <c r="Q15" s="26" t="s">
        <v>193</v>
      </c>
      <c r="R15" s="27"/>
      <c r="S15" s="3"/>
      <c r="T15" s="28" t="n">
        <v>0</v>
      </c>
      <c r="U15" s="28" t="n">
        <v>0</v>
      </c>
      <c r="V15" s="28" t="n">
        <v>0</v>
      </c>
      <c r="W15" s="28" t="n">
        <v>160</v>
      </c>
      <c r="X15" s="28" t="n">
        <v>220</v>
      </c>
      <c r="Y15" s="28" t="n">
        <v>160</v>
      </c>
      <c r="Z15" s="28" t="n">
        <v>250</v>
      </c>
      <c r="AA15" s="28" t="n">
        <v>0</v>
      </c>
      <c r="AB15" s="34" t="s">
        <v>83</v>
      </c>
      <c r="AC15" s="3" t="s">
        <v>275</v>
      </c>
      <c r="AD15" s="3"/>
      <c r="AE15" s="3"/>
      <c r="AF15" s="3"/>
      <c r="AG15" s="3"/>
      <c r="AH15" s="3"/>
      <c r="AI15" s="31"/>
      <c r="AJ15" s="32"/>
      <c r="AK15" s="31"/>
      <c r="AL15" s="32"/>
      <c r="AM15" s="3"/>
      <c r="AN15" s="3"/>
    </row>
    <row r="16" customFormat="false" ht="23.85" hidden="false" customHeight="false" outlineLevel="0" collapsed="false">
      <c r="A16" s="3" t="s">
        <v>276</v>
      </c>
      <c r="B16" s="3" t="s">
        <v>262</v>
      </c>
      <c r="C16" s="26" t="s">
        <v>154</v>
      </c>
      <c r="D16" s="36" t="str">
        <f aca="false">D14</f>
        <v>1 Substructure</v>
      </c>
      <c r="E16" s="36" t="str">
        <f aca="false">E14</f>
        <v>—</v>
      </c>
      <c r="F16" s="36" t="str">
        <f aca="false">F14</f>
        <v>Foundations</v>
      </c>
      <c r="G16" s="3"/>
      <c r="H16" s="3"/>
      <c r="I16" s="3" t="s">
        <v>277</v>
      </c>
      <c r="J16" s="3" t="s">
        <v>192</v>
      </c>
      <c r="K16" s="26"/>
      <c r="L16" s="3" t="s">
        <v>194</v>
      </c>
      <c r="M16" s="3" t="s">
        <v>267</v>
      </c>
      <c r="N16" s="3"/>
      <c r="O16" s="26" t="n">
        <v>4</v>
      </c>
      <c r="P16" s="26"/>
      <c r="Q16" s="26" t="s">
        <v>193</v>
      </c>
      <c r="R16" s="27" t="n">
        <v>1</v>
      </c>
      <c r="S16" s="3" t="s">
        <v>261</v>
      </c>
      <c r="T16" s="28" t="n">
        <f aca="false">T14*$R16</f>
        <v>0</v>
      </c>
      <c r="U16" s="28" t="n">
        <f aca="false">U14*$R16</f>
        <v>0</v>
      </c>
      <c r="V16" s="28" t="n">
        <f aca="false">V14*$R16</f>
        <v>0</v>
      </c>
      <c r="W16" s="28" t="n">
        <f aca="false">W14*$R16</f>
        <v>80</v>
      </c>
      <c r="X16" s="28" t="n">
        <f aca="false">X14*$R16</f>
        <v>120</v>
      </c>
      <c r="Y16" s="28" t="n">
        <f aca="false">Y14*$R16</f>
        <v>80</v>
      </c>
      <c r="Z16" s="28" t="n">
        <f aca="false">Z14*$R16</f>
        <v>120</v>
      </c>
      <c r="AA16" s="28" t="n">
        <f aca="false">AA14*$R16</f>
        <v>0</v>
      </c>
      <c r="AB16" s="29" t="s">
        <v>85</v>
      </c>
      <c r="AC16" s="3" t="s">
        <v>278</v>
      </c>
      <c r="AD16" s="3"/>
      <c r="AE16" s="3"/>
      <c r="AF16" s="3"/>
      <c r="AG16" s="3"/>
      <c r="AH16" s="3" t="s">
        <v>279</v>
      </c>
      <c r="AI16" s="31"/>
      <c r="AJ16" s="32"/>
      <c r="AK16" s="31"/>
      <c r="AL16" s="32"/>
      <c r="AM16" s="3"/>
      <c r="AN16" s="3"/>
    </row>
    <row r="17" customFormat="false" ht="23.85" hidden="false" customHeight="false" outlineLevel="0" collapsed="false">
      <c r="A17" s="23" t="s">
        <v>280</v>
      </c>
      <c r="B17" s="23" t="s">
        <v>281</v>
      </c>
      <c r="C17" s="24" t="s">
        <v>152</v>
      </c>
      <c r="D17" s="23" t="s">
        <v>263</v>
      </c>
      <c r="E17" s="23" t="s">
        <v>187</v>
      </c>
      <c r="F17" s="25" t="s">
        <v>282</v>
      </c>
      <c r="G17" s="23" t="s">
        <v>283</v>
      </c>
      <c r="H17" s="3" t="s">
        <v>190</v>
      </c>
      <c r="I17" s="3" t="s">
        <v>191</v>
      </c>
      <c r="J17" s="3" t="s">
        <v>192</v>
      </c>
      <c r="K17" s="26" t="s">
        <v>193</v>
      </c>
      <c r="L17" s="3" t="s">
        <v>194</v>
      </c>
      <c r="M17" s="3" t="s">
        <v>267</v>
      </c>
      <c r="N17" s="3" t="s">
        <v>232</v>
      </c>
      <c r="O17" s="26" t="n">
        <v>4</v>
      </c>
      <c r="P17" s="26"/>
      <c r="Q17" s="26" t="s">
        <v>193</v>
      </c>
      <c r="R17" s="27"/>
      <c r="S17" s="3"/>
      <c r="T17" s="28" t="n">
        <v>0</v>
      </c>
      <c r="U17" s="28" t="n">
        <v>0</v>
      </c>
      <c r="V17" s="28" t="n">
        <v>0</v>
      </c>
      <c r="W17" s="28" t="n">
        <v>90</v>
      </c>
      <c r="X17" s="28" t="n">
        <v>140</v>
      </c>
      <c r="Y17" s="28" t="n">
        <v>90</v>
      </c>
      <c r="Z17" s="28" t="n">
        <v>140</v>
      </c>
      <c r="AA17" s="28" t="n">
        <v>0</v>
      </c>
      <c r="AB17" s="34" t="s">
        <v>83</v>
      </c>
      <c r="AC17" s="3" t="s">
        <v>284</v>
      </c>
      <c r="AD17" s="3" t="s">
        <v>269</v>
      </c>
      <c r="AE17" s="3" t="s">
        <v>270</v>
      </c>
      <c r="AF17" s="3" t="s">
        <v>192</v>
      </c>
      <c r="AG17" s="3"/>
      <c r="AH17" s="3"/>
      <c r="AI17" s="26" t="s">
        <v>271</v>
      </c>
      <c r="AJ17" s="30" t="n">
        <v>1</v>
      </c>
      <c r="AK17" s="31"/>
      <c r="AL17" s="32"/>
      <c r="AM17" s="3" t="s">
        <v>285</v>
      </c>
      <c r="AN17" s="3"/>
    </row>
    <row r="18" customFormat="false" ht="35.05" hidden="false" customHeight="false" outlineLevel="0" collapsed="false">
      <c r="A18" s="23" t="s">
        <v>286</v>
      </c>
      <c r="B18" s="23" t="s">
        <v>287</v>
      </c>
      <c r="C18" s="24" t="s">
        <v>152</v>
      </c>
      <c r="D18" s="23" t="s">
        <v>263</v>
      </c>
      <c r="E18" s="23" t="s">
        <v>187</v>
      </c>
      <c r="F18" s="25" t="s">
        <v>288</v>
      </c>
      <c r="G18" s="23" t="s">
        <v>289</v>
      </c>
      <c r="H18" s="3" t="s">
        <v>190</v>
      </c>
      <c r="I18" s="3" t="s">
        <v>191</v>
      </c>
      <c r="J18" s="3" t="s">
        <v>192</v>
      </c>
      <c r="K18" s="26" t="s">
        <v>193</v>
      </c>
      <c r="L18" s="3" t="s">
        <v>290</v>
      </c>
      <c r="M18" s="3" t="s">
        <v>267</v>
      </c>
      <c r="N18" s="3" t="s">
        <v>232</v>
      </c>
      <c r="O18" s="26" t="n">
        <v>4</v>
      </c>
      <c r="P18" s="26"/>
      <c r="Q18" s="26" t="s">
        <v>193</v>
      </c>
      <c r="R18" s="27"/>
      <c r="S18" s="3"/>
      <c r="T18" s="28" t="n">
        <v>0</v>
      </c>
      <c r="U18" s="28" t="n">
        <v>0</v>
      </c>
      <c r="V18" s="28" t="n">
        <v>0</v>
      </c>
      <c r="W18" s="28" t="n">
        <v>1000</v>
      </c>
      <c r="X18" s="28" t="n">
        <v>1750</v>
      </c>
      <c r="Y18" s="28" t="n">
        <v>1000</v>
      </c>
      <c r="Z18" s="28" t="n">
        <v>1750</v>
      </c>
      <c r="AA18" s="28" t="n">
        <v>0</v>
      </c>
      <c r="AB18" s="29" t="s">
        <v>85</v>
      </c>
      <c r="AC18" s="3" t="s">
        <v>291</v>
      </c>
      <c r="AD18" s="3" t="s">
        <v>269</v>
      </c>
      <c r="AE18" s="3" t="s">
        <v>187</v>
      </c>
      <c r="AF18" s="3" t="s">
        <v>192</v>
      </c>
      <c r="AG18" s="3"/>
      <c r="AH18" s="3" t="s">
        <v>292</v>
      </c>
      <c r="AI18" s="26" t="s">
        <v>271</v>
      </c>
      <c r="AJ18" s="30" t="n">
        <v>1</v>
      </c>
      <c r="AK18" s="31"/>
      <c r="AL18" s="32"/>
      <c r="AM18" s="3" t="s">
        <v>293</v>
      </c>
      <c r="AN18" s="3"/>
    </row>
    <row r="19" customFormat="false" ht="23.85" hidden="false" customHeight="false" outlineLevel="0" collapsed="false">
      <c r="A19" s="37" t="s">
        <v>294</v>
      </c>
      <c r="B19" s="37" t="s">
        <v>295</v>
      </c>
      <c r="C19" s="38" t="s">
        <v>152</v>
      </c>
      <c r="D19" s="37" t="s">
        <v>296</v>
      </c>
      <c r="E19" s="37" t="s">
        <v>297</v>
      </c>
      <c r="F19" s="39" t="s">
        <v>298</v>
      </c>
      <c r="G19" s="37" t="s">
        <v>299</v>
      </c>
      <c r="H19" s="40" t="s">
        <v>190</v>
      </c>
      <c r="I19" s="40" t="s">
        <v>191</v>
      </c>
      <c r="J19" s="40" t="s">
        <v>192</v>
      </c>
      <c r="K19" s="41" t="s">
        <v>193</v>
      </c>
      <c r="L19" s="40" t="s">
        <v>194</v>
      </c>
      <c r="M19" s="40" t="s">
        <v>195</v>
      </c>
      <c r="N19" s="40" t="s">
        <v>216</v>
      </c>
      <c r="O19" s="41" t="n">
        <v>4</v>
      </c>
      <c r="P19" s="41"/>
      <c r="Q19" s="41" t="s">
        <v>193</v>
      </c>
      <c r="R19" s="42"/>
      <c r="S19" s="40"/>
      <c r="T19" s="43" t="n">
        <v>0</v>
      </c>
      <c r="U19" s="43" t="n">
        <v>20</v>
      </c>
      <c r="V19" s="43" t="n">
        <v>40</v>
      </c>
      <c r="W19" s="43" t="n">
        <v>350</v>
      </c>
      <c r="X19" s="43" t="n">
        <v>550</v>
      </c>
      <c r="Y19" s="43" t="n">
        <v>130</v>
      </c>
      <c r="Z19" s="43" t="n">
        <v>200</v>
      </c>
      <c r="AA19" s="43" t="n">
        <v>0</v>
      </c>
      <c r="AB19" s="44" t="s">
        <v>83</v>
      </c>
      <c r="AC19" s="40" t="s">
        <v>300</v>
      </c>
      <c r="AD19" s="40" t="s">
        <v>269</v>
      </c>
      <c r="AE19" s="40" t="s">
        <v>270</v>
      </c>
      <c r="AF19" s="40" t="s">
        <v>192</v>
      </c>
      <c r="AG19" s="40"/>
      <c r="AH19" s="40"/>
      <c r="AI19" s="41" t="s">
        <v>301</v>
      </c>
      <c r="AJ19" s="45" t="n">
        <v>1</v>
      </c>
      <c r="AK19" s="46"/>
      <c r="AL19" s="47"/>
      <c r="AM19" s="40" t="s">
        <v>301</v>
      </c>
      <c r="AN19" s="40"/>
    </row>
    <row r="20" customFormat="false" ht="23.85" hidden="false" customHeight="false" outlineLevel="0" collapsed="false">
      <c r="A20" s="23" t="s">
        <v>302</v>
      </c>
      <c r="B20" s="23" t="s">
        <v>303</v>
      </c>
      <c r="C20" s="24" t="s">
        <v>152</v>
      </c>
      <c r="D20" s="23" t="s">
        <v>296</v>
      </c>
      <c r="E20" s="23" t="s">
        <v>297</v>
      </c>
      <c r="F20" s="25" t="s">
        <v>304</v>
      </c>
      <c r="G20" s="23" t="s">
        <v>305</v>
      </c>
      <c r="H20" s="3" t="s">
        <v>190</v>
      </c>
      <c r="I20" s="3" t="s">
        <v>191</v>
      </c>
      <c r="J20" s="3" t="s">
        <v>192</v>
      </c>
      <c r="K20" s="26" t="s">
        <v>193</v>
      </c>
      <c r="L20" s="3" t="s">
        <v>194</v>
      </c>
      <c r="M20" s="3" t="s">
        <v>306</v>
      </c>
      <c r="N20" s="3" t="s">
        <v>307</v>
      </c>
      <c r="O20" s="26" t="n">
        <v>4</v>
      </c>
      <c r="P20" s="26"/>
      <c r="Q20" s="26" t="s">
        <v>193</v>
      </c>
      <c r="R20" s="27"/>
      <c r="S20" s="3"/>
      <c r="T20" s="28" t="n">
        <v>0</v>
      </c>
      <c r="U20" s="28" t="n">
        <v>15</v>
      </c>
      <c r="V20" s="28" t="n">
        <v>30</v>
      </c>
      <c r="W20" s="28" t="n">
        <v>78</v>
      </c>
      <c r="X20" s="28" t="n">
        <v>110</v>
      </c>
      <c r="Y20" s="28" t="n">
        <v>65</v>
      </c>
      <c r="Z20" s="28" t="n">
        <v>95</v>
      </c>
      <c r="AA20" s="28" t="n">
        <v>0</v>
      </c>
      <c r="AB20" s="34" t="s">
        <v>83</v>
      </c>
      <c r="AC20" s="3" t="s">
        <v>308</v>
      </c>
      <c r="AD20" s="3" t="s">
        <v>269</v>
      </c>
      <c r="AE20" s="3" t="s">
        <v>270</v>
      </c>
      <c r="AF20" s="3" t="s">
        <v>192</v>
      </c>
      <c r="AG20" s="3" t="s">
        <v>309</v>
      </c>
      <c r="AH20" s="3"/>
      <c r="AI20" s="26" t="s">
        <v>310</v>
      </c>
      <c r="AJ20" s="30" t="n">
        <v>1</v>
      </c>
      <c r="AK20" s="31"/>
      <c r="AL20" s="32"/>
      <c r="AM20" s="3" t="s">
        <v>310</v>
      </c>
      <c r="AN20" s="3"/>
    </row>
    <row r="21" customFormat="false" ht="23.85" hidden="false" customHeight="false" outlineLevel="0" collapsed="false">
      <c r="A21" s="23" t="s">
        <v>311</v>
      </c>
      <c r="B21" s="23" t="s">
        <v>312</v>
      </c>
      <c r="C21" s="24" t="s">
        <v>152</v>
      </c>
      <c r="D21" s="23" t="s">
        <v>296</v>
      </c>
      <c r="E21" s="23" t="s">
        <v>297</v>
      </c>
      <c r="F21" s="25" t="s">
        <v>313</v>
      </c>
      <c r="G21" s="23" t="s">
        <v>314</v>
      </c>
      <c r="H21" s="3" t="s">
        <v>190</v>
      </c>
      <c r="I21" s="3" t="s">
        <v>191</v>
      </c>
      <c r="J21" s="3" t="s">
        <v>192</v>
      </c>
      <c r="K21" s="26" t="s">
        <v>193</v>
      </c>
      <c r="L21" s="3" t="s">
        <v>194</v>
      </c>
      <c r="M21" s="3" t="s">
        <v>195</v>
      </c>
      <c r="N21" s="3" t="s">
        <v>216</v>
      </c>
      <c r="O21" s="26" t="n">
        <v>2</v>
      </c>
      <c r="P21" s="26"/>
      <c r="Q21" s="26" t="s">
        <v>193</v>
      </c>
      <c r="R21" s="27"/>
      <c r="S21" s="3"/>
      <c r="T21" s="28" t="n">
        <v>10</v>
      </c>
      <c r="U21" s="28" t="n">
        <v>15</v>
      </c>
      <c r="V21" s="28" t="n">
        <v>25</v>
      </c>
      <c r="W21" s="28" t="n">
        <v>20</v>
      </c>
      <c r="X21" s="28" t="n">
        <v>35</v>
      </c>
      <c r="Y21" s="28" t="n">
        <v>20</v>
      </c>
      <c r="Z21" s="28" t="n">
        <v>35</v>
      </c>
      <c r="AA21" s="28" t="n">
        <v>0</v>
      </c>
      <c r="AB21" s="34" t="s">
        <v>83</v>
      </c>
      <c r="AC21" s="3" t="s">
        <v>315</v>
      </c>
      <c r="AD21" s="3" t="s">
        <v>316</v>
      </c>
      <c r="AE21" s="3" t="s">
        <v>270</v>
      </c>
      <c r="AF21" s="3" t="s">
        <v>192</v>
      </c>
      <c r="AG21" s="3" t="s">
        <v>309</v>
      </c>
      <c r="AH21" s="3"/>
      <c r="AI21" s="26" t="s">
        <v>317</v>
      </c>
      <c r="AJ21" s="30" t="n">
        <v>1</v>
      </c>
      <c r="AK21" s="31"/>
      <c r="AL21" s="32"/>
      <c r="AM21" s="3" t="s">
        <v>317</v>
      </c>
      <c r="AN21" s="3"/>
    </row>
    <row r="22" customFormat="false" ht="23.85" hidden="false" customHeight="false" outlineLevel="0" collapsed="false">
      <c r="A22" s="23" t="s">
        <v>318</v>
      </c>
      <c r="B22" s="23" t="s">
        <v>319</v>
      </c>
      <c r="C22" s="24" t="s">
        <v>152</v>
      </c>
      <c r="D22" s="23" t="s">
        <v>296</v>
      </c>
      <c r="E22" s="23" t="s">
        <v>297</v>
      </c>
      <c r="F22" s="25" t="s">
        <v>320</v>
      </c>
      <c r="G22" s="23" t="s">
        <v>321</v>
      </c>
      <c r="H22" s="3" t="s">
        <v>190</v>
      </c>
      <c r="I22" s="3" t="s">
        <v>191</v>
      </c>
      <c r="J22" s="3" t="s">
        <v>192</v>
      </c>
      <c r="K22" s="26" t="s">
        <v>193</v>
      </c>
      <c r="L22" s="3" t="s">
        <v>322</v>
      </c>
      <c r="M22" s="3" t="s">
        <v>323</v>
      </c>
      <c r="N22" s="3" t="s">
        <v>243</v>
      </c>
      <c r="O22" s="26" t="n">
        <v>4</v>
      </c>
      <c r="P22" s="26"/>
      <c r="Q22" s="26" t="s">
        <v>193</v>
      </c>
      <c r="R22" s="27"/>
      <c r="S22" s="3"/>
      <c r="T22" s="28" t="n">
        <v>180</v>
      </c>
      <c r="U22" s="28" t="n">
        <v>250</v>
      </c>
      <c r="V22" s="28" t="n">
        <v>350</v>
      </c>
      <c r="W22" s="28" t="n">
        <v>250</v>
      </c>
      <c r="X22" s="28" t="n">
        <v>350</v>
      </c>
      <c r="Y22" s="28" t="n">
        <v>250</v>
      </c>
      <c r="Z22" s="28" t="n">
        <v>350</v>
      </c>
      <c r="AA22" s="28" t="n">
        <v>0</v>
      </c>
      <c r="AB22" s="35" t="s">
        <v>87</v>
      </c>
      <c r="AC22" s="3" t="s">
        <v>324</v>
      </c>
      <c r="AD22" s="3" t="s">
        <v>325</v>
      </c>
      <c r="AE22" s="3" t="s">
        <v>187</v>
      </c>
      <c r="AF22" s="3" t="s">
        <v>326</v>
      </c>
      <c r="AG22" s="3"/>
      <c r="AH22" s="3"/>
      <c r="AI22" s="26" t="s">
        <v>310</v>
      </c>
      <c r="AJ22" s="30" t="n">
        <v>1</v>
      </c>
      <c r="AK22" s="31"/>
      <c r="AL22" s="32"/>
      <c r="AM22" s="3" t="s">
        <v>327</v>
      </c>
      <c r="AN22" s="3"/>
    </row>
    <row r="23" customFormat="false" ht="23.85" hidden="false" customHeight="false" outlineLevel="0" collapsed="false">
      <c r="A23" s="23" t="s">
        <v>328</v>
      </c>
      <c r="B23" s="23" t="s">
        <v>329</v>
      </c>
      <c r="C23" s="24" t="s">
        <v>152</v>
      </c>
      <c r="D23" s="23" t="s">
        <v>296</v>
      </c>
      <c r="E23" s="23" t="s">
        <v>330</v>
      </c>
      <c r="F23" s="25" t="s">
        <v>331</v>
      </c>
      <c r="G23" s="23" t="s">
        <v>332</v>
      </c>
      <c r="H23" s="3" t="s">
        <v>190</v>
      </c>
      <c r="I23" s="3" t="s">
        <v>191</v>
      </c>
      <c r="J23" s="3" t="s">
        <v>192</v>
      </c>
      <c r="K23" s="26" t="s">
        <v>193</v>
      </c>
      <c r="L23" s="3" t="s">
        <v>194</v>
      </c>
      <c r="M23" s="3" t="s">
        <v>267</v>
      </c>
      <c r="N23" s="3" t="s">
        <v>232</v>
      </c>
      <c r="O23" s="26" t="n">
        <v>1</v>
      </c>
      <c r="P23" s="26"/>
      <c r="Q23" s="26" t="s">
        <v>193</v>
      </c>
      <c r="R23" s="27"/>
      <c r="S23" s="3"/>
      <c r="T23" s="28" t="n">
        <v>35</v>
      </c>
      <c r="U23" s="28" t="n">
        <v>55</v>
      </c>
      <c r="V23" s="28" t="n">
        <v>90</v>
      </c>
      <c r="W23" s="28" t="n">
        <v>150</v>
      </c>
      <c r="X23" s="28" t="n">
        <v>250</v>
      </c>
      <c r="Y23" s="28" t="n">
        <v>75</v>
      </c>
      <c r="Z23" s="28" t="n">
        <v>120</v>
      </c>
      <c r="AA23" s="28" t="n">
        <v>0</v>
      </c>
      <c r="AB23" s="34" t="s">
        <v>83</v>
      </c>
      <c r="AC23" s="3" t="s">
        <v>333</v>
      </c>
      <c r="AD23" s="3" t="s">
        <v>316</v>
      </c>
      <c r="AE23" s="3" t="s">
        <v>270</v>
      </c>
      <c r="AF23" s="3" t="s">
        <v>192</v>
      </c>
      <c r="AG23" s="3"/>
      <c r="AH23" s="3"/>
      <c r="AI23" s="26" t="s">
        <v>334</v>
      </c>
      <c r="AJ23" s="30" t="n">
        <v>1</v>
      </c>
      <c r="AK23" s="31"/>
      <c r="AL23" s="32"/>
      <c r="AM23" s="3" t="s">
        <v>334</v>
      </c>
      <c r="AN23" s="3"/>
    </row>
    <row r="24" customFormat="false" ht="23.85" hidden="false" customHeight="false" outlineLevel="0" collapsed="false">
      <c r="A24" s="23" t="s">
        <v>335</v>
      </c>
      <c r="B24" s="23" t="s">
        <v>336</v>
      </c>
      <c r="C24" s="24" t="s">
        <v>152</v>
      </c>
      <c r="D24" s="23" t="s">
        <v>296</v>
      </c>
      <c r="E24" s="23" t="s">
        <v>330</v>
      </c>
      <c r="F24" s="25" t="s">
        <v>337</v>
      </c>
      <c r="G24" s="23" t="s">
        <v>338</v>
      </c>
      <c r="H24" s="3" t="s">
        <v>190</v>
      </c>
      <c r="I24" s="3" t="s">
        <v>191</v>
      </c>
      <c r="J24" s="3" t="s">
        <v>192</v>
      </c>
      <c r="K24" s="26" t="s">
        <v>193</v>
      </c>
      <c r="L24" s="3" t="s">
        <v>194</v>
      </c>
      <c r="M24" s="3" t="s">
        <v>195</v>
      </c>
      <c r="N24" s="3" t="s">
        <v>216</v>
      </c>
      <c r="O24" s="26" t="n">
        <v>1</v>
      </c>
      <c r="P24" s="26"/>
      <c r="Q24" s="26" t="s">
        <v>193</v>
      </c>
      <c r="R24" s="27"/>
      <c r="S24" s="3"/>
      <c r="T24" s="28" t="n">
        <v>30</v>
      </c>
      <c r="U24" s="28" t="n">
        <v>60</v>
      </c>
      <c r="V24" s="28" t="n">
        <v>110</v>
      </c>
      <c r="W24" s="28" t="n">
        <v>450</v>
      </c>
      <c r="X24" s="28" t="n">
        <v>650</v>
      </c>
      <c r="Y24" s="28" t="n">
        <v>450</v>
      </c>
      <c r="Z24" s="28" t="n">
        <v>650</v>
      </c>
      <c r="AA24" s="28" t="n">
        <v>0</v>
      </c>
      <c r="AB24" s="34" t="s">
        <v>83</v>
      </c>
      <c r="AC24" s="3" t="s">
        <v>339</v>
      </c>
      <c r="AD24" s="3" t="s">
        <v>316</v>
      </c>
      <c r="AE24" s="3" t="s">
        <v>270</v>
      </c>
      <c r="AF24" s="3" t="s">
        <v>192</v>
      </c>
      <c r="AG24" s="3"/>
      <c r="AH24" s="3"/>
      <c r="AI24" s="26" t="s">
        <v>340</v>
      </c>
      <c r="AJ24" s="30" t="n">
        <v>1</v>
      </c>
      <c r="AK24" s="31"/>
      <c r="AL24" s="32"/>
      <c r="AM24" s="3" t="s">
        <v>340</v>
      </c>
      <c r="AN24" s="3"/>
    </row>
    <row r="25" customFormat="false" ht="23.85" hidden="false" customHeight="false" outlineLevel="0" collapsed="false">
      <c r="A25" s="23" t="s">
        <v>341</v>
      </c>
      <c r="B25" s="23" t="s">
        <v>342</v>
      </c>
      <c r="C25" s="24" t="s">
        <v>152</v>
      </c>
      <c r="D25" s="23" t="s">
        <v>296</v>
      </c>
      <c r="E25" s="23" t="s">
        <v>330</v>
      </c>
      <c r="F25" s="25" t="s">
        <v>343</v>
      </c>
      <c r="G25" s="23" t="s">
        <v>344</v>
      </c>
      <c r="H25" s="3" t="s">
        <v>190</v>
      </c>
      <c r="I25" s="3" t="s">
        <v>191</v>
      </c>
      <c r="J25" s="3" t="s">
        <v>192</v>
      </c>
      <c r="K25" s="26" t="s">
        <v>193</v>
      </c>
      <c r="L25" s="3" t="s">
        <v>194</v>
      </c>
      <c r="M25" s="3" t="s">
        <v>195</v>
      </c>
      <c r="N25" s="3" t="s">
        <v>216</v>
      </c>
      <c r="O25" s="26" t="n">
        <v>1</v>
      </c>
      <c r="P25" s="26"/>
      <c r="Q25" s="26" t="s">
        <v>193</v>
      </c>
      <c r="R25" s="27"/>
      <c r="S25" s="3"/>
      <c r="T25" s="28" t="n">
        <v>100</v>
      </c>
      <c r="U25" s="28" t="n">
        <v>150</v>
      </c>
      <c r="V25" s="28" t="n">
        <v>200</v>
      </c>
      <c r="W25" s="28" t="n">
        <v>250</v>
      </c>
      <c r="X25" s="28" t="n">
        <v>350</v>
      </c>
      <c r="Y25" s="28" t="n">
        <v>250</v>
      </c>
      <c r="Z25" s="28" t="n">
        <v>350</v>
      </c>
      <c r="AA25" s="28" t="n">
        <v>0</v>
      </c>
      <c r="AB25" s="34" t="s">
        <v>83</v>
      </c>
      <c r="AC25" s="3" t="s">
        <v>345</v>
      </c>
      <c r="AD25" s="3" t="s">
        <v>316</v>
      </c>
      <c r="AE25" s="3" t="s">
        <v>270</v>
      </c>
      <c r="AF25" s="3" t="s">
        <v>192</v>
      </c>
      <c r="AG25" s="3"/>
      <c r="AH25" s="3"/>
      <c r="AI25" s="26" t="s">
        <v>346</v>
      </c>
      <c r="AJ25" s="30" t="n">
        <v>1</v>
      </c>
      <c r="AK25" s="31"/>
      <c r="AL25" s="32"/>
      <c r="AM25" s="3" t="s">
        <v>346</v>
      </c>
      <c r="AN25" s="3"/>
    </row>
    <row r="26" customFormat="false" ht="23.85" hidden="false" customHeight="false" outlineLevel="0" collapsed="false">
      <c r="A26" s="23" t="s">
        <v>347</v>
      </c>
      <c r="B26" s="23" t="s">
        <v>348</v>
      </c>
      <c r="C26" s="24" t="s">
        <v>152</v>
      </c>
      <c r="D26" s="23" t="s">
        <v>296</v>
      </c>
      <c r="E26" s="23" t="s">
        <v>349</v>
      </c>
      <c r="F26" s="25" t="s">
        <v>350</v>
      </c>
      <c r="G26" s="23" t="s">
        <v>351</v>
      </c>
      <c r="H26" s="3" t="s">
        <v>190</v>
      </c>
      <c r="I26" s="3" t="s">
        <v>191</v>
      </c>
      <c r="J26" s="3" t="s">
        <v>192</v>
      </c>
      <c r="K26" s="26" t="s">
        <v>193</v>
      </c>
      <c r="L26" s="3" t="s">
        <v>194</v>
      </c>
      <c r="M26" s="3" t="s">
        <v>195</v>
      </c>
      <c r="N26" s="3" t="s">
        <v>216</v>
      </c>
      <c r="O26" s="26" t="n">
        <v>4</v>
      </c>
      <c r="P26" s="33" t="s">
        <v>117</v>
      </c>
      <c r="Q26" s="26" t="s">
        <v>193</v>
      </c>
      <c r="R26" s="27"/>
      <c r="S26" s="3"/>
      <c r="T26" s="28" t="n">
        <v>50</v>
      </c>
      <c r="U26" s="28" t="n">
        <v>80</v>
      </c>
      <c r="V26" s="28" t="n">
        <v>120</v>
      </c>
      <c r="W26" s="28" t="n">
        <v>80</v>
      </c>
      <c r="X26" s="28" t="n">
        <v>120</v>
      </c>
      <c r="Y26" s="28" t="n">
        <v>80</v>
      </c>
      <c r="Z26" s="28" t="n">
        <v>120</v>
      </c>
      <c r="AA26" s="28" t="n">
        <v>0</v>
      </c>
      <c r="AB26" s="34" t="s">
        <v>83</v>
      </c>
      <c r="AC26" s="3" t="s">
        <v>352</v>
      </c>
      <c r="AD26" s="3" t="s">
        <v>325</v>
      </c>
      <c r="AE26" s="3" t="s">
        <v>270</v>
      </c>
      <c r="AF26" s="3" t="s">
        <v>192</v>
      </c>
      <c r="AG26" s="3"/>
      <c r="AH26" s="3"/>
      <c r="AI26" s="26" t="s">
        <v>353</v>
      </c>
      <c r="AJ26" s="30" t="n">
        <v>1</v>
      </c>
      <c r="AK26" s="31"/>
      <c r="AL26" s="32"/>
      <c r="AM26" s="3" t="s">
        <v>353</v>
      </c>
      <c r="AN26" s="3"/>
    </row>
    <row r="27" customFormat="false" ht="23.85" hidden="false" customHeight="false" outlineLevel="0" collapsed="false">
      <c r="A27" s="23" t="s">
        <v>354</v>
      </c>
      <c r="B27" s="23" t="s">
        <v>355</v>
      </c>
      <c r="C27" s="24" t="s">
        <v>152</v>
      </c>
      <c r="D27" s="23" t="s">
        <v>296</v>
      </c>
      <c r="E27" s="23" t="s">
        <v>349</v>
      </c>
      <c r="F27" s="25" t="s">
        <v>356</v>
      </c>
      <c r="G27" s="23" t="s">
        <v>357</v>
      </c>
      <c r="H27" s="3" t="s">
        <v>190</v>
      </c>
      <c r="I27" s="3" t="s">
        <v>191</v>
      </c>
      <c r="J27" s="3" t="s">
        <v>192</v>
      </c>
      <c r="K27" s="26" t="s">
        <v>193</v>
      </c>
      <c r="L27" s="3" t="s">
        <v>194</v>
      </c>
      <c r="M27" s="3" t="s">
        <v>195</v>
      </c>
      <c r="N27" s="3" t="s">
        <v>216</v>
      </c>
      <c r="O27" s="26" t="n">
        <v>1</v>
      </c>
      <c r="P27" s="33" t="s">
        <v>117</v>
      </c>
      <c r="Q27" s="26" t="s">
        <v>193</v>
      </c>
      <c r="R27" s="27"/>
      <c r="S27" s="3"/>
      <c r="T27" s="28" t="n">
        <v>15</v>
      </c>
      <c r="U27" s="28" t="n">
        <v>35</v>
      </c>
      <c r="V27" s="28" t="n">
        <v>60</v>
      </c>
      <c r="W27" s="28" t="n">
        <v>80</v>
      </c>
      <c r="X27" s="28" t="n">
        <v>120</v>
      </c>
      <c r="Y27" s="28" t="n">
        <v>35</v>
      </c>
      <c r="Z27" s="28" t="n">
        <v>60</v>
      </c>
      <c r="AA27" s="28" t="n">
        <v>0</v>
      </c>
      <c r="AB27" s="34" t="s">
        <v>83</v>
      </c>
      <c r="AC27" s="3" t="s">
        <v>358</v>
      </c>
      <c r="AD27" s="3" t="s">
        <v>325</v>
      </c>
      <c r="AE27" s="3" t="s">
        <v>270</v>
      </c>
      <c r="AF27" s="3" t="s">
        <v>192</v>
      </c>
      <c r="AG27" s="3"/>
      <c r="AH27" s="3"/>
      <c r="AI27" s="26" t="s">
        <v>359</v>
      </c>
      <c r="AJ27" s="30" t="n">
        <v>1</v>
      </c>
      <c r="AK27" s="31"/>
      <c r="AL27" s="32"/>
      <c r="AM27" s="3" t="s">
        <v>359</v>
      </c>
      <c r="AN27" s="3"/>
    </row>
    <row r="28" customFormat="false" ht="23.85" hidden="false" customHeight="false" outlineLevel="0" collapsed="false">
      <c r="A28" s="23" t="s">
        <v>360</v>
      </c>
      <c r="B28" s="23" t="s">
        <v>361</v>
      </c>
      <c r="C28" s="24" t="s">
        <v>152</v>
      </c>
      <c r="D28" s="23" t="s">
        <v>296</v>
      </c>
      <c r="E28" s="23" t="s">
        <v>349</v>
      </c>
      <c r="F28" s="25" t="s">
        <v>362</v>
      </c>
      <c r="G28" s="23" t="s">
        <v>363</v>
      </c>
      <c r="H28" s="3" t="s">
        <v>190</v>
      </c>
      <c r="I28" s="3" t="s">
        <v>191</v>
      </c>
      <c r="J28" s="3" t="s">
        <v>192</v>
      </c>
      <c r="K28" s="26" t="s">
        <v>193</v>
      </c>
      <c r="L28" s="3" t="s">
        <v>194</v>
      </c>
      <c r="M28" s="3" t="s">
        <v>195</v>
      </c>
      <c r="N28" s="3" t="s">
        <v>216</v>
      </c>
      <c r="O28" s="26" t="n">
        <v>1</v>
      </c>
      <c r="P28" s="33" t="s">
        <v>364</v>
      </c>
      <c r="Q28" s="26" t="s">
        <v>193</v>
      </c>
      <c r="R28" s="27"/>
      <c r="S28" s="3"/>
      <c r="T28" s="28" t="n">
        <v>15</v>
      </c>
      <c r="U28" s="28" t="n">
        <v>30</v>
      </c>
      <c r="V28" s="28" t="n">
        <v>60</v>
      </c>
      <c r="W28" s="28" t="n">
        <v>0</v>
      </c>
      <c r="X28" s="28" t="n">
        <v>0</v>
      </c>
      <c r="Y28" s="28" t="n">
        <v>15</v>
      </c>
      <c r="Z28" s="28" t="n">
        <v>30</v>
      </c>
      <c r="AA28" s="28" t="n">
        <v>0</v>
      </c>
      <c r="AB28" s="35" t="s">
        <v>87</v>
      </c>
      <c r="AC28" s="3" t="s">
        <v>365</v>
      </c>
      <c r="AD28" s="3" t="s">
        <v>366</v>
      </c>
      <c r="AE28" s="3" t="s">
        <v>187</v>
      </c>
      <c r="AF28" s="3" t="s">
        <v>192</v>
      </c>
      <c r="AG28" s="3"/>
      <c r="AH28" s="3"/>
      <c r="AI28" s="26" t="s">
        <v>353</v>
      </c>
      <c r="AJ28" s="30" t="n">
        <v>1</v>
      </c>
      <c r="AK28" s="31"/>
      <c r="AL28" s="32"/>
      <c r="AM28" s="3" t="s">
        <v>367</v>
      </c>
      <c r="AN28" s="3"/>
    </row>
    <row r="29" customFormat="false" ht="23.85" hidden="false" customHeight="false" outlineLevel="0" collapsed="false">
      <c r="A29" s="37" t="s">
        <v>368</v>
      </c>
      <c r="B29" s="37" t="s">
        <v>369</v>
      </c>
      <c r="C29" s="38" t="s">
        <v>152</v>
      </c>
      <c r="D29" s="37" t="s">
        <v>370</v>
      </c>
      <c r="E29" s="37" t="s">
        <v>187</v>
      </c>
      <c r="F29" s="39" t="s">
        <v>371</v>
      </c>
      <c r="G29" s="37" t="s">
        <v>372</v>
      </c>
      <c r="H29" s="40" t="s">
        <v>190</v>
      </c>
      <c r="I29" s="40" t="s">
        <v>191</v>
      </c>
      <c r="J29" s="40" t="s">
        <v>192</v>
      </c>
      <c r="K29" s="41" t="s">
        <v>193</v>
      </c>
      <c r="L29" s="40" t="s">
        <v>194</v>
      </c>
      <c r="M29" s="40" t="s">
        <v>195</v>
      </c>
      <c r="N29" s="40" t="s">
        <v>216</v>
      </c>
      <c r="O29" s="41" t="n">
        <v>1</v>
      </c>
      <c r="P29" s="48" t="s">
        <v>217</v>
      </c>
      <c r="Q29" s="41" t="s">
        <v>193</v>
      </c>
      <c r="R29" s="42"/>
      <c r="S29" s="40"/>
      <c r="T29" s="43" t="n">
        <v>30</v>
      </c>
      <c r="U29" s="43" t="n">
        <v>55</v>
      </c>
      <c r="V29" s="43" t="n">
        <v>140</v>
      </c>
      <c r="W29" s="43" t="n">
        <v>55</v>
      </c>
      <c r="X29" s="43" t="n">
        <v>140</v>
      </c>
      <c r="Y29" s="43" t="n">
        <v>55</v>
      </c>
      <c r="Z29" s="43" t="n">
        <v>120</v>
      </c>
      <c r="AA29" s="43" t="n">
        <v>0</v>
      </c>
      <c r="AB29" s="44" t="s">
        <v>83</v>
      </c>
      <c r="AC29" s="40" t="s">
        <v>373</v>
      </c>
      <c r="AD29" s="40" t="s">
        <v>325</v>
      </c>
      <c r="AE29" s="40" t="s">
        <v>270</v>
      </c>
      <c r="AF29" s="40" t="s">
        <v>192</v>
      </c>
      <c r="AG29" s="40"/>
      <c r="AH29" s="40"/>
      <c r="AI29" s="41" t="s">
        <v>374</v>
      </c>
      <c r="AJ29" s="45" t="n">
        <v>1</v>
      </c>
      <c r="AK29" s="46"/>
      <c r="AL29" s="47"/>
      <c r="AM29" s="40" t="s">
        <v>375</v>
      </c>
      <c r="AN29" s="40"/>
    </row>
    <row r="30" customFormat="false" ht="23.85" hidden="false" customHeight="false" outlineLevel="0" collapsed="false">
      <c r="A30" s="23" t="s">
        <v>376</v>
      </c>
      <c r="B30" s="23" t="s">
        <v>377</v>
      </c>
      <c r="C30" s="24" t="s">
        <v>152</v>
      </c>
      <c r="D30" s="23" t="s">
        <v>370</v>
      </c>
      <c r="E30" s="23" t="s">
        <v>187</v>
      </c>
      <c r="F30" s="25" t="s">
        <v>378</v>
      </c>
      <c r="G30" s="23" t="s">
        <v>379</v>
      </c>
      <c r="H30" s="3" t="s">
        <v>190</v>
      </c>
      <c r="I30" s="3" t="s">
        <v>380</v>
      </c>
      <c r="J30" s="3" t="s">
        <v>192</v>
      </c>
      <c r="K30" s="26" t="s">
        <v>193</v>
      </c>
      <c r="L30" s="3" t="s">
        <v>194</v>
      </c>
      <c r="M30" s="3" t="s">
        <v>195</v>
      </c>
      <c r="N30" s="3" t="s">
        <v>216</v>
      </c>
      <c r="O30" s="26" t="n">
        <v>1</v>
      </c>
      <c r="P30" s="33" t="s">
        <v>217</v>
      </c>
      <c r="Q30" s="26" t="s">
        <v>193</v>
      </c>
      <c r="R30" s="27"/>
      <c r="S30" s="3"/>
      <c r="T30" s="28" t="n">
        <v>45</v>
      </c>
      <c r="U30" s="28" t="n">
        <v>75</v>
      </c>
      <c r="V30" s="28" t="n">
        <v>200</v>
      </c>
      <c r="W30" s="28" t="n">
        <v>75</v>
      </c>
      <c r="X30" s="28" t="n">
        <v>200</v>
      </c>
      <c r="Y30" s="28" t="n">
        <v>80</v>
      </c>
      <c r="Z30" s="28" t="n">
        <v>140</v>
      </c>
      <c r="AA30" s="28" t="n">
        <v>0</v>
      </c>
      <c r="AB30" s="34" t="s">
        <v>83</v>
      </c>
      <c r="AC30" s="3" t="s">
        <v>381</v>
      </c>
      <c r="AD30" s="3" t="s">
        <v>325</v>
      </c>
      <c r="AE30" s="3" t="s">
        <v>270</v>
      </c>
      <c r="AF30" s="3" t="s">
        <v>192</v>
      </c>
      <c r="AG30" s="3"/>
      <c r="AH30" s="3"/>
      <c r="AI30" s="26" t="s">
        <v>382</v>
      </c>
      <c r="AJ30" s="30" t="n">
        <v>1</v>
      </c>
      <c r="AK30" s="31"/>
      <c r="AL30" s="32"/>
      <c r="AM30" s="3" t="s">
        <v>383</v>
      </c>
      <c r="AN30" s="3"/>
    </row>
    <row r="31" customFormat="false" ht="23.85" hidden="false" customHeight="false" outlineLevel="0" collapsed="false">
      <c r="A31" s="3" t="s">
        <v>384</v>
      </c>
      <c r="B31" s="3" t="s">
        <v>377</v>
      </c>
      <c r="C31" s="26" t="s">
        <v>154</v>
      </c>
      <c r="D31" s="36" t="str">
        <f aca="false">D30</f>
        <v>3 Internal finishes</v>
      </c>
      <c r="E31" s="36" t="str">
        <f aca="false">E30</f>
        <v>—</v>
      </c>
      <c r="F31" s="36" t="str">
        <f aca="false">F30</f>
        <v>Floor finishes</v>
      </c>
      <c r="G31" s="3"/>
      <c r="H31" s="3"/>
      <c r="I31" s="3" t="s">
        <v>385</v>
      </c>
      <c r="J31" s="3" t="s">
        <v>192</v>
      </c>
      <c r="K31" s="26"/>
      <c r="L31" s="3" t="s">
        <v>194</v>
      </c>
      <c r="M31" s="3" t="s">
        <v>195</v>
      </c>
      <c r="N31" s="3"/>
      <c r="O31" s="26" t="n">
        <v>1</v>
      </c>
      <c r="P31" s="26"/>
      <c r="Q31" s="26" t="s">
        <v>193</v>
      </c>
      <c r="R31" s="27"/>
      <c r="S31" s="3"/>
      <c r="T31" s="28" t="n">
        <v>90</v>
      </c>
      <c r="U31" s="28" t="n">
        <v>120</v>
      </c>
      <c r="V31" s="28" t="n">
        <v>245</v>
      </c>
      <c r="W31" s="28" t="n">
        <v>120</v>
      </c>
      <c r="X31" s="28" t="n">
        <v>245</v>
      </c>
      <c r="Y31" s="28" t="n">
        <v>125</v>
      </c>
      <c r="Z31" s="28" t="n">
        <v>185</v>
      </c>
      <c r="AA31" s="28" t="n">
        <v>0</v>
      </c>
      <c r="AB31" s="29" t="s">
        <v>85</v>
      </c>
      <c r="AC31" s="3" t="s">
        <v>386</v>
      </c>
      <c r="AD31" s="3"/>
      <c r="AE31" s="3"/>
      <c r="AF31" s="3"/>
      <c r="AG31" s="3"/>
      <c r="AH31" s="3"/>
      <c r="AI31" s="31"/>
      <c r="AJ31" s="32"/>
      <c r="AK31" s="31"/>
      <c r="AL31" s="32"/>
      <c r="AM31" s="3"/>
      <c r="AN31" s="3"/>
    </row>
    <row r="32" customFormat="false" ht="23.85" hidden="false" customHeight="false" outlineLevel="0" collapsed="false">
      <c r="A32" s="23" t="s">
        <v>387</v>
      </c>
      <c r="B32" s="23" t="s">
        <v>388</v>
      </c>
      <c r="C32" s="24" t="s">
        <v>152</v>
      </c>
      <c r="D32" s="23" t="s">
        <v>370</v>
      </c>
      <c r="E32" s="23" t="s">
        <v>187</v>
      </c>
      <c r="F32" s="25" t="s">
        <v>389</v>
      </c>
      <c r="G32" s="23" t="s">
        <v>390</v>
      </c>
      <c r="H32" s="3" t="s">
        <v>190</v>
      </c>
      <c r="I32" s="3" t="s">
        <v>191</v>
      </c>
      <c r="J32" s="3" t="s">
        <v>192</v>
      </c>
      <c r="K32" s="26" t="s">
        <v>193</v>
      </c>
      <c r="L32" s="3" t="s">
        <v>194</v>
      </c>
      <c r="M32" s="3" t="s">
        <v>195</v>
      </c>
      <c r="N32" s="3" t="s">
        <v>216</v>
      </c>
      <c r="O32" s="26" t="n">
        <v>1</v>
      </c>
      <c r="P32" s="33" t="s">
        <v>217</v>
      </c>
      <c r="Q32" s="26" t="s">
        <v>193</v>
      </c>
      <c r="R32" s="27"/>
      <c r="S32" s="3"/>
      <c r="T32" s="28" t="n">
        <v>30</v>
      </c>
      <c r="U32" s="28" t="n">
        <v>50</v>
      </c>
      <c r="V32" s="28" t="n">
        <v>140</v>
      </c>
      <c r="W32" s="28" t="n">
        <v>50</v>
      </c>
      <c r="X32" s="28" t="n">
        <v>140</v>
      </c>
      <c r="Y32" s="28" t="n">
        <v>50</v>
      </c>
      <c r="Z32" s="28" t="n">
        <v>100</v>
      </c>
      <c r="AA32" s="28" t="n">
        <v>0</v>
      </c>
      <c r="AB32" s="34" t="s">
        <v>83</v>
      </c>
      <c r="AC32" s="3" t="s">
        <v>391</v>
      </c>
      <c r="AD32" s="3" t="s">
        <v>325</v>
      </c>
      <c r="AE32" s="3" t="s">
        <v>270</v>
      </c>
      <c r="AF32" s="3" t="s">
        <v>192</v>
      </c>
      <c r="AG32" s="3"/>
      <c r="AH32" s="3"/>
      <c r="AI32" s="26" t="s">
        <v>392</v>
      </c>
      <c r="AJ32" s="30" t="n">
        <v>1</v>
      </c>
      <c r="AK32" s="31"/>
      <c r="AL32" s="32"/>
      <c r="AM32" s="3" t="s">
        <v>392</v>
      </c>
      <c r="AN32" s="3"/>
    </row>
    <row r="33" customFormat="false" ht="35.05" hidden="false" customHeight="false" outlineLevel="0" collapsed="false">
      <c r="A33" s="37" t="s">
        <v>393</v>
      </c>
      <c r="B33" s="37" t="s">
        <v>394</v>
      </c>
      <c r="C33" s="38" t="s">
        <v>152</v>
      </c>
      <c r="D33" s="37" t="s">
        <v>395</v>
      </c>
      <c r="E33" s="37" t="s">
        <v>396</v>
      </c>
      <c r="F33" s="39" t="s">
        <v>397</v>
      </c>
      <c r="G33" s="37" t="s">
        <v>398</v>
      </c>
      <c r="H33" s="40" t="s">
        <v>399</v>
      </c>
      <c r="I33" s="40" t="s">
        <v>191</v>
      </c>
      <c r="J33" s="40" t="s">
        <v>192</v>
      </c>
      <c r="K33" s="41" t="s">
        <v>193</v>
      </c>
      <c r="L33" s="40" t="s">
        <v>400</v>
      </c>
      <c r="M33" s="40" t="s">
        <v>242</v>
      </c>
      <c r="N33" s="40" t="s">
        <v>401</v>
      </c>
      <c r="O33" s="41" t="n">
        <v>2</v>
      </c>
      <c r="P33" s="41"/>
      <c r="Q33" s="41" t="s">
        <v>193</v>
      </c>
      <c r="R33" s="42"/>
      <c r="S33" s="40"/>
      <c r="T33" s="43" t="n">
        <v>2800</v>
      </c>
      <c r="U33" s="43" t="n">
        <v>4950</v>
      </c>
      <c r="V33" s="43" t="n">
        <v>9400</v>
      </c>
      <c r="W33" s="43" t="n">
        <v>4950</v>
      </c>
      <c r="X33" s="43" t="n">
        <v>9400</v>
      </c>
      <c r="Y33" s="43" t="n">
        <v>4950</v>
      </c>
      <c r="Z33" s="43" t="n">
        <v>9400</v>
      </c>
      <c r="AA33" s="43" t="n">
        <v>0</v>
      </c>
      <c r="AB33" s="49" t="s">
        <v>85</v>
      </c>
      <c r="AC33" s="40" t="s">
        <v>402</v>
      </c>
      <c r="AD33" s="40" t="s">
        <v>325</v>
      </c>
      <c r="AE33" s="40" t="s">
        <v>270</v>
      </c>
      <c r="AF33" s="40" t="s">
        <v>403</v>
      </c>
      <c r="AG33" s="40"/>
      <c r="AH33" s="40"/>
      <c r="AI33" s="41" t="s">
        <v>404</v>
      </c>
      <c r="AJ33" s="45" t="n">
        <v>0.8</v>
      </c>
      <c r="AK33" s="41" t="s">
        <v>353</v>
      </c>
      <c r="AL33" s="45" t="n">
        <v>0.2</v>
      </c>
      <c r="AM33" s="40" t="s">
        <v>405</v>
      </c>
      <c r="AN33" s="40" t="s">
        <v>406</v>
      </c>
    </row>
    <row r="34" customFormat="false" ht="35.05" hidden="false" customHeight="false" outlineLevel="0" collapsed="false">
      <c r="A34" s="3" t="s">
        <v>407</v>
      </c>
      <c r="B34" s="3" t="s">
        <v>394</v>
      </c>
      <c r="C34" s="26" t="s">
        <v>154</v>
      </c>
      <c r="D34" s="36" t="str">
        <f aca="false">D33</f>
        <v>4 Toilets, kitchens and fittings</v>
      </c>
      <c r="E34" s="36" t="str">
        <f aca="false">E33</f>
        <v>Toilets, bathrooms and kitchens</v>
      </c>
      <c r="F34" s="36" t="str">
        <f aca="false">F33</f>
        <v>Toilets</v>
      </c>
      <c r="G34" s="3"/>
      <c r="H34" s="3"/>
      <c r="I34" s="3" t="s">
        <v>191</v>
      </c>
      <c r="J34" s="3" t="s">
        <v>408</v>
      </c>
      <c r="K34" s="26"/>
      <c r="L34" s="3" t="s">
        <v>400</v>
      </c>
      <c r="M34" s="3" t="s">
        <v>242</v>
      </c>
      <c r="N34" s="3"/>
      <c r="O34" s="26" t="n">
        <v>2</v>
      </c>
      <c r="P34" s="26"/>
      <c r="Q34" s="26" t="s">
        <v>193</v>
      </c>
      <c r="R34" s="27"/>
      <c r="S34" s="3"/>
      <c r="T34" s="28" t="n">
        <v>3600</v>
      </c>
      <c r="U34" s="28" t="n">
        <v>6250</v>
      </c>
      <c r="V34" s="28" t="n">
        <v>11900</v>
      </c>
      <c r="W34" s="28" t="n">
        <v>6250</v>
      </c>
      <c r="X34" s="28" t="n">
        <v>11900</v>
      </c>
      <c r="Y34" s="28" t="n">
        <v>6250</v>
      </c>
      <c r="Z34" s="28" t="n">
        <v>11900</v>
      </c>
      <c r="AA34" s="28" t="n">
        <v>0</v>
      </c>
      <c r="AB34" s="29" t="s">
        <v>85</v>
      </c>
      <c r="AC34" s="3" t="s">
        <v>409</v>
      </c>
      <c r="AD34" s="3"/>
      <c r="AE34" s="3"/>
      <c r="AF34" s="3"/>
      <c r="AG34" s="3"/>
      <c r="AH34" s="3"/>
      <c r="AI34" s="31"/>
      <c r="AJ34" s="32"/>
      <c r="AK34" s="31"/>
      <c r="AL34" s="32"/>
      <c r="AM34" s="3"/>
      <c r="AN34" s="3"/>
    </row>
    <row r="35" customFormat="false" ht="35.05" hidden="false" customHeight="false" outlineLevel="0" collapsed="false">
      <c r="A35" s="3" t="s">
        <v>410</v>
      </c>
      <c r="B35" s="3" t="s">
        <v>394</v>
      </c>
      <c r="C35" s="26" t="s">
        <v>154</v>
      </c>
      <c r="D35" s="36" t="str">
        <f aca="false">D33</f>
        <v>4 Toilets, kitchens and fittings</v>
      </c>
      <c r="E35" s="36" t="str">
        <f aca="false">E33</f>
        <v>Toilets, bathrooms and kitchens</v>
      </c>
      <c r="F35" s="36" t="str">
        <f aca="false">F33</f>
        <v>Toilets</v>
      </c>
      <c r="G35" s="3"/>
      <c r="H35" s="3"/>
      <c r="I35" s="3" t="s">
        <v>191</v>
      </c>
      <c r="J35" s="3" t="s">
        <v>411</v>
      </c>
      <c r="K35" s="26"/>
      <c r="L35" s="3" t="s">
        <v>400</v>
      </c>
      <c r="M35" s="3" t="s">
        <v>242</v>
      </c>
      <c r="N35" s="3"/>
      <c r="O35" s="26" t="n">
        <v>2</v>
      </c>
      <c r="P35" s="26"/>
      <c r="Q35" s="26" t="s">
        <v>193</v>
      </c>
      <c r="R35" s="27"/>
      <c r="S35" s="3"/>
      <c r="T35" s="28" t="n">
        <v>4400</v>
      </c>
      <c r="U35" s="28" t="n">
        <v>7250</v>
      </c>
      <c r="V35" s="28" t="n">
        <v>12900</v>
      </c>
      <c r="W35" s="28" t="n">
        <v>7250</v>
      </c>
      <c r="X35" s="28" t="n">
        <v>12900</v>
      </c>
      <c r="Y35" s="28" t="n">
        <v>7250</v>
      </c>
      <c r="Z35" s="28" t="n">
        <v>12900</v>
      </c>
      <c r="AA35" s="28" t="n">
        <v>0</v>
      </c>
      <c r="AB35" s="29" t="s">
        <v>85</v>
      </c>
      <c r="AC35" s="3" t="s">
        <v>412</v>
      </c>
      <c r="AD35" s="3"/>
      <c r="AE35" s="3"/>
      <c r="AF35" s="3"/>
      <c r="AG35" s="3"/>
      <c r="AH35" s="3"/>
      <c r="AI35" s="31"/>
      <c r="AJ35" s="32"/>
      <c r="AK35" s="31"/>
      <c r="AL35" s="32"/>
      <c r="AM35" s="3"/>
      <c r="AN35" s="3"/>
    </row>
    <row r="36" customFormat="false" ht="23.85" hidden="false" customHeight="false" outlineLevel="0" collapsed="false">
      <c r="A36" s="3" t="s">
        <v>413</v>
      </c>
      <c r="B36" s="3" t="s">
        <v>394</v>
      </c>
      <c r="C36" s="26" t="s">
        <v>154</v>
      </c>
      <c r="D36" s="36" t="str">
        <f aca="false">D33</f>
        <v>4 Toilets, kitchens and fittings</v>
      </c>
      <c r="E36" s="36" t="str">
        <f aca="false">E33</f>
        <v>Toilets, bathrooms and kitchens</v>
      </c>
      <c r="F36" s="36" t="str">
        <f aca="false">F33</f>
        <v>Toilets</v>
      </c>
      <c r="G36" s="3"/>
      <c r="H36" s="3"/>
      <c r="I36" s="3" t="s">
        <v>414</v>
      </c>
      <c r="J36" s="3" t="s">
        <v>192</v>
      </c>
      <c r="K36" s="26" t="s">
        <v>193</v>
      </c>
      <c r="L36" s="3" t="s">
        <v>400</v>
      </c>
      <c r="M36" s="3" t="s">
        <v>242</v>
      </c>
      <c r="N36" s="3" t="s">
        <v>415</v>
      </c>
      <c r="O36" s="26" t="n">
        <v>2</v>
      </c>
      <c r="P36" s="26"/>
      <c r="Q36" s="26" t="s">
        <v>193</v>
      </c>
      <c r="R36" s="27"/>
      <c r="S36" s="3"/>
      <c r="T36" s="28" t="n">
        <v>3500</v>
      </c>
      <c r="U36" s="28" t="n">
        <v>5500</v>
      </c>
      <c r="V36" s="28" t="n">
        <v>9000</v>
      </c>
      <c r="W36" s="28" t="n">
        <v>5500</v>
      </c>
      <c r="X36" s="28" t="n">
        <v>9000</v>
      </c>
      <c r="Y36" s="28" t="n">
        <v>5500</v>
      </c>
      <c r="Z36" s="28" t="n">
        <v>9000</v>
      </c>
      <c r="AA36" s="28" t="n">
        <v>0</v>
      </c>
      <c r="AB36" s="35" t="s">
        <v>87</v>
      </c>
      <c r="AC36" s="3" t="s">
        <v>416</v>
      </c>
      <c r="AD36" s="3"/>
      <c r="AE36" s="3"/>
      <c r="AF36" s="3"/>
      <c r="AG36" s="3"/>
      <c r="AH36" s="3"/>
      <c r="AI36" s="31"/>
      <c r="AJ36" s="32"/>
      <c r="AK36" s="31"/>
      <c r="AL36" s="32"/>
      <c r="AM36" s="3"/>
      <c r="AN36" s="3"/>
    </row>
    <row r="37" customFormat="false" ht="23.85" hidden="false" customHeight="false" outlineLevel="0" collapsed="false">
      <c r="A37" s="3" t="s">
        <v>417</v>
      </c>
      <c r="B37" s="3" t="s">
        <v>394</v>
      </c>
      <c r="C37" s="26" t="s">
        <v>154</v>
      </c>
      <c r="D37" s="36" t="str">
        <f aca="false">D33</f>
        <v>4 Toilets, kitchens and fittings</v>
      </c>
      <c r="E37" s="36" t="str">
        <f aca="false">E33</f>
        <v>Toilets, bathrooms and kitchens</v>
      </c>
      <c r="F37" s="36" t="str">
        <f aca="false">F33</f>
        <v>Toilets</v>
      </c>
      <c r="G37" s="3"/>
      <c r="H37" s="3"/>
      <c r="I37" s="3" t="s">
        <v>418</v>
      </c>
      <c r="J37" s="3" t="s">
        <v>192</v>
      </c>
      <c r="K37" s="26"/>
      <c r="L37" s="3" t="s">
        <v>400</v>
      </c>
      <c r="M37" s="3" t="s">
        <v>242</v>
      </c>
      <c r="N37" s="3" t="s">
        <v>111</v>
      </c>
      <c r="O37" s="26" t="n">
        <v>2</v>
      </c>
      <c r="P37" s="26"/>
      <c r="Q37" s="26" t="s">
        <v>244</v>
      </c>
      <c r="R37" s="27"/>
      <c r="S37" s="3"/>
      <c r="T37" s="28" t="n">
        <v>45000</v>
      </c>
      <c r="U37" s="28" t="n">
        <v>60000</v>
      </c>
      <c r="V37" s="28" t="n">
        <v>80000</v>
      </c>
      <c r="W37" s="28" t="n">
        <v>60000</v>
      </c>
      <c r="X37" s="28" t="n">
        <v>80000</v>
      </c>
      <c r="Y37" s="28" t="n">
        <v>60000</v>
      </c>
      <c r="Z37" s="28" t="n">
        <v>80000</v>
      </c>
      <c r="AA37" s="28" t="n">
        <v>0</v>
      </c>
      <c r="AB37" s="35" t="s">
        <v>87</v>
      </c>
      <c r="AC37" s="3" t="s">
        <v>419</v>
      </c>
      <c r="AD37" s="3"/>
      <c r="AE37" s="3"/>
      <c r="AF37" s="3"/>
      <c r="AG37" s="3"/>
      <c r="AH37" s="3"/>
      <c r="AI37" s="31"/>
      <c r="AJ37" s="32"/>
      <c r="AK37" s="31"/>
      <c r="AL37" s="32"/>
      <c r="AM37" s="3"/>
      <c r="AN37" s="3"/>
    </row>
    <row r="38" customFormat="false" ht="46.25" hidden="false" customHeight="false" outlineLevel="0" collapsed="false">
      <c r="A38" s="23" t="s">
        <v>420</v>
      </c>
      <c r="B38" s="23" t="s">
        <v>421</v>
      </c>
      <c r="C38" s="24" t="s">
        <v>152</v>
      </c>
      <c r="D38" s="23" t="s">
        <v>395</v>
      </c>
      <c r="E38" s="23" t="s">
        <v>396</v>
      </c>
      <c r="F38" s="25" t="s">
        <v>422</v>
      </c>
      <c r="G38" s="23" t="s">
        <v>423</v>
      </c>
      <c r="H38" s="3" t="s">
        <v>190</v>
      </c>
      <c r="I38" s="3" t="s">
        <v>424</v>
      </c>
      <c r="J38" s="3" t="s">
        <v>192</v>
      </c>
      <c r="K38" s="26" t="s">
        <v>193</v>
      </c>
      <c r="L38" s="3" t="s">
        <v>425</v>
      </c>
      <c r="M38" s="3" t="s">
        <v>242</v>
      </c>
      <c r="N38" s="3" t="s">
        <v>426</v>
      </c>
      <c r="O38" s="26" t="n">
        <v>2</v>
      </c>
      <c r="P38" s="26"/>
      <c r="Q38" s="26" t="s">
        <v>193</v>
      </c>
      <c r="R38" s="27"/>
      <c r="S38" s="3"/>
      <c r="T38" s="28" t="n">
        <v>900</v>
      </c>
      <c r="U38" s="28" t="n">
        <v>2000</v>
      </c>
      <c r="V38" s="28" t="n">
        <v>3500</v>
      </c>
      <c r="W38" s="28" t="n">
        <v>2000</v>
      </c>
      <c r="X38" s="28" t="n">
        <v>3500</v>
      </c>
      <c r="Y38" s="28" t="n">
        <v>2000</v>
      </c>
      <c r="Z38" s="28" t="n">
        <v>3500</v>
      </c>
      <c r="AA38" s="28" t="n">
        <v>0</v>
      </c>
      <c r="AB38" s="34" t="s">
        <v>83</v>
      </c>
      <c r="AC38" s="3" t="s">
        <v>427</v>
      </c>
      <c r="AD38" s="3" t="s">
        <v>325</v>
      </c>
      <c r="AE38" s="3" t="s">
        <v>270</v>
      </c>
      <c r="AF38" s="3" t="s">
        <v>428</v>
      </c>
      <c r="AG38" s="3"/>
      <c r="AH38" s="3"/>
      <c r="AI38" s="26" t="s">
        <v>404</v>
      </c>
      <c r="AJ38" s="30" t="n">
        <v>1</v>
      </c>
      <c r="AK38" s="31"/>
      <c r="AL38" s="32"/>
      <c r="AM38" s="3" t="s">
        <v>429</v>
      </c>
      <c r="AN38" s="3"/>
    </row>
    <row r="39" customFormat="false" ht="23.85" hidden="false" customHeight="false" outlineLevel="0" collapsed="false">
      <c r="A39" s="3" t="s">
        <v>430</v>
      </c>
      <c r="B39" s="3" t="s">
        <v>421</v>
      </c>
      <c r="C39" s="26" t="s">
        <v>154</v>
      </c>
      <c r="D39" s="36" t="str">
        <f aca="false">D38</f>
        <v>4 Toilets, kitchens and fittings</v>
      </c>
      <c r="E39" s="36" t="str">
        <f aca="false">E38</f>
        <v>Toilets, bathrooms and kitchens</v>
      </c>
      <c r="F39" s="36" t="str">
        <f aca="false">F38</f>
        <v>Bathrooms and en-suites</v>
      </c>
      <c r="G39" s="3"/>
      <c r="H39" s="3"/>
      <c r="I39" s="3" t="s">
        <v>424</v>
      </c>
      <c r="J39" s="3" t="s">
        <v>408</v>
      </c>
      <c r="K39" s="26"/>
      <c r="L39" s="3" t="s">
        <v>425</v>
      </c>
      <c r="M39" s="3" t="s">
        <v>242</v>
      </c>
      <c r="N39" s="3"/>
      <c r="O39" s="26" t="n">
        <v>2</v>
      </c>
      <c r="P39" s="26"/>
      <c r="Q39" s="26" t="s">
        <v>193</v>
      </c>
      <c r="R39" s="27"/>
      <c r="S39" s="3"/>
      <c r="T39" s="28" t="n">
        <v>3500</v>
      </c>
      <c r="U39" s="28" t="n">
        <v>5500</v>
      </c>
      <c r="V39" s="28" t="n">
        <v>8500</v>
      </c>
      <c r="W39" s="28" t="n">
        <v>5500</v>
      </c>
      <c r="X39" s="28" t="n">
        <v>8500</v>
      </c>
      <c r="Y39" s="28" t="n">
        <v>5500</v>
      </c>
      <c r="Z39" s="28" t="n">
        <v>8500</v>
      </c>
      <c r="AA39" s="28" t="n">
        <v>0</v>
      </c>
      <c r="AB39" s="34" t="s">
        <v>83</v>
      </c>
      <c r="AC39" s="3" t="s">
        <v>431</v>
      </c>
      <c r="AD39" s="3"/>
      <c r="AE39" s="3"/>
      <c r="AF39" s="3"/>
      <c r="AG39" s="3"/>
      <c r="AH39" s="3"/>
      <c r="AI39" s="31"/>
      <c r="AJ39" s="32"/>
      <c r="AK39" s="31"/>
      <c r="AL39" s="32"/>
      <c r="AM39" s="3"/>
      <c r="AN39" s="3"/>
    </row>
    <row r="40" customFormat="false" ht="23.85" hidden="false" customHeight="false" outlineLevel="0" collapsed="false">
      <c r="A40" s="3" t="s">
        <v>432</v>
      </c>
      <c r="B40" s="3" t="s">
        <v>421</v>
      </c>
      <c r="C40" s="26" t="s">
        <v>154</v>
      </c>
      <c r="D40" s="36" t="str">
        <f aca="false">D38</f>
        <v>4 Toilets, kitchens and fittings</v>
      </c>
      <c r="E40" s="36" t="str">
        <f aca="false">E38</f>
        <v>Toilets, bathrooms and kitchens</v>
      </c>
      <c r="F40" s="36" t="str">
        <f aca="false">F38</f>
        <v>Bathrooms and en-suites</v>
      </c>
      <c r="G40" s="3"/>
      <c r="H40" s="3"/>
      <c r="I40" s="3" t="s">
        <v>433</v>
      </c>
      <c r="J40" s="3" t="s">
        <v>192</v>
      </c>
      <c r="K40" s="26"/>
      <c r="L40" s="3" t="s">
        <v>425</v>
      </c>
      <c r="M40" s="3" t="s">
        <v>242</v>
      </c>
      <c r="N40" s="3"/>
      <c r="O40" s="26" t="n">
        <v>2</v>
      </c>
      <c r="P40" s="26"/>
      <c r="Q40" s="26" t="s">
        <v>193</v>
      </c>
      <c r="R40" s="27"/>
      <c r="S40" s="3"/>
      <c r="T40" s="28" t="n">
        <v>3200</v>
      </c>
      <c r="U40" s="28" t="n">
        <v>5800</v>
      </c>
      <c r="V40" s="28" t="n">
        <v>10500</v>
      </c>
      <c r="W40" s="28" t="n">
        <v>5800</v>
      </c>
      <c r="X40" s="28" t="n">
        <v>10500</v>
      </c>
      <c r="Y40" s="28" t="n">
        <v>5800</v>
      </c>
      <c r="Z40" s="28" t="n">
        <v>10500</v>
      </c>
      <c r="AA40" s="28" t="n">
        <v>0</v>
      </c>
      <c r="AB40" s="50" t="s">
        <v>81</v>
      </c>
      <c r="AC40" s="3" t="s">
        <v>434</v>
      </c>
      <c r="AD40" s="3"/>
      <c r="AE40" s="3"/>
      <c r="AF40" s="3"/>
      <c r="AG40" s="3"/>
      <c r="AH40" s="3"/>
      <c r="AI40" s="31"/>
      <c r="AJ40" s="32"/>
      <c r="AK40" s="31"/>
      <c r="AL40" s="32"/>
      <c r="AM40" s="3"/>
      <c r="AN40" s="3"/>
    </row>
    <row r="41" customFormat="false" ht="23.85" hidden="false" customHeight="false" outlineLevel="0" collapsed="false">
      <c r="A41" s="23" t="s">
        <v>435</v>
      </c>
      <c r="B41" s="23" t="s">
        <v>436</v>
      </c>
      <c r="C41" s="24" t="s">
        <v>152</v>
      </c>
      <c r="D41" s="23" t="s">
        <v>395</v>
      </c>
      <c r="E41" s="23" t="s">
        <v>396</v>
      </c>
      <c r="F41" s="25" t="s">
        <v>437</v>
      </c>
      <c r="G41" s="23" t="s">
        <v>438</v>
      </c>
      <c r="H41" s="3" t="s">
        <v>190</v>
      </c>
      <c r="I41" s="3" t="s">
        <v>191</v>
      </c>
      <c r="J41" s="3" t="s">
        <v>192</v>
      </c>
      <c r="K41" s="26" t="s">
        <v>193</v>
      </c>
      <c r="L41" s="3" t="s">
        <v>400</v>
      </c>
      <c r="M41" s="3" t="s">
        <v>242</v>
      </c>
      <c r="N41" s="3" t="s">
        <v>243</v>
      </c>
      <c r="O41" s="26" t="n">
        <v>2</v>
      </c>
      <c r="P41" s="26"/>
      <c r="Q41" s="26" t="s">
        <v>193</v>
      </c>
      <c r="R41" s="27"/>
      <c r="S41" s="3"/>
      <c r="T41" s="28" t="n">
        <v>1500</v>
      </c>
      <c r="U41" s="28" t="n">
        <v>2500</v>
      </c>
      <c r="V41" s="28" t="n">
        <v>4500</v>
      </c>
      <c r="W41" s="28" t="n">
        <v>2500</v>
      </c>
      <c r="X41" s="28" t="n">
        <v>4500</v>
      </c>
      <c r="Y41" s="28" t="n">
        <v>2500</v>
      </c>
      <c r="Z41" s="28" t="n">
        <v>4500</v>
      </c>
      <c r="AA41" s="28" t="n">
        <v>0</v>
      </c>
      <c r="AB41" s="35" t="s">
        <v>87</v>
      </c>
      <c r="AC41" s="3" t="s">
        <v>439</v>
      </c>
      <c r="AD41" s="3" t="s">
        <v>325</v>
      </c>
      <c r="AE41" s="3" t="s">
        <v>187</v>
      </c>
      <c r="AF41" s="3" t="s">
        <v>403</v>
      </c>
      <c r="AG41" s="3"/>
      <c r="AH41" s="3"/>
      <c r="AI41" s="26" t="s">
        <v>404</v>
      </c>
      <c r="AJ41" s="30" t="n">
        <v>1</v>
      </c>
      <c r="AK41" s="31"/>
      <c r="AL41" s="32"/>
      <c r="AM41" s="3" t="s">
        <v>440</v>
      </c>
      <c r="AN41" s="3"/>
    </row>
    <row r="42" customFormat="false" ht="46.25" hidden="false" customHeight="false" outlineLevel="0" collapsed="false">
      <c r="A42" s="23" t="s">
        <v>441</v>
      </c>
      <c r="B42" s="23" t="s">
        <v>442</v>
      </c>
      <c r="C42" s="24" t="s">
        <v>152</v>
      </c>
      <c r="D42" s="23" t="s">
        <v>395</v>
      </c>
      <c r="E42" s="23" t="s">
        <v>396</v>
      </c>
      <c r="F42" s="25" t="s">
        <v>443</v>
      </c>
      <c r="G42" s="23" t="s">
        <v>444</v>
      </c>
      <c r="H42" s="3" t="s">
        <v>190</v>
      </c>
      <c r="I42" s="3" t="s">
        <v>445</v>
      </c>
      <c r="J42" s="3" t="s">
        <v>192</v>
      </c>
      <c r="K42" s="26" t="s">
        <v>193</v>
      </c>
      <c r="L42" s="3" t="s">
        <v>425</v>
      </c>
      <c r="M42" s="3" t="s">
        <v>242</v>
      </c>
      <c r="N42" s="3" t="s">
        <v>446</v>
      </c>
      <c r="O42" s="26" t="n">
        <v>2</v>
      </c>
      <c r="P42" s="26"/>
      <c r="Q42" s="26" t="s">
        <v>193</v>
      </c>
      <c r="R42" s="27"/>
      <c r="S42" s="3"/>
      <c r="T42" s="28" t="n">
        <v>3500</v>
      </c>
      <c r="U42" s="28" t="n">
        <v>6000</v>
      </c>
      <c r="V42" s="28" t="n">
        <v>10000</v>
      </c>
      <c r="W42" s="28" t="n">
        <v>6000</v>
      </c>
      <c r="X42" s="28" t="n">
        <v>10000</v>
      </c>
      <c r="Y42" s="28" t="n">
        <v>6000</v>
      </c>
      <c r="Z42" s="28" t="n">
        <v>10000</v>
      </c>
      <c r="AA42" s="28" t="n">
        <v>0</v>
      </c>
      <c r="AB42" s="34" t="s">
        <v>83</v>
      </c>
      <c r="AC42" s="3" t="s">
        <v>447</v>
      </c>
      <c r="AD42" s="3" t="s">
        <v>325</v>
      </c>
      <c r="AE42" s="3" t="s">
        <v>270</v>
      </c>
      <c r="AF42" s="3" t="s">
        <v>192</v>
      </c>
      <c r="AG42" s="3"/>
      <c r="AH42" s="3"/>
      <c r="AI42" s="26" t="s">
        <v>448</v>
      </c>
      <c r="AJ42" s="30" t="n">
        <v>1</v>
      </c>
      <c r="AK42" s="31"/>
      <c r="AL42" s="32"/>
      <c r="AM42" s="3" t="s">
        <v>449</v>
      </c>
      <c r="AN42" s="3"/>
    </row>
    <row r="43" customFormat="false" ht="23.85" hidden="false" customHeight="false" outlineLevel="0" collapsed="false">
      <c r="A43" s="3" t="s">
        <v>450</v>
      </c>
      <c r="B43" s="3" t="s">
        <v>442</v>
      </c>
      <c r="C43" s="26" t="s">
        <v>154</v>
      </c>
      <c r="D43" s="36" t="str">
        <f aca="false">D42</f>
        <v>4 Toilets, kitchens and fittings</v>
      </c>
      <c r="E43" s="36" t="str">
        <f aca="false">E42</f>
        <v>Toilets, bathrooms and kitchens</v>
      </c>
      <c r="F43" s="36" t="str">
        <f aca="false">F42</f>
        <v>Kitchens</v>
      </c>
      <c r="G43" s="3"/>
      <c r="H43" s="3"/>
      <c r="I43" s="3" t="s">
        <v>451</v>
      </c>
      <c r="J43" s="3" t="s">
        <v>192</v>
      </c>
      <c r="K43" s="26"/>
      <c r="L43" s="3" t="s">
        <v>400</v>
      </c>
      <c r="M43" s="3" t="s">
        <v>242</v>
      </c>
      <c r="N43" s="3"/>
      <c r="O43" s="26" t="n">
        <v>2</v>
      </c>
      <c r="P43" s="26"/>
      <c r="Q43" s="26" t="s">
        <v>193</v>
      </c>
      <c r="R43" s="27"/>
      <c r="S43" s="3"/>
      <c r="T43" s="28" t="n">
        <v>2500</v>
      </c>
      <c r="U43" s="28" t="n">
        <v>4000</v>
      </c>
      <c r="V43" s="28" t="n">
        <v>7000</v>
      </c>
      <c r="W43" s="28" t="n">
        <v>4000</v>
      </c>
      <c r="X43" s="28" t="n">
        <v>7000</v>
      </c>
      <c r="Y43" s="28" t="n">
        <v>4000</v>
      </c>
      <c r="Z43" s="28" t="n">
        <v>7000</v>
      </c>
      <c r="AA43" s="28" t="n">
        <v>0</v>
      </c>
      <c r="AB43" s="35" t="s">
        <v>87</v>
      </c>
      <c r="AC43" s="3" t="s">
        <v>452</v>
      </c>
      <c r="AD43" s="3"/>
      <c r="AE43" s="3"/>
      <c r="AF43" s="3"/>
      <c r="AG43" s="3"/>
      <c r="AH43" s="3"/>
      <c r="AI43" s="31"/>
      <c r="AJ43" s="32"/>
      <c r="AK43" s="31"/>
      <c r="AL43" s="32"/>
      <c r="AM43" s="3"/>
      <c r="AN43" s="3"/>
    </row>
    <row r="44" customFormat="false" ht="23.85" hidden="false" customHeight="false" outlineLevel="0" collapsed="false">
      <c r="A44" s="23" t="s">
        <v>453</v>
      </c>
      <c r="B44" s="23" t="s">
        <v>454</v>
      </c>
      <c r="C44" s="24" t="s">
        <v>152</v>
      </c>
      <c r="D44" s="23" t="s">
        <v>395</v>
      </c>
      <c r="E44" s="23" t="s">
        <v>455</v>
      </c>
      <c r="F44" s="25" t="s">
        <v>456</v>
      </c>
      <c r="G44" s="23" t="s">
        <v>457</v>
      </c>
      <c r="H44" s="3" t="s">
        <v>190</v>
      </c>
      <c r="I44" s="3" t="s">
        <v>191</v>
      </c>
      <c r="J44" s="3" t="s">
        <v>192</v>
      </c>
      <c r="K44" s="26" t="s">
        <v>193</v>
      </c>
      <c r="L44" s="3" t="s">
        <v>194</v>
      </c>
      <c r="M44" s="3" t="s">
        <v>195</v>
      </c>
      <c r="N44" s="3" t="s">
        <v>216</v>
      </c>
      <c r="O44" s="26" t="n">
        <v>1</v>
      </c>
      <c r="P44" s="26"/>
      <c r="Q44" s="26" t="s">
        <v>193</v>
      </c>
      <c r="R44" s="27"/>
      <c r="S44" s="3"/>
      <c r="T44" s="28" t="n">
        <v>10</v>
      </c>
      <c r="U44" s="28" t="n">
        <v>45</v>
      </c>
      <c r="V44" s="28" t="n">
        <v>100</v>
      </c>
      <c r="W44" s="28" t="n">
        <v>15</v>
      </c>
      <c r="X44" s="28" t="n">
        <v>50</v>
      </c>
      <c r="Y44" s="28" t="n">
        <v>10</v>
      </c>
      <c r="Z44" s="28" t="n">
        <v>40</v>
      </c>
      <c r="AA44" s="28" t="n">
        <v>0</v>
      </c>
      <c r="AB44" s="34" t="s">
        <v>83</v>
      </c>
      <c r="AC44" s="3" t="s">
        <v>458</v>
      </c>
      <c r="AD44" s="3" t="s">
        <v>325</v>
      </c>
      <c r="AE44" s="3" t="s">
        <v>187</v>
      </c>
      <c r="AF44" s="3" t="s">
        <v>192</v>
      </c>
      <c r="AG44" s="3"/>
      <c r="AH44" s="3"/>
      <c r="AI44" s="26" t="s">
        <v>459</v>
      </c>
      <c r="AJ44" s="30" t="n">
        <v>1</v>
      </c>
      <c r="AK44" s="31"/>
      <c r="AL44" s="32"/>
      <c r="AM44" s="3" t="s">
        <v>459</v>
      </c>
      <c r="AN44" s="3"/>
    </row>
    <row r="45" customFormat="false" ht="23.85" hidden="false" customHeight="false" outlineLevel="0" collapsed="false">
      <c r="A45" s="23" t="s">
        <v>460</v>
      </c>
      <c r="B45" s="23" t="s">
        <v>461</v>
      </c>
      <c r="C45" s="24" t="s">
        <v>152</v>
      </c>
      <c r="D45" s="23" t="s">
        <v>395</v>
      </c>
      <c r="E45" s="23" t="s">
        <v>455</v>
      </c>
      <c r="F45" s="25" t="s">
        <v>462</v>
      </c>
      <c r="G45" s="23" t="s">
        <v>463</v>
      </c>
      <c r="H45" s="3" t="s">
        <v>190</v>
      </c>
      <c r="I45" s="3" t="s">
        <v>191</v>
      </c>
      <c r="J45" s="3" t="s">
        <v>192</v>
      </c>
      <c r="K45" s="26" t="s">
        <v>193</v>
      </c>
      <c r="L45" s="3" t="s">
        <v>194</v>
      </c>
      <c r="M45" s="3" t="s">
        <v>195</v>
      </c>
      <c r="N45" s="3" t="s">
        <v>216</v>
      </c>
      <c r="O45" s="26" t="n">
        <v>1</v>
      </c>
      <c r="P45" s="26"/>
      <c r="Q45" s="26" t="s">
        <v>193</v>
      </c>
      <c r="R45" s="27"/>
      <c r="S45" s="3"/>
      <c r="T45" s="28" t="n">
        <v>5</v>
      </c>
      <c r="U45" s="28" t="n">
        <v>10</v>
      </c>
      <c r="V45" s="28" t="n">
        <v>15</v>
      </c>
      <c r="W45" s="28" t="n">
        <v>3</v>
      </c>
      <c r="X45" s="28" t="n">
        <v>10</v>
      </c>
      <c r="Y45" s="28" t="n">
        <v>2</v>
      </c>
      <c r="Z45" s="28" t="n">
        <v>8</v>
      </c>
      <c r="AA45" s="28" t="n">
        <v>5</v>
      </c>
      <c r="AB45" s="34" t="s">
        <v>83</v>
      </c>
      <c r="AC45" s="3" t="s">
        <v>464</v>
      </c>
      <c r="AD45" s="3" t="s">
        <v>325</v>
      </c>
      <c r="AE45" s="3" t="s">
        <v>270</v>
      </c>
      <c r="AF45" s="3" t="s">
        <v>192</v>
      </c>
      <c r="AG45" s="3"/>
      <c r="AH45" s="3"/>
      <c r="AI45" s="26" t="s">
        <v>465</v>
      </c>
      <c r="AJ45" s="30" t="n">
        <v>1</v>
      </c>
      <c r="AK45" s="31"/>
      <c r="AL45" s="32"/>
      <c r="AM45" s="3" t="s">
        <v>466</v>
      </c>
      <c r="AN45" s="3"/>
    </row>
    <row r="46" customFormat="false" ht="23.85" hidden="false" customHeight="false" outlineLevel="0" collapsed="false">
      <c r="A46" s="23" t="s">
        <v>467</v>
      </c>
      <c r="B46" s="23" t="s">
        <v>468</v>
      </c>
      <c r="C46" s="24" t="s">
        <v>152</v>
      </c>
      <c r="D46" s="23" t="s">
        <v>395</v>
      </c>
      <c r="E46" s="23" t="s">
        <v>455</v>
      </c>
      <c r="F46" s="25" t="s">
        <v>469</v>
      </c>
      <c r="G46" s="23" t="s">
        <v>470</v>
      </c>
      <c r="H46" s="3" t="s">
        <v>190</v>
      </c>
      <c r="I46" s="3" t="s">
        <v>191</v>
      </c>
      <c r="J46" s="3" t="s">
        <v>192</v>
      </c>
      <c r="K46" s="26" t="s">
        <v>193</v>
      </c>
      <c r="L46" s="3" t="s">
        <v>194</v>
      </c>
      <c r="M46" s="3" t="s">
        <v>195</v>
      </c>
      <c r="N46" s="3" t="s">
        <v>216</v>
      </c>
      <c r="O46" s="26" t="n">
        <v>2</v>
      </c>
      <c r="P46" s="26"/>
      <c r="Q46" s="26" t="s">
        <v>193</v>
      </c>
      <c r="R46" s="27"/>
      <c r="S46" s="3"/>
      <c r="T46" s="28" t="n">
        <v>30</v>
      </c>
      <c r="U46" s="28" t="n">
        <v>30</v>
      </c>
      <c r="V46" s="28" t="n">
        <v>82</v>
      </c>
      <c r="W46" s="28" t="n">
        <v>30</v>
      </c>
      <c r="X46" s="28" t="n">
        <v>82</v>
      </c>
      <c r="Y46" s="28" t="n">
        <v>30</v>
      </c>
      <c r="Z46" s="28" t="n">
        <v>82</v>
      </c>
      <c r="AA46" s="28" t="n">
        <v>0</v>
      </c>
      <c r="AB46" s="29" t="s">
        <v>85</v>
      </c>
      <c r="AC46" s="3" t="s">
        <v>471</v>
      </c>
      <c r="AD46" s="3" t="s">
        <v>325</v>
      </c>
      <c r="AE46" s="3" t="s">
        <v>187</v>
      </c>
      <c r="AF46" s="3" t="s">
        <v>472</v>
      </c>
      <c r="AG46" s="3"/>
      <c r="AH46" s="3"/>
      <c r="AI46" s="26" t="s">
        <v>473</v>
      </c>
      <c r="AJ46" s="30" t="n">
        <v>1</v>
      </c>
      <c r="AK46" s="31"/>
      <c r="AL46" s="32"/>
      <c r="AM46" s="3" t="s">
        <v>474</v>
      </c>
      <c r="AN46" s="3"/>
    </row>
    <row r="47" customFormat="false" ht="23.85" hidden="false" customHeight="false" outlineLevel="0" collapsed="false">
      <c r="A47" s="23" t="s">
        <v>475</v>
      </c>
      <c r="B47" s="23" t="s">
        <v>476</v>
      </c>
      <c r="C47" s="24" t="s">
        <v>152</v>
      </c>
      <c r="D47" s="23" t="s">
        <v>395</v>
      </c>
      <c r="E47" s="23" t="s">
        <v>455</v>
      </c>
      <c r="F47" s="25" t="s">
        <v>477</v>
      </c>
      <c r="G47" s="23" t="s">
        <v>478</v>
      </c>
      <c r="H47" s="3" t="s">
        <v>190</v>
      </c>
      <c r="I47" s="3" t="s">
        <v>191</v>
      </c>
      <c r="J47" s="3" t="s">
        <v>192</v>
      </c>
      <c r="K47" s="26" t="s">
        <v>193</v>
      </c>
      <c r="L47" s="3" t="s">
        <v>194</v>
      </c>
      <c r="M47" s="3" t="s">
        <v>195</v>
      </c>
      <c r="N47" s="3" t="s">
        <v>216</v>
      </c>
      <c r="O47" s="26" t="n">
        <v>1</v>
      </c>
      <c r="P47" s="26"/>
      <c r="Q47" s="26" t="s">
        <v>244</v>
      </c>
      <c r="R47" s="27"/>
      <c r="S47" s="3"/>
      <c r="T47" s="28" t="n">
        <v>55</v>
      </c>
      <c r="U47" s="28" t="n">
        <v>110</v>
      </c>
      <c r="V47" s="28" t="n">
        <v>240</v>
      </c>
      <c r="W47" s="28" t="n">
        <v>110</v>
      </c>
      <c r="X47" s="28" t="n">
        <v>240</v>
      </c>
      <c r="Y47" s="28" t="n">
        <v>110</v>
      </c>
      <c r="Z47" s="28" t="n">
        <v>240</v>
      </c>
      <c r="AA47" s="28" t="n">
        <v>0</v>
      </c>
      <c r="AB47" s="29" t="s">
        <v>85</v>
      </c>
      <c r="AC47" s="3" t="s">
        <v>479</v>
      </c>
      <c r="AD47" s="3" t="s">
        <v>325</v>
      </c>
      <c r="AE47" s="3" t="s">
        <v>187</v>
      </c>
      <c r="AF47" s="3" t="s">
        <v>192</v>
      </c>
      <c r="AG47" s="3"/>
      <c r="AH47" s="3"/>
      <c r="AI47" s="26" t="s">
        <v>459</v>
      </c>
      <c r="AJ47" s="30" t="n">
        <v>1</v>
      </c>
      <c r="AK47" s="31"/>
      <c r="AL47" s="32"/>
      <c r="AM47" s="3" t="s">
        <v>480</v>
      </c>
      <c r="AN47" s="3" t="s">
        <v>481</v>
      </c>
    </row>
    <row r="48" customFormat="false" ht="23.85" hidden="false" customHeight="false" outlineLevel="0" collapsed="false">
      <c r="A48" s="3" t="s">
        <v>482</v>
      </c>
      <c r="B48" s="3" t="s">
        <v>476</v>
      </c>
      <c r="C48" s="26" t="s">
        <v>154</v>
      </c>
      <c r="D48" s="36" t="str">
        <f aca="false">D47</f>
        <v>4 Toilets, kitchens and fittings</v>
      </c>
      <c r="E48" s="36" t="str">
        <f aca="false">E47</f>
        <v>Fittings and furniture</v>
      </c>
      <c r="F48" s="36" t="str">
        <f aca="false">F47</f>
        <v>Loose furniture</v>
      </c>
      <c r="G48" s="3"/>
      <c r="H48" s="3"/>
      <c r="I48" s="3" t="s">
        <v>191</v>
      </c>
      <c r="J48" s="3" t="s">
        <v>483</v>
      </c>
      <c r="K48" s="26"/>
      <c r="L48" s="3" t="s">
        <v>194</v>
      </c>
      <c r="M48" s="3" t="s">
        <v>195</v>
      </c>
      <c r="N48" s="3"/>
      <c r="O48" s="26" t="n">
        <v>1</v>
      </c>
      <c r="P48" s="26"/>
      <c r="Q48" s="26" t="s">
        <v>244</v>
      </c>
      <c r="R48" s="27"/>
      <c r="S48" s="3"/>
      <c r="T48" s="28" t="n">
        <v>28</v>
      </c>
      <c r="U48" s="28" t="n">
        <v>50</v>
      </c>
      <c r="V48" s="28" t="n">
        <v>99</v>
      </c>
      <c r="W48" s="28" t="n">
        <v>50</v>
      </c>
      <c r="X48" s="28" t="n">
        <v>99</v>
      </c>
      <c r="Y48" s="28" t="n">
        <v>50</v>
      </c>
      <c r="Z48" s="28" t="n">
        <v>99</v>
      </c>
      <c r="AA48" s="28" t="n">
        <v>0</v>
      </c>
      <c r="AB48" s="29" t="s">
        <v>85</v>
      </c>
      <c r="AC48" s="3" t="s">
        <v>484</v>
      </c>
      <c r="AD48" s="3"/>
      <c r="AE48" s="3"/>
      <c r="AF48" s="3"/>
      <c r="AG48" s="3"/>
      <c r="AH48" s="3"/>
      <c r="AI48" s="31"/>
      <c r="AJ48" s="32"/>
      <c r="AK48" s="31"/>
      <c r="AL48" s="32"/>
      <c r="AM48" s="3"/>
      <c r="AN48" s="3"/>
    </row>
    <row r="49" customFormat="false" ht="23.85" hidden="false" customHeight="false" outlineLevel="0" collapsed="false">
      <c r="A49" s="3" t="s">
        <v>485</v>
      </c>
      <c r="B49" s="3" t="s">
        <v>476</v>
      </c>
      <c r="C49" s="26" t="s">
        <v>154</v>
      </c>
      <c r="D49" s="36" t="str">
        <f aca="false">D47</f>
        <v>4 Toilets, kitchens and fittings</v>
      </c>
      <c r="E49" s="36" t="str">
        <f aca="false">E47</f>
        <v>Fittings and furniture</v>
      </c>
      <c r="F49" s="36" t="str">
        <f aca="false">F47</f>
        <v>Loose furniture</v>
      </c>
      <c r="G49" s="3"/>
      <c r="H49" s="3"/>
      <c r="I49" s="3" t="s">
        <v>191</v>
      </c>
      <c r="J49" s="3" t="s">
        <v>486</v>
      </c>
      <c r="K49" s="26"/>
      <c r="L49" s="3" t="s">
        <v>194</v>
      </c>
      <c r="M49" s="3" t="s">
        <v>195</v>
      </c>
      <c r="N49" s="3"/>
      <c r="O49" s="26" t="n">
        <v>1</v>
      </c>
      <c r="P49" s="26"/>
      <c r="Q49" s="26" t="s">
        <v>244</v>
      </c>
      <c r="R49" s="27"/>
      <c r="S49" s="3"/>
      <c r="T49" s="28" t="n">
        <v>48</v>
      </c>
      <c r="U49" s="28" t="n">
        <v>88</v>
      </c>
      <c r="V49" s="28" t="n">
        <v>180</v>
      </c>
      <c r="W49" s="28" t="n">
        <v>88</v>
      </c>
      <c r="X49" s="28" t="n">
        <v>180</v>
      </c>
      <c r="Y49" s="28" t="n">
        <v>88</v>
      </c>
      <c r="Z49" s="28" t="n">
        <v>180</v>
      </c>
      <c r="AA49" s="28" t="n">
        <v>0</v>
      </c>
      <c r="AB49" s="29" t="s">
        <v>85</v>
      </c>
      <c r="AC49" s="3" t="s">
        <v>487</v>
      </c>
      <c r="AD49" s="3"/>
      <c r="AE49" s="3"/>
      <c r="AF49" s="3"/>
      <c r="AG49" s="3"/>
      <c r="AH49" s="3"/>
      <c r="AI49" s="31"/>
      <c r="AJ49" s="32"/>
      <c r="AK49" s="31"/>
      <c r="AL49" s="32"/>
      <c r="AM49" s="3"/>
      <c r="AN49" s="3"/>
    </row>
    <row r="50" customFormat="false" ht="23.85" hidden="false" customHeight="false" outlineLevel="0" collapsed="false">
      <c r="A50" s="3" t="s">
        <v>488</v>
      </c>
      <c r="B50" s="3" t="s">
        <v>476</v>
      </c>
      <c r="C50" s="26" t="s">
        <v>154</v>
      </c>
      <c r="D50" s="36" t="str">
        <f aca="false">D47</f>
        <v>4 Toilets, kitchens and fittings</v>
      </c>
      <c r="E50" s="36" t="str">
        <f aca="false">E47</f>
        <v>Fittings and furniture</v>
      </c>
      <c r="F50" s="36" t="str">
        <f aca="false">F47</f>
        <v>Loose furniture</v>
      </c>
      <c r="G50" s="3"/>
      <c r="H50" s="3"/>
      <c r="I50" s="3" t="s">
        <v>191</v>
      </c>
      <c r="J50" s="3" t="s">
        <v>408</v>
      </c>
      <c r="K50" s="26"/>
      <c r="L50" s="3" t="s">
        <v>194</v>
      </c>
      <c r="M50" s="3" t="s">
        <v>195</v>
      </c>
      <c r="N50" s="3"/>
      <c r="O50" s="26" t="n">
        <v>1</v>
      </c>
      <c r="P50" s="26"/>
      <c r="Q50" s="26" t="s">
        <v>244</v>
      </c>
      <c r="R50" s="27"/>
      <c r="S50" s="3"/>
      <c r="T50" s="28" t="n">
        <v>62</v>
      </c>
      <c r="U50" s="28" t="n">
        <v>138</v>
      </c>
      <c r="V50" s="28" t="n">
        <v>350</v>
      </c>
      <c r="W50" s="28" t="n">
        <v>138</v>
      </c>
      <c r="X50" s="28" t="n">
        <v>350</v>
      </c>
      <c r="Y50" s="28" t="n">
        <v>138</v>
      </c>
      <c r="Z50" s="28" t="n">
        <v>350</v>
      </c>
      <c r="AA50" s="28" t="n">
        <v>0</v>
      </c>
      <c r="AB50" s="29" t="s">
        <v>85</v>
      </c>
      <c r="AC50" s="3" t="s">
        <v>489</v>
      </c>
      <c r="AD50" s="3"/>
      <c r="AE50" s="3"/>
      <c r="AF50" s="3"/>
      <c r="AG50" s="3"/>
      <c r="AH50" s="3"/>
      <c r="AI50" s="31"/>
      <c r="AJ50" s="32"/>
      <c r="AK50" s="31"/>
      <c r="AL50" s="32"/>
      <c r="AM50" s="3"/>
      <c r="AN50" s="3"/>
    </row>
    <row r="51" customFormat="false" ht="46.25" hidden="false" customHeight="false" outlineLevel="0" collapsed="false">
      <c r="A51" s="23" t="s">
        <v>490</v>
      </c>
      <c r="B51" s="23" t="s">
        <v>491</v>
      </c>
      <c r="C51" s="24" t="s">
        <v>152</v>
      </c>
      <c r="D51" s="23" t="s">
        <v>395</v>
      </c>
      <c r="E51" s="23" t="s">
        <v>492</v>
      </c>
      <c r="F51" s="25" t="s">
        <v>493</v>
      </c>
      <c r="G51" s="23" t="s">
        <v>494</v>
      </c>
      <c r="H51" s="3" t="s">
        <v>190</v>
      </c>
      <c r="I51" s="3" t="s">
        <v>191</v>
      </c>
      <c r="J51" s="3" t="s">
        <v>192</v>
      </c>
      <c r="K51" s="26" t="s">
        <v>193</v>
      </c>
      <c r="L51" s="3" t="s">
        <v>495</v>
      </c>
      <c r="M51" s="3" t="s">
        <v>323</v>
      </c>
      <c r="N51" s="3" t="s">
        <v>496</v>
      </c>
      <c r="O51" s="26" t="n">
        <v>3</v>
      </c>
      <c r="P51" s="26"/>
      <c r="Q51" s="26" t="s">
        <v>244</v>
      </c>
      <c r="R51" s="27"/>
      <c r="S51" s="3"/>
      <c r="T51" s="28" t="n">
        <v>373</v>
      </c>
      <c r="U51" s="28" t="n">
        <v>690</v>
      </c>
      <c r="V51" s="28" t="n">
        <v>1455</v>
      </c>
      <c r="W51" s="28" t="n">
        <v>690</v>
      </c>
      <c r="X51" s="28" t="n">
        <v>1455</v>
      </c>
      <c r="Y51" s="28" t="n">
        <v>690</v>
      </c>
      <c r="Z51" s="28" t="n">
        <v>1455</v>
      </c>
      <c r="AA51" s="28" t="n">
        <v>0</v>
      </c>
      <c r="AB51" s="29" t="s">
        <v>85</v>
      </c>
      <c r="AC51" s="3" t="s">
        <v>497</v>
      </c>
      <c r="AD51" s="3" t="s">
        <v>325</v>
      </c>
      <c r="AE51" s="3" t="s">
        <v>187</v>
      </c>
      <c r="AF51" s="3" t="s">
        <v>498</v>
      </c>
      <c r="AG51" s="3"/>
      <c r="AH51" s="3" t="s">
        <v>499</v>
      </c>
      <c r="AI51" s="26" t="s">
        <v>500</v>
      </c>
      <c r="AJ51" s="30" t="n">
        <v>1</v>
      </c>
      <c r="AK51" s="31"/>
      <c r="AL51" s="32"/>
      <c r="AM51" s="3" t="s">
        <v>501</v>
      </c>
      <c r="AN51" s="3"/>
    </row>
    <row r="52" customFormat="false" ht="35.05" hidden="false" customHeight="false" outlineLevel="0" collapsed="false">
      <c r="A52" s="23" t="s">
        <v>502</v>
      </c>
      <c r="B52" s="23" t="s">
        <v>503</v>
      </c>
      <c r="C52" s="24" t="s">
        <v>152</v>
      </c>
      <c r="D52" s="23" t="s">
        <v>395</v>
      </c>
      <c r="E52" s="23" t="s">
        <v>492</v>
      </c>
      <c r="F52" s="25" t="s">
        <v>504</v>
      </c>
      <c r="G52" s="23" t="s">
        <v>505</v>
      </c>
      <c r="H52" s="3" t="s">
        <v>190</v>
      </c>
      <c r="I52" s="3" t="s">
        <v>191</v>
      </c>
      <c r="J52" s="3" t="s">
        <v>192</v>
      </c>
      <c r="K52" s="26" t="s">
        <v>193</v>
      </c>
      <c r="L52" s="3" t="s">
        <v>506</v>
      </c>
      <c r="M52" s="3" t="s">
        <v>323</v>
      </c>
      <c r="N52" s="3" t="s">
        <v>507</v>
      </c>
      <c r="O52" s="26" t="n">
        <v>1</v>
      </c>
      <c r="P52" s="26"/>
      <c r="Q52" s="26" t="s">
        <v>193</v>
      </c>
      <c r="R52" s="27"/>
      <c r="S52" s="3"/>
      <c r="T52" s="28" t="n">
        <v>310</v>
      </c>
      <c r="U52" s="28" t="n">
        <v>310</v>
      </c>
      <c r="V52" s="28" t="n">
        <v>600</v>
      </c>
      <c r="W52" s="28" t="n">
        <v>310</v>
      </c>
      <c r="X52" s="28" t="n">
        <v>600</v>
      </c>
      <c r="Y52" s="28" t="n">
        <v>310</v>
      </c>
      <c r="Z52" s="28" t="n">
        <v>600</v>
      </c>
      <c r="AA52" s="28" t="n">
        <v>0</v>
      </c>
      <c r="AB52" s="29" t="s">
        <v>85</v>
      </c>
      <c r="AC52" s="3" t="s">
        <v>508</v>
      </c>
      <c r="AD52" s="3" t="s">
        <v>325</v>
      </c>
      <c r="AE52" s="3" t="s">
        <v>187</v>
      </c>
      <c r="AF52" s="3" t="s">
        <v>509</v>
      </c>
      <c r="AG52" s="3"/>
      <c r="AH52" s="3" t="s">
        <v>510</v>
      </c>
      <c r="AI52" s="26" t="s">
        <v>511</v>
      </c>
      <c r="AJ52" s="30" t="n">
        <v>1</v>
      </c>
      <c r="AK52" s="31"/>
      <c r="AL52" s="32"/>
      <c r="AM52" s="3" t="s">
        <v>512</v>
      </c>
      <c r="AN52" s="3" t="s">
        <v>513</v>
      </c>
    </row>
    <row r="53" customFormat="false" ht="23.85" hidden="false" customHeight="false" outlineLevel="0" collapsed="false">
      <c r="A53" s="23" t="s">
        <v>514</v>
      </c>
      <c r="B53" s="23" t="s">
        <v>515</v>
      </c>
      <c r="C53" s="24" t="s">
        <v>152</v>
      </c>
      <c r="D53" s="23" t="s">
        <v>395</v>
      </c>
      <c r="E53" s="23" t="s">
        <v>492</v>
      </c>
      <c r="F53" s="25" t="s">
        <v>516</v>
      </c>
      <c r="G53" s="23" t="s">
        <v>517</v>
      </c>
      <c r="H53" s="3" t="s">
        <v>190</v>
      </c>
      <c r="I53" s="3" t="s">
        <v>191</v>
      </c>
      <c r="J53" s="3" t="s">
        <v>192</v>
      </c>
      <c r="K53" s="26" t="s">
        <v>193</v>
      </c>
      <c r="L53" s="3" t="s">
        <v>518</v>
      </c>
      <c r="M53" s="3" t="s">
        <v>323</v>
      </c>
      <c r="N53" s="3" t="s">
        <v>519</v>
      </c>
      <c r="O53" s="26" t="n">
        <v>1</v>
      </c>
      <c r="P53" s="26"/>
      <c r="Q53" s="26" t="s">
        <v>193</v>
      </c>
      <c r="R53" s="27"/>
      <c r="S53" s="3"/>
      <c r="T53" s="28" t="n">
        <v>65</v>
      </c>
      <c r="U53" s="28" t="n">
        <v>65</v>
      </c>
      <c r="V53" s="28" t="n">
        <v>130</v>
      </c>
      <c r="W53" s="28" t="n">
        <v>65</v>
      </c>
      <c r="X53" s="28" t="n">
        <v>130</v>
      </c>
      <c r="Y53" s="28" t="n">
        <v>65</v>
      </c>
      <c r="Z53" s="28" t="n">
        <v>130</v>
      </c>
      <c r="AA53" s="28" t="n">
        <v>0</v>
      </c>
      <c r="AB53" s="50" t="s">
        <v>81</v>
      </c>
      <c r="AC53" s="3" t="s">
        <v>520</v>
      </c>
      <c r="AD53" s="3" t="s">
        <v>325</v>
      </c>
      <c r="AE53" s="3" t="s">
        <v>187</v>
      </c>
      <c r="AF53" s="3" t="s">
        <v>411</v>
      </c>
      <c r="AG53" s="3"/>
      <c r="AH53" s="3" t="s">
        <v>521</v>
      </c>
      <c r="AI53" s="26" t="s">
        <v>511</v>
      </c>
      <c r="AJ53" s="30" t="n">
        <v>1</v>
      </c>
      <c r="AK53" s="31"/>
      <c r="AL53" s="32"/>
      <c r="AM53" s="3" t="s">
        <v>522</v>
      </c>
      <c r="AN53" s="3" t="s">
        <v>523</v>
      </c>
    </row>
    <row r="54" customFormat="false" ht="35.05" hidden="false" customHeight="false" outlineLevel="0" collapsed="false">
      <c r="A54" s="23" t="s">
        <v>524</v>
      </c>
      <c r="B54" s="23" t="s">
        <v>525</v>
      </c>
      <c r="C54" s="24" t="s">
        <v>152</v>
      </c>
      <c r="D54" s="23" t="s">
        <v>395</v>
      </c>
      <c r="E54" s="23" t="s">
        <v>492</v>
      </c>
      <c r="F54" s="25" t="s">
        <v>526</v>
      </c>
      <c r="G54" s="23" t="s">
        <v>527</v>
      </c>
      <c r="H54" s="3" t="s">
        <v>190</v>
      </c>
      <c r="I54" s="3" t="s">
        <v>191</v>
      </c>
      <c r="J54" s="3" t="s">
        <v>192</v>
      </c>
      <c r="K54" s="26" t="s">
        <v>193</v>
      </c>
      <c r="L54" s="3" t="s">
        <v>528</v>
      </c>
      <c r="M54" s="3" t="s">
        <v>323</v>
      </c>
      <c r="N54" s="3" t="s">
        <v>529</v>
      </c>
      <c r="O54" s="26" t="n">
        <v>1</v>
      </c>
      <c r="P54" s="26"/>
      <c r="Q54" s="26" t="s">
        <v>193</v>
      </c>
      <c r="R54" s="27"/>
      <c r="S54" s="3"/>
      <c r="T54" s="28" t="n">
        <v>163</v>
      </c>
      <c r="U54" s="28" t="n">
        <v>163</v>
      </c>
      <c r="V54" s="28" t="n">
        <v>305</v>
      </c>
      <c r="W54" s="28" t="n">
        <v>163</v>
      </c>
      <c r="X54" s="28" t="n">
        <v>305</v>
      </c>
      <c r="Y54" s="28" t="n">
        <v>163</v>
      </c>
      <c r="Z54" s="28" t="n">
        <v>305</v>
      </c>
      <c r="AA54" s="28" t="n">
        <v>0</v>
      </c>
      <c r="AB54" s="29" t="s">
        <v>85</v>
      </c>
      <c r="AC54" s="3" t="s">
        <v>530</v>
      </c>
      <c r="AD54" s="3" t="s">
        <v>325</v>
      </c>
      <c r="AE54" s="3" t="s">
        <v>187</v>
      </c>
      <c r="AF54" s="3" t="s">
        <v>531</v>
      </c>
      <c r="AG54" s="3"/>
      <c r="AH54" s="3"/>
      <c r="AI54" s="26" t="s">
        <v>511</v>
      </c>
      <c r="AJ54" s="30" t="n">
        <v>1</v>
      </c>
      <c r="AK54" s="31"/>
      <c r="AL54" s="32"/>
      <c r="AM54" s="3" t="s">
        <v>532</v>
      </c>
      <c r="AN54" s="3"/>
    </row>
    <row r="55" customFormat="false" ht="35.05" hidden="false" customHeight="false" outlineLevel="0" collapsed="false">
      <c r="A55" s="23" t="s">
        <v>533</v>
      </c>
      <c r="B55" s="23" t="s">
        <v>534</v>
      </c>
      <c r="C55" s="24" t="s">
        <v>152</v>
      </c>
      <c r="D55" s="23" t="s">
        <v>395</v>
      </c>
      <c r="E55" s="23" t="s">
        <v>492</v>
      </c>
      <c r="F55" s="25" t="s">
        <v>535</v>
      </c>
      <c r="G55" s="23" t="s">
        <v>536</v>
      </c>
      <c r="H55" s="3" t="s">
        <v>190</v>
      </c>
      <c r="I55" s="3" t="s">
        <v>191</v>
      </c>
      <c r="J55" s="3" t="s">
        <v>192</v>
      </c>
      <c r="K55" s="26" t="s">
        <v>193</v>
      </c>
      <c r="L55" s="3" t="s">
        <v>194</v>
      </c>
      <c r="M55" s="3" t="s">
        <v>323</v>
      </c>
      <c r="N55" s="3" t="s">
        <v>537</v>
      </c>
      <c r="O55" s="26" t="n">
        <v>1</v>
      </c>
      <c r="P55" s="26"/>
      <c r="Q55" s="26" t="s">
        <v>193</v>
      </c>
      <c r="R55" s="27"/>
      <c r="S55" s="3"/>
      <c r="T55" s="28" t="n">
        <v>22</v>
      </c>
      <c r="U55" s="28" t="n">
        <v>24</v>
      </c>
      <c r="V55" s="28" t="n">
        <v>51</v>
      </c>
      <c r="W55" s="28" t="n">
        <v>24</v>
      </c>
      <c r="X55" s="28" t="n">
        <v>51</v>
      </c>
      <c r="Y55" s="28" t="n">
        <v>24</v>
      </c>
      <c r="Z55" s="28" t="n">
        <v>51</v>
      </c>
      <c r="AA55" s="28" t="n">
        <v>0</v>
      </c>
      <c r="AB55" s="29" t="s">
        <v>85</v>
      </c>
      <c r="AC55" s="3" t="s">
        <v>538</v>
      </c>
      <c r="AD55" s="3" t="s">
        <v>325</v>
      </c>
      <c r="AE55" s="3" t="s">
        <v>187</v>
      </c>
      <c r="AF55" s="3" t="s">
        <v>539</v>
      </c>
      <c r="AG55" s="3"/>
      <c r="AH55" s="3"/>
      <c r="AI55" s="26" t="s">
        <v>511</v>
      </c>
      <c r="AJ55" s="30" t="n">
        <v>1</v>
      </c>
      <c r="AK55" s="31"/>
      <c r="AL55" s="32"/>
      <c r="AM55" s="3" t="s">
        <v>540</v>
      </c>
      <c r="AN55" s="3"/>
    </row>
    <row r="56" customFormat="false" ht="23.85" hidden="false" customHeight="false" outlineLevel="0" collapsed="false">
      <c r="A56" s="23" t="s">
        <v>541</v>
      </c>
      <c r="B56" s="23" t="s">
        <v>542</v>
      </c>
      <c r="C56" s="24" t="s">
        <v>152</v>
      </c>
      <c r="D56" s="23" t="s">
        <v>395</v>
      </c>
      <c r="E56" s="23" t="s">
        <v>492</v>
      </c>
      <c r="F56" s="25" t="s">
        <v>543</v>
      </c>
      <c r="G56" s="23" t="s">
        <v>544</v>
      </c>
      <c r="H56" s="3" t="s">
        <v>190</v>
      </c>
      <c r="I56" s="3" t="s">
        <v>191</v>
      </c>
      <c r="J56" s="3" t="s">
        <v>192</v>
      </c>
      <c r="K56" s="26" t="s">
        <v>193</v>
      </c>
      <c r="L56" s="3" t="s">
        <v>545</v>
      </c>
      <c r="M56" s="3" t="s">
        <v>323</v>
      </c>
      <c r="N56" s="3" t="s">
        <v>243</v>
      </c>
      <c r="O56" s="26" t="n">
        <v>1</v>
      </c>
      <c r="P56" s="26"/>
      <c r="Q56" s="26" t="s">
        <v>193</v>
      </c>
      <c r="R56" s="27"/>
      <c r="S56" s="3"/>
      <c r="T56" s="28" t="n">
        <v>152</v>
      </c>
      <c r="U56" s="28" t="n">
        <v>152</v>
      </c>
      <c r="V56" s="28" t="n">
        <v>352</v>
      </c>
      <c r="W56" s="28" t="n">
        <v>152</v>
      </c>
      <c r="X56" s="28" t="n">
        <v>352</v>
      </c>
      <c r="Y56" s="28" t="n">
        <v>152</v>
      </c>
      <c r="Z56" s="28" t="n">
        <v>352</v>
      </c>
      <c r="AA56" s="28" t="n">
        <v>0</v>
      </c>
      <c r="AB56" s="29" t="s">
        <v>85</v>
      </c>
      <c r="AC56" s="3" t="s">
        <v>546</v>
      </c>
      <c r="AD56" s="3" t="s">
        <v>325</v>
      </c>
      <c r="AE56" s="3" t="s">
        <v>187</v>
      </c>
      <c r="AF56" s="3" t="s">
        <v>547</v>
      </c>
      <c r="AG56" s="3"/>
      <c r="AH56" s="3"/>
      <c r="AI56" s="26" t="s">
        <v>511</v>
      </c>
      <c r="AJ56" s="30" t="n">
        <v>1</v>
      </c>
      <c r="AK56" s="31"/>
      <c r="AL56" s="32"/>
      <c r="AM56" s="3" t="s">
        <v>548</v>
      </c>
      <c r="AN56" s="3"/>
    </row>
    <row r="57" customFormat="false" ht="23.85" hidden="false" customHeight="false" outlineLevel="0" collapsed="false">
      <c r="A57" s="23" t="s">
        <v>549</v>
      </c>
      <c r="B57" s="23" t="s">
        <v>550</v>
      </c>
      <c r="C57" s="24" t="s">
        <v>152</v>
      </c>
      <c r="D57" s="23" t="s">
        <v>395</v>
      </c>
      <c r="E57" s="23" t="s">
        <v>492</v>
      </c>
      <c r="F57" s="25" t="s">
        <v>551</v>
      </c>
      <c r="G57" s="23" t="s">
        <v>552</v>
      </c>
      <c r="H57" s="3" t="s">
        <v>190</v>
      </c>
      <c r="I57" s="3" t="s">
        <v>191</v>
      </c>
      <c r="J57" s="3" t="s">
        <v>192</v>
      </c>
      <c r="K57" s="26" t="s">
        <v>193</v>
      </c>
      <c r="L57" s="3" t="s">
        <v>553</v>
      </c>
      <c r="M57" s="3" t="s">
        <v>323</v>
      </c>
      <c r="N57" s="3" t="s">
        <v>243</v>
      </c>
      <c r="O57" s="26" t="n">
        <v>4</v>
      </c>
      <c r="P57" s="26"/>
      <c r="Q57" s="26" t="s">
        <v>193</v>
      </c>
      <c r="R57" s="27"/>
      <c r="S57" s="3"/>
      <c r="T57" s="28" t="n">
        <v>380</v>
      </c>
      <c r="U57" s="28" t="n">
        <v>380</v>
      </c>
      <c r="V57" s="28" t="n">
        <v>860</v>
      </c>
      <c r="W57" s="28" t="n">
        <v>380</v>
      </c>
      <c r="X57" s="28" t="n">
        <v>860</v>
      </c>
      <c r="Y57" s="28" t="n">
        <v>380</v>
      </c>
      <c r="Z57" s="28" t="n">
        <v>860</v>
      </c>
      <c r="AA57" s="28" t="n">
        <v>0</v>
      </c>
      <c r="AB57" s="50" t="s">
        <v>81</v>
      </c>
      <c r="AC57" s="3" t="s">
        <v>554</v>
      </c>
      <c r="AD57" s="3" t="s">
        <v>325</v>
      </c>
      <c r="AE57" s="3" t="s">
        <v>187</v>
      </c>
      <c r="AF57" s="3" t="s">
        <v>509</v>
      </c>
      <c r="AG57" s="3"/>
      <c r="AH57" s="3"/>
      <c r="AI57" s="26" t="s">
        <v>555</v>
      </c>
      <c r="AJ57" s="30" t="n">
        <v>1</v>
      </c>
      <c r="AK57" s="31"/>
      <c r="AL57" s="32"/>
      <c r="AM57" s="3" t="s">
        <v>556</v>
      </c>
      <c r="AN57" s="3"/>
    </row>
    <row r="58" customFormat="false" ht="23.85" hidden="false" customHeight="false" outlineLevel="0" collapsed="false">
      <c r="A58" s="37" t="s">
        <v>557</v>
      </c>
      <c r="B58" s="37" t="s">
        <v>558</v>
      </c>
      <c r="C58" s="38" t="s">
        <v>152</v>
      </c>
      <c r="D58" s="37" t="s">
        <v>559</v>
      </c>
      <c r="E58" s="37" t="s">
        <v>560</v>
      </c>
      <c r="F58" s="39" t="s">
        <v>561</v>
      </c>
      <c r="G58" s="37" t="s">
        <v>562</v>
      </c>
      <c r="H58" s="40" t="s">
        <v>190</v>
      </c>
      <c r="I58" s="40" t="s">
        <v>563</v>
      </c>
      <c r="J58" s="40" t="s">
        <v>192</v>
      </c>
      <c r="K58" s="41"/>
      <c r="L58" s="40" t="s">
        <v>194</v>
      </c>
      <c r="M58" s="40" t="s">
        <v>195</v>
      </c>
      <c r="N58" s="40" t="s">
        <v>216</v>
      </c>
      <c r="O58" s="41" t="n">
        <v>3</v>
      </c>
      <c r="P58" s="48" t="s">
        <v>364</v>
      </c>
      <c r="Q58" s="41" t="s">
        <v>193</v>
      </c>
      <c r="R58" s="42"/>
      <c r="S58" s="40"/>
      <c r="T58" s="43" t="n">
        <v>30</v>
      </c>
      <c r="U58" s="43" t="n">
        <v>60</v>
      </c>
      <c r="V58" s="43" t="n">
        <v>105</v>
      </c>
      <c r="W58" s="43" t="n">
        <v>58</v>
      </c>
      <c r="X58" s="43" t="n">
        <v>105</v>
      </c>
      <c r="Y58" s="43" t="n">
        <v>55</v>
      </c>
      <c r="Z58" s="43" t="n">
        <v>100</v>
      </c>
      <c r="AA58" s="43" t="n">
        <v>0</v>
      </c>
      <c r="AB58" s="49" t="s">
        <v>85</v>
      </c>
      <c r="AC58" s="40" t="s">
        <v>564</v>
      </c>
      <c r="AD58" s="40" t="s">
        <v>325</v>
      </c>
      <c r="AE58" s="40" t="s">
        <v>270</v>
      </c>
      <c r="AF58" s="40" t="s">
        <v>192</v>
      </c>
      <c r="AG58" s="40"/>
      <c r="AH58" s="40"/>
      <c r="AI58" s="41" t="s">
        <v>565</v>
      </c>
      <c r="AJ58" s="45" t="n">
        <v>0.4</v>
      </c>
      <c r="AK58" s="41" t="s">
        <v>566</v>
      </c>
      <c r="AL58" s="45" t="n">
        <v>0.6</v>
      </c>
      <c r="AM58" s="40" t="s">
        <v>567</v>
      </c>
      <c r="AN58" s="40" t="s">
        <v>406</v>
      </c>
    </row>
    <row r="59" customFormat="false" ht="35.05" hidden="false" customHeight="false" outlineLevel="0" collapsed="false">
      <c r="A59" s="3" t="s">
        <v>568</v>
      </c>
      <c r="B59" s="3" t="s">
        <v>558</v>
      </c>
      <c r="C59" s="26" t="s">
        <v>154</v>
      </c>
      <c r="D59" s="36" t="str">
        <f aca="false">D58</f>
        <v>5 Services</v>
      </c>
      <c r="E59" s="36" t="str">
        <f aca="false">E58</f>
        <v>Mechanical</v>
      </c>
      <c r="F59" s="36" t="str">
        <f aca="false">F58</f>
        <v>Heating and hot water</v>
      </c>
      <c r="G59" s="3"/>
      <c r="H59" s="3"/>
      <c r="I59" s="3" t="s">
        <v>569</v>
      </c>
      <c r="J59" s="3" t="s">
        <v>192</v>
      </c>
      <c r="K59" s="26" t="s">
        <v>193</v>
      </c>
      <c r="L59" s="3" t="s">
        <v>194</v>
      </c>
      <c r="M59" s="3" t="s">
        <v>195</v>
      </c>
      <c r="N59" s="3"/>
      <c r="O59" s="26" t="n">
        <v>3</v>
      </c>
      <c r="P59" s="26"/>
      <c r="Q59" s="26" t="s">
        <v>193</v>
      </c>
      <c r="R59" s="27" t="n">
        <v>1.3</v>
      </c>
      <c r="S59" s="3" t="s">
        <v>557</v>
      </c>
      <c r="T59" s="28" t="n">
        <f aca="false">T58*$R59</f>
        <v>39</v>
      </c>
      <c r="U59" s="28" t="n">
        <f aca="false">U58*$R59</f>
        <v>78</v>
      </c>
      <c r="V59" s="28" t="n">
        <f aca="false">V58*$R59</f>
        <v>136.5</v>
      </c>
      <c r="W59" s="28" t="n">
        <f aca="false">W58*$R59</f>
        <v>75.4</v>
      </c>
      <c r="X59" s="28" t="n">
        <f aca="false">X58*$R59</f>
        <v>136.5</v>
      </c>
      <c r="Y59" s="28" t="n">
        <f aca="false">Y58*$R59</f>
        <v>71.5</v>
      </c>
      <c r="Z59" s="28" t="n">
        <f aca="false">Z58*$R59</f>
        <v>130</v>
      </c>
      <c r="AA59" s="28" t="n">
        <f aca="false">AA58*$R59</f>
        <v>0</v>
      </c>
      <c r="AB59" s="35" t="s">
        <v>87</v>
      </c>
      <c r="AC59" s="3" t="s">
        <v>570</v>
      </c>
      <c r="AD59" s="3"/>
      <c r="AE59" s="3"/>
      <c r="AF59" s="3"/>
      <c r="AG59" s="3"/>
      <c r="AH59" s="3" t="s">
        <v>571</v>
      </c>
      <c r="AI59" s="31"/>
      <c r="AJ59" s="32"/>
      <c r="AK59" s="31"/>
      <c r="AL59" s="32"/>
      <c r="AM59" s="3"/>
      <c r="AN59" s="3"/>
    </row>
    <row r="60" customFormat="false" ht="35.05" hidden="false" customHeight="false" outlineLevel="0" collapsed="false">
      <c r="A60" s="3" t="s">
        <v>572</v>
      </c>
      <c r="B60" s="3" t="s">
        <v>558</v>
      </c>
      <c r="C60" s="26" t="s">
        <v>154</v>
      </c>
      <c r="D60" s="36" t="str">
        <f aca="false">D58</f>
        <v>5 Services</v>
      </c>
      <c r="E60" s="36" t="str">
        <f aca="false">E58</f>
        <v>Mechanical</v>
      </c>
      <c r="F60" s="36" t="str">
        <f aca="false">F58</f>
        <v>Heating and hot water</v>
      </c>
      <c r="G60" s="3"/>
      <c r="H60" s="3"/>
      <c r="I60" s="3" t="s">
        <v>573</v>
      </c>
      <c r="J60" s="3" t="s">
        <v>192</v>
      </c>
      <c r="K60" s="26"/>
      <c r="L60" s="3" t="s">
        <v>194</v>
      </c>
      <c r="M60" s="3" t="s">
        <v>195</v>
      </c>
      <c r="N60" s="3"/>
      <c r="O60" s="26" t="n">
        <v>3</v>
      </c>
      <c r="P60" s="26"/>
      <c r="Q60" s="26" t="s">
        <v>193</v>
      </c>
      <c r="R60" s="27" t="n">
        <v>1.8</v>
      </c>
      <c r="S60" s="3" t="s">
        <v>557</v>
      </c>
      <c r="T60" s="28" t="n">
        <f aca="false">T58*$R60</f>
        <v>54</v>
      </c>
      <c r="U60" s="28" t="n">
        <f aca="false">U58*$R60</f>
        <v>108</v>
      </c>
      <c r="V60" s="28" t="n">
        <f aca="false">V58*$R60</f>
        <v>189</v>
      </c>
      <c r="W60" s="28" t="n">
        <f aca="false">W58*$R60</f>
        <v>104.4</v>
      </c>
      <c r="X60" s="28" t="n">
        <f aca="false">X58*$R60</f>
        <v>189</v>
      </c>
      <c r="Y60" s="28" t="n">
        <f aca="false">Y58*$R60</f>
        <v>99</v>
      </c>
      <c r="Z60" s="28" t="n">
        <f aca="false">Z58*$R60</f>
        <v>180</v>
      </c>
      <c r="AA60" s="28" t="n">
        <f aca="false">AA58*$R60</f>
        <v>0</v>
      </c>
      <c r="AB60" s="35" t="s">
        <v>87</v>
      </c>
      <c r="AC60" s="3" t="s">
        <v>574</v>
      </c>
      <c r="AD60" s="3"/>
      <c r="AE60" s="3"/>
      <c r="AF60" s="3"/>
      <c r="AG60" s="3"/>
      <c r="AH60" s="3" t="s">
        <v>571</v>
      </c>
      <c r="AI60" s="31"/>
      <c r="AJ60" s="32"/>
      <c r="AK60" s="31"/>
      <c r="AL60" s="32"/>
      <c r="AM60" s="3"/>
      <c r="AN60" s="3"/>
    </row>
    <row r="61" customFormat="false" ht="23.85" hidden="false" customHeight="false" outlineLevel="0" collapsed="false">
      <c r="A61" s="3" t="s">
        <v>575</v>
      </c>
      <c r="B61" s="3" t="s">
        <v>558</v>
      </c>
      <c r="C61" s="26" t="s">
        <v>154</v>
      </c>
      <c r="D61" s="36" t="str">
        <f aca="false">D58</f>
        <v>5 Services</v>
      </c>
      <c r="E61" s="36" t="str">
        <f aca="false">E58</f>
        <v>Mechanical</v>
      </c>
      <c r="F61" s="36" t="str">
        <f aca="false">F58</f>
        <v>Heating and hot water</v>
      </c>
      <c r="G61" s="3"/>
      <c r="H61" s="3"/>
      <c r="I61" s="3" t="s">
        <v>576</v>
      </c>
      <c r="J61" s="3" t="s">
        <v>192</v>
      </c>
      <c r="K61" s="26"/>
      <c r="L61" s="3" t="s">
        <v>194</v>
      </c>
      <c r="M61" s="3" t="s">
        <v>195</v>
      </c>
      <c r="N61" s="3"/>
      <c r="O61" s="26" t="n">
        <v>3</v>
      </c>
      <c r="P61" s="26"/>
      <c r="Q61" s="26" t="s">
        <v>193</v>
      </c>
      <c r="R61" s="27" t="n">
        <v>0.9</v>
      </c>
      <c r="S61" s="3" t="s">
        <v>557</v>
      </c>
      <c r="T61" s="28" t="n">
        <f aca="false">T58*$R61</f>
        <v>27</v>
      </c>
      <c r="U61" s="28" t="n">
        <f aca="false">U58*$R61</f>
        <v>54</v>
      </c>
      <c r="V61" s="28" t="n">
        <f aca="false">V58*$R61</f>
        <v>94.5</v>
      </c>
      <c r="W61" s="28" t="n">
        <f aca="false">W58*$R61</f>
        <v>52.2</v>
      </c>
      <c r="X61" s="28" t="n">
        <f aca="false">X58*$R61</f>
        <v>94.5</v>
      </c>
      <c r="Y61" s="28" t="n">
        <f aca="false">Y58*$R61</f>
        <v>49.5</v>
      </c>
      <c r="Z61" s="28" t="n">
        <f aca="false">Z58*$R61</f>
        <v>90</v>
      </c>
      <c r="AA61" s="28" t="n">
        <f aca="false">AA58*$R61</f>
        <v>0</v>
      </c>
      <c r="AB61" s="35" t="s">
        <v>87</v>
      </c>
      <c r="AC61" s="3" t="s">
        <v>577</v>
      </c>
      <c r="AD61" s="3"/>
      <c r="AE61" s="3"/>
      <c r="AF61" s="3"/>
      <c r="AG61" s="3"/>
      <c r="AH61" s="3"/>
      <c r="AI61" s="31"/>
      <c r="AJ61" s="32"/>
      <c r="AK61" s="31"/>
      <c r="AL61" s="32"/>
      <c r="AM61" s="3"/>
      <c r="AN61" s="3"/>
    </row>
    <row r="62" customFormat="false" ht="23.85" hidden="false" customHeight="false" outlineLevel="0" collapsed="false">
      <c r="A62" s="3" t="s">
        <v>578</v>
      </c>
      <c r="B62" s="3" t="s">
        <v>558</v>
      </c>
      <c r="C62" s="26" t="s">
        <v>154</v>
      </c>
      <c r="D62" s="36" t="str">
        <f aca="false">D58</f>
        <v>5 Services</v>
      </c>
      <c r="E62" s="36" t="str">
        <f aca="false">E58</f>
        <v>Mechanical</v>
      </c>
      <c r="F62" s="36" t="str">
        <f aca="false">F58</f>
        <v>Heating and hot water</v>
      </c>
      <c r="G62" s="3"/>
      <c r="H62" s="3"/>
      <c r="I62" s="3" t="s">
        <v>579</v>
      </c>
      <c r="J62" s="3" t="s">
        <v>192</v>
      </c>
      <c r="K62" s="26"/>
      <c r="L62" s="3" t="s">
        <v>194</v>
      </c>
      <c r="M62" s="3" t="s">
        <v>195</v>
      </c>
      <c r="N62" s="3"/>
      <c r="O62" s="26" t="n">
        <v>3</v>
      </c>
      <c r="P62" s="26"/>
      <c r="Q62" s="26" t="s">
        <v>193</v>
      </c>
      <c r="R62" s="27" t="n">
        <v>0.6</v>
      </c>
      <c r="S62" s="3" t="s">
        <v>557</v>
      </c>
      <c r="T62" s="28" t="n">
        <f aca="false">T58*$R62</f>
        <v>18</v>
      </c>
      <c r="U62" s="28" t="n">
        <f aca="false">U58*$R62</f>
        <v>36</v>
      </c>
      <c r="V62" s="28" t="n">
        <f aca="false">V58*$R62</f>
        <v>63</v>
      </c>
      <c r="W62" s="28" t="n">
        <f aca="false">W58*$R62</f>
        <v>34.8</v>
      </c>
      <c r="X62" s="28" t="n">
        <f aca="false">X58*$R62</f>
        <v>63</v>
      </c>
      <c r="Y62" s="28" t="n">
        <f aca="false">Y58*$R62</f>
        <v>33</v>
      </c>
      <c r="Z62" s="28" t="n">
        <f aca="false">Z58*$R62</f>
        <v>60</v>
      </c>
      <c r="AA62" s="28" t="n">
        <f aca="false">AA58*$R62</f>
        <v>0</v>
      </c>
      <c r="AB62" s="35" t="s">
        <v>87</v>
      </c>
      <c r="AC62" s="3" t="s">
        <v>580</v>
      </c>
      <c r="AD62" s="3"/>
      <c r="AE62" s="3"/>
      <c r="AF62" s="3"/>
      <c r="AG62" s="3"/>
      <c r="AH62" s="3"/>
      <c r="AI62" s="31"/>
      <c r="AJ62" s="32"/>
      <c r="AK62" s="31"/>
      <c r="AL62" s="32"/>
      <c r="AM62" s="3"/>
      <c r="AN62" s="3"/>
    </row>
    <row r="63" customFormat="false" ht="23.85" hidden="false" customHeight="false" outlineLevel="0" collapsed="false">
      <c r="A63" s="3" t="s">
        <v>581</v>
      </c>
      <c r="B63" s="3" t="s">
        <v>558</v>
      </c>
      <c r="C63" s="26" t="s">
        <v>154</v>
      </c>
      <c r="D63" s="36" t="str">
        <f aca="false">D58</f>
        <v>5 Services</v>
      </c>
      <c r="E63" s="36" t="str">
        <f aca="false">E58</f>
        <v>Mechanical</v>
      </c>
      <c r="F63" s="36" t="str">
        <f aca="false">F58</f>
        <v>Heating and hot water</v>
      </c>
      <c r="G63" s="3"/>
      <c r="H63" s="3"/>
      <c r="I63" s="3" t="s">
        <v>582</v>
      </c>
      <c r="J63" s="3" t="s">
        <v>192</v>
      </c>
      <c r="K63" s="26"/>
      <c r="L63" s="3" t="s">
        <v>194</v>
      </c>
      <c r="M63" s="3" t="s">
        <v>195</v>
      </c>
      <c r="N63" s="3"/>
      <c r="O63" s="26" t="n">
        <v>2</v>
      </c>
      <c r="P63" s="26"/>
      <c r="Q63" s="26" t="s">
        <v>193</v>
      </c>
      <c r="R63" s="27" t="n">
        <v>0.35</v>
      </c>
      <c r="S63" s="3" t="s">
        <v>557</v>
      </c>
      <c r="T63" s="28" t="n">
        <f aca="false">T58*$R63</f>
        <v>10.5</v>
      </c>
      <c r="U63" s="28" t="n">
        <f aca="false">U58*$R63</f>
        <v>21</v>
      </c>
      <c r="V63" s="28" t="n">
        <f aca="false">V58*$R63</f>
        <v>36.75</v>
      </c>
      <c r="W63" s="28" t="n">
        <f aca="false">W58*$R63</f>
        <v>20.3</v>
      </c>
      <c r="X63" s="28" t="n">
        <f aca="false">X58*$R63</f>
        <v>36.75</v>
      </c>
      <c r="Y63" s="28" t="n">
        <f aca="false">Y58*$R63</f>
        <v>19.25</v>
      </c>
      <c r="Z63" s="28" t="n">
        <f aca="false">Z58*$R63</f>
        <v>35</v>
      </c>
      <c r="AA63" s="28" t="n">
        <f aca="false">AA58*$R63</f>
        <v>0</v>
      </c>
      <c r="AB63" s="35" t="s">
        <v>87</v>
      </c>
      <c r="AC63" s="3" t="s">
        <v>583</v>
      </c>
      <c r="AD63" s="3"/>
      <c r="AE63" s="3"/>
      <c r="AF63" s="3"/>
      <c r="AG63" s="3"/>
      <c r="AH63" s="3"/>
      <c r="AI63" s="31"/>
      <c r="AJ63" s="32"/>
      <c r="AK63" s="31"/>
      <c r="AL63" s="32"/>
      <c r="AM63" s="3"/>
      <c r="AN63" s="3"/>
    </row>
    <row r="64" customFormat="false" ht="23.85" hidden="false" customHeight="false" outlineLevel="0" collapsed="false">
      <c r="A64" s="3" t="s">
        <v>584</v>
      </c>
      <c r="B64" s="3" t="s">
        <v>558</v>
      </c>
      <c r="C64" s="26" t="s">
        <v>154</v>
      </c>
      <c r="D64" s="36" t="str">
        <f aca="false">D58</f>
        <v>5 Services</v>
      </c>
      <c r="E64" s="36" t="str">
        <f aca="false">E58</f>
        <v>Mechanical</v>
      </c>
      <c r="F64" s="36" t="str">
        <f aca="false">F58</f>
        <v>Heating and hot water</v>
      </c>
      <c r="G64" s="3"/>
      <c r="H64" s="3"/>
      <c r="I64" s="3" t="s">
        <v>585</v>
      </c>
      <c r="J64" s="3" t="s">
        <v>192</v>
      </c>
      <c r="K64" s="26"/>
      <c r="L64" s="3" t="s">
        <v>194</v>
      </c>
      <c r="M64" s="3" t="s">
        <v>195</v>
      </c>
      <c r="N64" s="3"/>
      <c r="O64" s="26" t="n">
        <v>2</v>
      </c>
      <c r="P64" s="33" t="s">
        <v>113</v>
      </c>
      <c r="Q64" s="26" t="s">
        <v>193</v>
      </c>
      <c r="R64" s="27" t="n">
        <v>0.3</v>
      </c>
      <c r="S64" s="3" t="s">
        <v>557</v>
      </c>
      <c r="T64" s="28" t="n">
        <f aca="false">T58*$R64</f>
        <v>9</v>
      </c>
      <c r="U64" s="28" t="n">
        <f aca="false">U58*$R64</f>
        <v>18</v>
      </c>
      <c r="V64" s="28" t="n">
        <f aca="false">V58*$R64</f>
        <v>31.5</v>
      </c>
      <c r="W64" s="28" t="n">
        <f aca="false">W58*$R64</f>
        <v>17.4</v>
      </c>
      <c r="X64" s="28" t="n">
        <f aca="false">X58*$R64</f>
        <v>31.5</v>
      </c>
      <c r="Y64" s="28" t="n">
        <f aca="false">Y58*$R64</f>
        <v>16.5</v>
      </c>
      <c r="Z64" s="28" t="n">
        <f aca="false">Z58*$R64</f>
        <v>30</v>
      </c>
      <c r="AA64" s="28" t="n">
        <f aca="false">AA58*$R64</f>
        <v>0</v>
      </c>
      <c r="AB64" s="35" t="s">
        <v>87</v>
      </c>
      <c r="AC64" s="3" t="s">
        <v>586</v>
      </c>
      <c r="AD64" s="3"/>
      <c r="AE64" s="3"/>
      <c r="AF64" s="3"/>
      <c r="AG64" s="3"/>
      <c r="AH64" s="3"/>
      <c r="AI64" s="31"/>
      <c r="AJ64" s="32"/>
      <c r="AK64" s="31"/>
      <c r="AL64" s="32"/>
      <c r="AM64" s="3"/>
      <c r="AN64" s="3"/>
    </row>
    <row r="65" customFormat="false" ht="46.25" hidden="false" customHeight="false" outlineLevel="0" collapsed="false">
      <c r="A65" s="3" t="s">
        <v>587</v>
      </c>
      <c r="B65" s="3" t="s">
        <v>558</v>
      </c>
      <c r="C65" s="26" t="s">
        <v>154</v>
      </c>
      <c r="D65" s="36" t="str">
        <f aca="false">D58</f>
        <v>5 Services</v>
      </c>
      <c r="E65" s="36" t="str">
        <f aca="false">E58</f>
        <v>Mechanical</v>
      </c>
      <c r="F65" s="36" t="str">
        <f aca="false">F58</f>
        <v>Heating and hot water</v>
      </c>
      <c r="G65" s="3"/>
      <c r="H65" s="3"/>
      <c r="I65" s="3" t="s">
        <v>588</v>
      </c>
      <c r="J65" s="3" t="s">
        <v>192</v>
      </c>
      <c r="K65" s="26"/>
      <c r="L65" s="3" t="s">
        <v>194</v>
      </c>
      <c r="M65" s="3" t="s">
        <v>195</v>
      </c>
      <c r="N65" s="3"/>
      <c r="O65" s="26" t="n">
        <v>2</v>
      </c>
      <c r="P65" s="26"/>
      <c r="Q65" s="26" t="s">
        <v>193</v>
      </c>
      <c r="R65" s="27" t="n">
        <v>0.45</v>
      </c>
      <c r="S65" s="3" t="s">
        <v>568</v>
      </c>
      <c r="T65" s="28" t="n">
        <f aca="false">T59*$R65</f>
        <v>17.55</v>
      </c>
      <c r="U65" s="28" t="n">
        <f aca="false">U59*$R65</f>
        <v>35.1</v>
      </c>
      <c r="V65" s="28" t="n">
        <f aca="false">V59*$R65</f>
        <v>61.425</v>
      </c>
      <c r="W65" s="28" t="n">
        <f aca="false">W59*$R65</f>
        <v>33.93</v>
      </c>
      <c r="X65" s="28" t="n">
        <f aca="false">X59*$R65</f>
        <v>61.425</v>
      </c>
      <c r="Y65" s="28" t="n">
        <f aca="false">Y59*$R65</f>
        <v>32.175</v>
      </c>
      <c r="Z65" s="28" t="n">
        <f aca="false">Z59*$R65</f>
        <v>58.5</v>
      </c>
      <c r="AA65" s="28" t="n">
        <f aca="false">AA59*$R65</f>
        <v>0</v>
      </c>
      <c r="AB65" s="35" t="s">
        <v>87</v>
      </c>
      <c r="AC65" s="3" t="s">
        <v>589</v>
      </c>
      <c r="AD65" s="3"/>
      <c r="AE65" s="3"/>
      <c r="AF65" s="3"/>
      <c r="AG65" s="3"/>
      <c r="AH65" s="3" t="s">
        <v>590</v>
      </c>
      <c r="AI65" s="31"/>
      <c r="AJ65" s="32"/>
      <c r="AK65" s="31"/>
      <c r="AL65" s="32"/>
      <c r="AM65" s="3"/>
      <c r="AN65" s="3"/>
    </row>
    <row r="66" customFormat="false" ht="35.05" hidden="false" customHeight="false" outlineLevel="0" collapsed="false">
      <c r="A66" s="3" t="s">
        <v>591</v>
      </c>
      <c r="B66" s="3" t="s">
        <v>558</v>
      </c>
      <c r="C66" s="26" t="s">
        <v>154</v>
      </c>
      <c r="D66" s="36" t="str">
        <f aca="false">D58</f>
        <v>5 Services</v>
      </c>
      <c r="E66" s="36" t="str">
        <f aca="false">E58</f>
        <v>Mechanical</v>
      </c>
      <c r="F66" s="36" t="str">
        <f aca="false">F58</f>
        <v>Heating and hot water</v>
      </c>
      <c r="G66" s="3"/>
      <c r="H66" s="3"/>
      <c r="I66" s="3" t="s">
        <v>592</v>
      </c>
      <c r="J66" s="3" t="s">
        <v>192</v>
      </c>
      <c r="K66" s="26"/>
      <c r="L66" s="3" t="s">
        <v>194</v>
      </c>
      <c r="M66" s="3" t="s">
        <v>195</v>
      </c>
      <c r="N66" s="3"/>
      <c r="O66" s="26" t="n">
        <v>2</v>
      </c>
      <c r="P66" s="26"/>
      <c r="Q66" s="26" t="s">
        <v>193</v>
      </c>
      <c r="R66" s="27" t="n">
        <v>0.3</v>
      </c>
      <c r="S66" s="3" t="s">
        <v>568</v>
      </c>
      <c r="T66" s="28" t="n">
        <f aca="false">T59*$R66</f>
        <v>11.7</v>
      </c>
      <c r="U66" s="28" t="n">
        <f aca="false">U59*$R66</f>
        <v>23.4</v>
      </c>
      <c r="V66" s="28" t="n">
        <f aca="false">V59*$R66</f>
        <v>40.95</v>
      </c>
      <c r="W66" s="28" t="n">
        <f aca="false">W59*$R66</f>
        <v>22.62</v>
      </c>
      <c r="X66" s="28" t="n">
        <f aca="false">X59*$R66</f>
        <v>40.95</v>
      </c>
      <c r="Y66" s="28" t="n">
        <f aca="false">Y59*$R66</f>
        <v>21.45</v>
      </c>
      <c r="Z66" s="28" t="n">
        <f aca="false">Z59*$R66</f>
        <v>39</v>
      </c>
      <c r="AA66" s="28" t="n">
        <f aca="false">AA59*$R66</f>
        <v>0</v>
      </c>
      <c r="AB66" s="35" t="s">
        <v>87</v>
      </c>
      <c r="AC66" s="3" t="s">
        <v>586</v>
      </c>
      <c r="AD66" s="3"/>
      <c r="AE66" s="3"/>
      <c r="AF66" s="3"/>
      <c r="AG66" s="3"/>
      <c r="AH66" s="3" t="s">
        <v>571</v>
      </c>
      <c r="AI66" s="31"/>
      <c r="AJ66" s="32"/>
      <c r="AK66" s="31"/>
      <c r="AL66" s="32"/>
      <c r="AM66" s="3"/>
      <c r="AN66" s="3"/>
    </row>
    <row r="67" customFormat="false" ht="46.25" hidden="false" customHeight="false" outlineLevel="0" collapsed="false">
      <c r="A67" s="3" t="s">
        <v>593</v>
      </c>
      <c r="B67" s="3" t="s">
        <v>558</v>
      </c>
      <c r="C67" s="26" t="s">
        <v>154</v>
      </c>
      <c r="D67" s="36" t="str">
        <f aca="false">D58</f>
        <v>5 Services</v>
      </c>
      <c r="E67" s="36" t="str">
        <f aca="false">E58</f>
        <v>Mechanical</v>
      </c>
      <c r="F67" s="36" t="str">
        <f aca="false">F58</f>
        <v>Heating and hot water</v>
      </c>
      <c r="G67" s="3"/>
      <c r="H67" s="3"/>
      <c r="I67" s="3" t="s">
        <v>594</v>
      </c>
      <c r="J67" s="3" t="s">
        <v>192</v>
      </c>
      <c r="K67" s="26"/>
      <c r="L67" s="3" t="s">
        <v>194</v>
      </c>
      <c r="M67" s="3" t="s">
        <v>195</v>
      </c>
      <c r="N67" s="3"/>
      <c r="O67" s="26" t="n">
        <v>2</v>
      </c>
      <c r="P67" s="26"/>
      <c r="Q67" s="26" t="s">
        <v>193</v>
      </c>
      <c r="R67" s="27" t="n">
        <v>0.45</v>
      </c>
      <c r="S67" s="3" t="s">
        <v>572</v>
      </c>
      <c r="T67" s="28" t="n">
        <f aca="false">T60*$R67</f>
        <v>24.3</v>
      </c>
      <c r="U67" s="28" t="n">
        <f aca="false">U60*$R67</f>
        <v>48.6</v>
      </c>
      <c r="V67" s="28" t="n">
        <f aca="false">V60*$R67</f>
        <v>85.05</v>
      </c>
      <c r="W67" s="28" t="n">
        <f aca="false">W60*$R67</f>
        <v>46.98</v>
      </c>
      <c r="X67" s="28" t="n">
        <f aca="false">X60*$R67</f>
        <v>85.05</v>
      </c>
      <c r="Y67" s="28" t="n">
        <f aca="false">Y60*$R67</f>
        <v>44.55</v>
      </c>
      <c r="Z67" s="28" t="n">
        <f aca="false">Z60*$R67</f>
        <v>81</v>
      </c>
      <c r="AA67" s="28" t="n">
        <f aca="false">AA60*$R67</f>
        <v>0</v>
      </c>
      <c r="AB67" s="35" t="s">
        <v>87</v>
      </c>
      <c r="AC67" s="3" t="s">
        <v>589</v>
      </c>
      <c r="AD67" s="3"/>
      <c r="AE67" s="3"/>
      <c r="AF67" s="3"/>
      <c r="AG67" s="3"/>
      <c r="AH67" s="3" t="s">
        <v>590</v>
      </c>
      <c r="AI67" s="31"/>
      <c r="AJ67" s="32"/>
      <c r="AK67" s="31"/>
      <c r="AL67" s="32"/>
      <c r="AM67" s="3"/>
      <c r="AN67" s="3"/>
    </row>
    <row r="68" customFormat="false" ht="35.05" hidden="false" customHeight="false" outlineLevel="0" collapsed="false">
      <c r="A68" s="3" t="s">
        <v>595</v>
      </c>
      <c r="B68" s="3" t="s">
        <v>558</v>
      </c>
      <c r="C68" s="26" t="s">
        <v>154</v>
      </c>
      <c r="D68" s="36" t="str">
        <f aca="false">D58</f>
        <v>5 Services</v>
      </c>
      <c r="E68" s="36" t="str">
        <f aca="false">E58</f>
        <v>Mechanical</v>
      </c>
      <c r="F68" s="36" t="str">
        <f aca="false">F58</f>
        <v>Heating and hot water</v>
      </c>
      <c r="G68" s="3"/>
      <c r="H68" s="3"/>
      <c r="I68" s="3" t="s">
        <v>596</v>
      </c>
      <c r="J68" s="3" t="s">
        <v>192</v>
      </c>
      <c r="K68" s="26"/>
      <c r="L68" s="3" t="s">
        <v>194</v>
      </c>
      <c r="M68" s="3" t="s">
        <v>195</v>
      </c>
      <c r="N68" s="3"/>
      <c r="O68" s="26" t="n">
        <v>2</v>
      </c>
      <c r="P68" s="26"/>
      <c r="Q68" s="26" t="s">
        <v>193</v>
      </c>
      <c r="R68" s="27" t="n">
        <v>0.3</v>
      </c>
      <c r="S68" s="3" t="s">
        <v>572</v>
      </c>
      <c r="T68" s="28" t="n">
        <f aca="false">T60*$R68</f>
        <v>16.2</v>
      </c>
      <c r="U68" s="28" t="n">
        <f aca="false">U60*$R68</f>
        <v>32.4</v>
      </c>
      <c r="V68" s="28" t="n">
        <f aca="false">V60*$R68</f>
        <v>56.7</v>
      </c>
      <c r="W68" s="28" t="n">
        <f aca="false">W60*$R68</f>
        <v>31.32</v>
      </c>
      <c r="X68" s="28" t="n">
        <f aca="false">X60*$R68</f>
        <v>56.7</v>
      </c>
      <c r="Y68" s="28" t="n">
        <f aca="false">Y60*$R68</f>
        <v>29.7</v>
      </c>
      <c r="Z68" s="28" t="n">
        <f aca="false">Z60*$R68</f>
        <v>54</v>
      </c>
      <c r="AA68" s="28" t="n">
        <f aca="false">AA60*$R68</f>
        <v>0</v>
      </c>
      <c r="AB68" s="35" t="s">
        <v>87</v>
      </c>
      <c r="AC68" s="3" t="s">
        <v>586</v>
      </c>
      <c r="AD68" s="3"/>
      <c r="AE68" s="3"/>
      <c r="AF68" s="3"/>
      <c r="AG68" s="3"/>
      <c r="AH68" s="3" t="s">
        <v>571</v>
      </c>
      <c r="AI68" s="31"/>
      <c r="AJ68" s="32"/>
      <c r="AK68" s="31"/>
      <c r="AL68" s="32"/>
      <c r="AM68" s="3"/>
      <c r="AN68" s="3"/>
    </row>
    <row r="69" customFormat="false" ht="23.85" hidden="false" customHeight="false" outlineLevel="0" collapsed="false">
      <c r="A69" s="3" t="s">
        <v>597</v>
      </c>
      <c r="B69" s="3" t="s">
        <v>558</v>
      </c>
      <c r="C69" s="26" t="s">
        <v>154</v>
      </c>
      <c r="D69" s="36" t="str">
        <f aca="false">D58</f>
        <v>5 Services</v>
      </c>
      <c r="E69" s="36" t="str">
        <f aca="false">E58</f>
        <v>Mechanical</v>
      </c>
      <c r="F69" s="36" t="str">
        <f aca="false">F58</f>
        <v>Heating and hot water</v>
      </c>
      <c r="G69" s="3"/>
      <c r="H69" s="3"/>
      <c r="I69" s="3" t="s">
        <v>598</v>
      </c>
      <c r="J69" s="3" t="s">
        <v>192</v>
      </c>
      <c r="K69" s="26"/>
      <c r="L69" s="3" t="s">
        <v>194</v>
      </c>
      <c r="M69" s="3" t="s">
        <v>195</v>
      </c>
      <c r="N69" s="3"/>
      <c r="O69" s="26" t="n">
        <v>2</v>
      </c>
      <c r="P69" s="26"/>
      <c r="Q69" s="26" t="s">
        <v>193</v>
      </c>
      <c r="R69" s="27" t="n">
        <v>0.3</v>
      </c>
      <c r="S69" s="3" t="s">
        <v>575</v>
      </c>
      <c r="T69" s="28" t="n">
        <f aca="false">T61*$R69</f>
        <v>8.1</v>
      </c>
      <c r="U69" s="28" t="n">
        <f aca="false">U61*$R69</f>
        <v>16.2</v>
      </c>
      <c r="V69" s="28" t="n">
        <f aca="false">V61*$R69</f>
        <v>28.35</v>
      </c>
      <c r="W69" s="28" t="n">
        <f aca="false">W61*$R69</f>
        <v>15.66</v>
      </c>
      <c r="X69" s="28" t="n">
        <f aca="false">X61*$R69</f>
        <v>28.35</v>
      </c>
      <c r="Y69" s="28" t="n">
        <f aca="false">Y61*$R69</f>
        <v>14.85</v>
      </c>
      <c r="Z69" s="28" t="n">
        <f aca="false">Z61*$R69</f>
        <v>27</v>
      </c>
      <c r="AA69" s="28" t="n">
        <f aca="false">AA61*$R69</f>
        <v>0</v>
      </c>
      <c r="AB69" s="35" t="s">
        <v>87</v>
      </c>
      <c r="AC69" s="3" t="s">
        <v>599</v>
      </c>
      <c r="AD69" s="3"/>
      <c r="AE69" s="3"/>
      <c r="AF69" s="3"/>
      <c r="AG69" s="3"/>
      <c r="AH69" s="3"/>
      <c r="AI69" s="31"/>
      <c r="AJ69" s="32"/>
      <c r="AK69" s="31"/>
      <c r="AL69" s="32"/>
      <c r="AM69" s="3"/>
      <c r="AN69" s="3"/>
    </row>
    <row r="70" customFormat="false" ht="23.85" hidden="false" customHeight="false" outlineLevel="0" collapsed="false">
      <c r="A70" s="3" t="s">
        <v>600</v>
      </c>
      <c r="B70" s="3" t="s">
        <v>558</v>
      </c>
      <c r="C70" s="26" t="s">
        <v>154</v>
      </c>
      <c r="D70" s="36" t="str">
        <f aca="false">D58</f>
        <v>5 Services</v>
      </c>
      <c r="E70" s="36" t="str">
        <f aca="false">E58</f>
        <v>Mechanical</v>
      </c>
      <c r="F70" s="36" t="str">
        <f aca="false">F58</f>
        <v>Heating and hot water</v>
      </c>
      <c r="G70" s="3"/>
      <c r="H70" s="3"/>
      <c r="I70" s="3" t="s">
        <v>601</v>
      </c>
      <c r="J70" s="3" t="s">
        <v>192</v>
      </c>
      <c r="K70" s="26"/>
      <c r="L70" s="3" t="s">
        <v>194</v>
      </c>
      <c r="M70" s="3" t="s">
        <v>195</v>
      </c>
      <c r="N70" s="3"/>
      <c r="O70" s="26" t="n">
        <v>2</v>
      </c>
      <c r="P70" s="26"/>
      <c r="Q70" s="26" t="s">
        <v>193</v>
      </c>
      <c r="R70" s="27" t="n">
        <v>0.3</v>
      </c>
      <c r="S70" s="3" t="s">
        <v>575</v>
      </c>
      <c r="T70" s="28" t="n">
        <f aca="false">T61*$R70</f>
        <v>8.1</v>
      </c>
      <c r="U70" s="28" t="n">
        <f aca="false">U61*$R70</f>
        <v>16.2</v>
      </c>
      <c r="V70" s="28" t="n">
        <f aca="false">V61*$R70</f>
        <v>28.35</v>
      </c>
      <c r="W70" s="28" t="n">
        <f aca="false">W61*$R70</f>
        <v>15.66</v>
      </c>
      <c r="X70" s="28" t="n">
        <f aca="false">X61*$R70</f>
        <v>28.35</v>
      </c>
      <c r="Y70" s="28" t="n">
        <f aca="false">Y61*$R70</f>
        <v>14.85</v>
      </c>
      <c r="Z70" s="28" t="n">
        <f aca="false">Z61*$R70</f>
        <v>27</v>
      </c>
      <c r="AA70" s="28" t="n">
        <f aca="false">AA61*$R70</f>
        <v>0</v>
      </c>
      <c r="AB70" s="35" t="s">
        <v>87</v>
      </c>
      <c r="AC70" s="3" t="s">
        <v>586</v>
      </c>
      <c r="AD70" s="3"/>
      <c r="AE70" s="3"/>
      <c r="AF70" s="3"/>
      <c r="AG70" s="3"/>
      <c r="AH70" s="3"/>
      <c r="AI70" s="31"/>
      <c r="AJ70" s="32"/>
      <c r="AK70" s="31"/>
      <c r="AL70" s="32"/>
      <c r="AM70" s="3"/>
      <c r="AN70" s="3"/>
    </row>
    <row r="71" customFormat="false" ht="23.85" hidden="false" customHeight="false" outlineLevel="0" collapsed="false">
      <c r="A71" s="3" t="s">
        <v>602</v>
      </c>
      <c r="B71" s="3" t="s">
        <v>558</v>
      </c>
      <c r="C71" s="26" t="s">
        <v>154</v>
      </c>
      <c r="D71" s="36" t="str">
        <f aca="false">D58</f>
        <v>5 Services</v>
      </c>
      <c r="E71" s="36" t="str">
        <f aca="false">E58</f>
        <v>Mechanical</v>
      </c>
      <c r="F71" s="36" t="str">
        <f aca="false">F58</f>
        <v>Heating and hot water</v>
      </c>
      <c r="G71" s="3"/>
      <c r="H71" s="3"/>
      <c r="I71" s="3" t="s">
        <v>603</v>
      </c>
      <c r="J71" s="3" t="s">
        <v>192</v>
      </c>
      <c r="K71" s="26"/>
      <c r="L71" s="3" t="s">
        <v>194</v>
      </c>
      <c r="M71" s="3" t="s">
        <v>195</v>
      </c>
      <c r="N71" s="3"/>
      <c r="O71" s="26" t="n">
        <v>2</v>
      </c>
      <c r="P71" s="26"/>
      <c r="Q71" s="26" t="s">
        <v>193</v>
      </c>
      <c r="R71" s="27" t="n">
        <v>0.5</v>
      </c>
      <c r="S71" s="3" t="s">
        <v>578</v>
      </c>
      <c r="T71" s="28" t="n">
        <f aca="false">T62*$R71</f>
        <v>9</v>
      </c>
      <c r="U71" s="28" t="n">
        <f aca="false">U62*$R71</f>
        <v>18</v>
      </c>
      <c r="V71" s="28" t="n">
        <f aca="false">V62*$R71</f>
        <v>31.5</v>
      </c>
      <c r="W71" s="28" t="n">
        <f aca="false">W62*$R71</f>
        <v>17.4</v>
      </c>
      <c r="X71" s="28" t="n">
        <f aca="false">X62*$R71</f>
        <v>31.5</v>
      </c>
      <c r="Y71" s="28" t="n">
        <f aca="false">Y62*$R71</f>
        <v>16.5</v>
      </c>
      <c r="Z71" s="28" t="n">
        <f aca="false">Z62*$R71</f>
        <v>30</v>
      </c>
      <c r="AA71" s="28" t="n">
        <f aca="false">AA62*$R71</f>
        <v>0</v>
      </c>
      <c r="AB71" s="35" t="s">
        <v>87</v>
      </c>
      <c r="AC71" s="3" t="s">
        <v>604</v>
      </c>
      <c r="AD71" s="3"/>
      <c r="AE71" s="3"/>
      <c r="AF71" s="3"/>
      <c r="AG71" s="3"/>
      <c r="AH71" s="3"/>
      <c r="AI71" s="31"/>
      <c r="AJ71" s="32"/>
      <c r="AK71" s="31"/>
      <c r="AL71" s="32"/>
      <c r="AM71" s="3"/>
      <c r="AN71" s="3"/>
    </row>
    <row r="72" customFormat="false" ht="23.85" hidden="false" customHeight="false" outlineLevel="0" collapsed="false">
      <c r="A72" s="3" t="s">
        <v>605</v>
      </c>
      <c r="B72" s="3" t="s">
        <v>558</v>
      </c>
      <c r="C72" s="26" t="s">
        <v>154</v>
      </c>
      <c r="D72" s="36" t="str">
        <f aca="false">D58</f>
        <v>5 Services</v>
      </c>
      <c r="E72" s="36" t="str">
        <f aca="false">E58</f>
        <v>Mechanical</v>
      </c>
      <c r="F72" s="36" t="str">
        <f aca="false">F58</f>
        <v>Heating and hot water</v>
      </c>
      <c r="G72" s="3"/>
      <c r="H72" s="3"/>
      <c r="I72" s="3" t="s">
        <v>606</v>
      </c>
      <c r="J72" s="3" t="s">
        <v>192</v>
      </c>
      <c r="K72" s="26"/>
      <c r="L72" s="3" t="s">
        <v>194</v>
      </c>
      <c r="M72" s="3" t="s">
        <v>195</v>
      </c>
      <c r="N72" s="3"/>
      <c r="O72" s="26" t="n">
        <v>2</v>
      </c>
      <c r="P72" s="26"/>
      <c r="Q72" s="26" t="s">
        <v>193</v>
      </c>
      <c r="R72" s="27" t="n">
        <v>0.3</v>
      </c>
      <c r="S72" s="3" t="s">
        <v>578</v>
      </c>
      <c r="T72" s="28" t="n">
        <f aca="false">T62*$R72</f>
        <v>5.4</v>
      </c>
      <c r="U72" s="28" t="n">
        <f aca="false">U62*$R72</f>
        <v>10.8</v>
      </c>
      <c r="V72" s="28" t="n">
        <f aca="false">V62*$R72</f>
        <v>18.9</v>
      </c>
      <c r="W72" s="28" t="n">
        <f aca="false">W62*$R72</f>
        <v>10.44</v>
      </c>
      <c r="X72" s="28" t="n">
        <f aca="false">X62*$R72</f>
        <v>18.9</v>
      </c>
      <c r="Y72" s="28" t="n">
        <f aca="false">Y62*$R72</f>
        <v>9.9</v>
      </c>
      <c r="Z72" s="28" t="n">
        <f aca="false">Z62*$R72</f>
        <v>18</v>
      </c>
      <c r="AA72" s="28" t="n">
        <f aca="false">AA62*$R72</f>
        <v>0</v>
      </c>
      <c r="AB72" s="35" t="s">
        <v>87</v>
      </c>
      <c r="AC72" s="3" t="s">
        <v>586</v>
      </c>
      <c r="AD72" s="3"/>
      <c r="AE72" s="3"/>
      <c r="AF72" s="3"/>
      <c r="AG72" s="3"/>
      <c r="AH72" s="3"/>
      <c r="AI72" s="31"/>
      <c r="AJ72" s="32"/>
      <c r="AK72" s="31"/>
      <c r="AL72" s="32"/>
      <c r="AM72" s="3"/>
      <c r="AN72" s="3"/>
    </row>
    <row r="73" customFormat="false" ht="23.85" hidden="false" customHeight="false" outlineLevel="0" collapsed="false">
      <c r="A73" s="23" t="s">
        <v>607</v>
      </c>
      <c r="B73" s="23" t="s">
        <v>608</v>
      </c>
      <c r="C73" s="24" t="s">
        <v>152</v>
      </c>
      <c r="D73" s="23" t="s">
        <v>559</v>
      </c>
      <c r="E73" s="23" t="s">
        <v>560</v>
      </c>
      <c r="F73" s="25" t="s">
        <v>609</v>
      </c>
      <c r="G73" s="23" t="s">
        <v>610</v>
      </c>
      <c r="H73" s="3" t="s">
        <v>190</v>
      </c>
      <c r="I73" s="3" t="s">
        <v>611</v>
      </c>
      <c r="J73" s="3" t="s">
        <v>192</v>
      </c>
      <c r="K73" s="26" t="s">
        <v>193</v>
      </c>
      <c r="L73" s="3" t="s">
        <v>194</v>
      </c>
      <c r="M73" s="3" t="s">
        <v>195</v>
      </c>
      <c r="N73" s="3" t="s">
        <v>216</v>
      </c>
      <c r="O73" s="26" t="n">
        <v>2</v>
      </c>
      <c r="P73" s="33" t="s">
        <v>364</v>
      </c>
      <c r="Q73" s="26" t="s">
        <v>193</v>
      </c>
      <c r="R73" s="27"/>
      <c r="S73" s="3"/>
      <c r="T73" s="28" t="n">
        <v>30</v>
      </c>
      <c r="U73" s="28" t="n">
        <v>65</v>
      </c>
      <c r="V73" s="28" t="n">
        <v>110</v>
      </c>
      <c r="W73" s="28" t="n">
        <v>30</v>
      </c>
      <c r="X73" s="28" t="n">
        <v>45</v>
      </c>
      <c r="Y73" s="28" t="n">
        <v>20</v>
      </c>
      <c r="Z73" s="28" t="n">
        <v>45</v>
      </c>
      <c r="AA73" s="28" t="n">
        <v>0</v>
      </c>
      <c r="AB73" s="34" t="s">
        <v>83</v>
      </c>
      <c r="AC73" s="3" t="s">
        <v>612</v>
      </c>
      <c r="AD73" s="3" t="s">
        <v>325</v>
      </c>
      <c r="AE73" s="3" t="s">
        <v>270</v>
      </c>
      <c r="AF73" s="3" t="s">
        <v>192</v>
      </c>
      <c r="AG73" s="3"/>
      <c r="AH73" s="3"/>
      <c r="AI73" s="26" t="s">
        <v>613</v>
      </c>
      <c r="AJ73" s="30" t="n">
        <v>0.5</v>
      </c>
      <c r="AK73" s="26" t="s">
        <v>614</v>
      </c>
      <c r="AL73" s="30" t="n">
        <v>0.5</v>
      </c>
      <c r="AM73" s="3" t="s">
        <v>404</v>
      </c>
      <c r="AN73" s="3" t="s">
        <v>406</v>
      </c>
    </row>
    <row r="74" customFormat="false" ht="15" hidden="false" customHeight="false" outlineLevel="0" collapsed="false">
      <c r="A74" s="3" t="s">
        <v>615</v>
      </c>
      <c r="B74" s="3" t="s">
        <v>608</v>
      </c>
      <c r="C74" s="26" t="s">
        <v>154</v>
      </c>
      <c r="D74" s="36" t="str">
        <f aca="false">D73</f>
        <v>5 Services</v>
      </c>
      <c r="E74" s="36" t="str">
        <f aca="false">E73</f>
        <v>Mechanical</v>
      </c>
      <c r="F74" s="36" t="str">
        <f aca="false">F73</f>
        <v>Water and drainage</v>
      </c>
      <c r="G74" s="3"/>
      <c r="H74" s="3"/>
      <c r="I74" s="3" t="s">
        <v>616</v>
      </c>
      <c r="J74" s="3" t="s">
        <v>192</v>
      </c>
      <c r="K74" s="26"/>
      <c r="L74" s="3" t="s">
        <v>194</v>
      </c>
      <c r="M74" s="3" t="s">
        <v>195</v>
      </c>
      <c r="N74" s="3"/>
      <c r="O74" s="26" t="n">
        <v>2</v>
      </c>
      <c r="P74" s="33" t="s">
        <v>113</v>
      </c>
      <c r="Q74" s="26" t="s">
        <v>193</v>
      </c>
      <c r="R74" s="27" t="n">
        <v>0.3</v>
      </c>
      <c r="S74" s="3" t="s">
        <v>607</v>
      </c>
      <c r="T74" s="28" t="n">
        <f aca="false">T73*$R74</f>
        <v>9</v>
      </c>
      <c r="U74" s="28" t="n">
        <f aca="false">U73*$R74</f>
        <v>19.5</v>
      </c>
      <c r="V74" s="28" t="n">
        <f aca="false">V73*$R74</f>
        <v>33</v>
      </c>
      <c r="W74" s="28" t="n">
        <f aca="false">W73*$R74</f>
        <v>9</v>
      </c>
      <c r="X74" s="28" t="n">
        <f aca="false">X73*$R74</f>
        <v>13.5</v>
      </c>
      <c r="Y74" s="28" t="n">
        <f aca="false">Y73*$R74</f>
        <v>6</v>
      </c>
      <c r="Z74" s="28" t="n">
        <f aca="false">Z73*$R74</f>
        <v>13.5</v>
      </c>
      <c r="AA74" s="28" t="n">
        <f aca="false">AA73*$R74</f>
        <v>0</v>
      </c>
      <c r="AB74" s="35" t="s">
        <v>87</v>
      </c>
      <c r="AC74" s="3" t="s">
        <v>617</v>
      </c>
      <c r="AD74" s="3"/>
      <c r="AE74" s="3"/>
      <c r="AF74" s="3"/>
      <c r="AG74" s="3"/>
      <c r="AH74" s="3"/>
      <c r="AI74" s="31"/>
      <c r="AJ74" s="32"/>
      <c r="AK74" s="31"/>
      <c r="AL74" s="32"/>
      <c r="AM74" s="3"/>
      <c r="AN74" s="3"/>
    </row>
    <row r="75" customFormat="false" ht="23.85" hidden="false" customHeight="false" outlineLevel="0" collapsed="false">
      <c r="A75" s="23" t="s">
        <v>618</v>
      </c>
      <c r="B75" s="23" t="s">
        <v>619</v>
      </c>
      <c r="C75" s="24" t="s">
        <v>152</v>
      </c>
      <c r="D75" s="23" t="s">
        <v>559</v>
      </c>
      <c r="E75" s="23" t="s">
        <v>560</v>
      </c>
      <c r="F75" s="25" t="s">
        <v>620</v>
      </c>
      <c r="G75" s="23" t="s">
        <v>621</v>
      </c>
      <c r="H75" s="3" t="s">
        <v>190</v>
      </c>
      <c r="I75" s="3" t="s">
        <v>191</v>
      </c>
      <c r="J75" s="3" t="s">
        <v>192</v>
      </c>
      <c r="K75" s="26" t="s">
        <v>193</v>
      </c>
      <c r="L75" s="3" t="s">
        <v>194</v>
      </c>
      <c r="M75" s="3" t="s">
        <v>195</v>
      </c>
      <c r="N75" s="3" t="s">
        <v>216</v>
      </c>
      <c r="O75" s="26" t="n">
        <v>3</v>
      </c>
      <c r="P75" s="33" t="s">
        <v>364</v>
      </c>
      <c r="Q75" s="26" t="s">
        <v>193</v>
      </c>
      <c r="R75" s="27"/>
      <c r="S75" s="3"/>
      <c r="T75" s="28" t="n">
        <v>20</v>
      </c>
      <c r="U75" s="28" t="n">
        <v>45</v>
      </c>
      <c r="V75" s="28" t="n">
        <v>90</v>
      </c>
      <c r="W75" s="28" t="n">
        <v>40</v>
      </c>
      <c r="X75" s="28" t="n">
        <v>70</v>
      </c>
      <c r="Y75" s="28" t="n">
        <v>25</v>
      </c>
      <c r="Z75" s="28" t="n">
        <v>60</v>
      </c>
      <c r="AA75" s="28" t="n">
        <v>0</v>
      </c>
      <c r="AB75" s="34" t="s">
        <v>83</v>
      </c>
      <c r="AC75" s="3" t="s">
        <v>622</v>
      </c>
      <c r="AD75" s="3" t="s">
        <v>325</v>
      </c>
      <c r="AE75" s="3" t="s">
        <v>270</v>
      </c>
      <c r="AF75" s="3" t="s">
        <v>192</v>
      </c>
      <c r="AG75" s="3"/>
      <c r="AH75" s="3"/>
      <c r="AI75" s="26" t="s">
        <v>623</v>
      </c>
      <c r="AJ75" s="30" t="n">
        <v>1</v>
      </c>
      <c r="AK75" s="31"/>
      <c r="AL75" s="32"/>
      <c r="AM75" s="3" t="s">
        <v>613</v>
      </c>
      <c r="AN75" s="3"/>
    </row>
    <row r="76" customFormat="false" ht="23.85" hidden="false" customHeight="false" outlineLevel="0" collapsed="false">
      <c r="A76" s="23" t="s">
        <v>624</v>
      </c>
      <c r="B76" s="23" t="s">
        <v>625</v>
      </c>
      <c r="C76" s="24" t="s">
        <v>152</v>
      </c>
      <c r="D76" s="23" t="s">
        <v>559</v>
      </c>
      <c r="E76" s="23" t="s">
        <v>560</v>
      </c>
      <c r="F76" s="25" t="s">
        <v>626</v>
      </c>
      <c r="G76" s="23" t="s">
        <v>627</v>
      </c>
      <c r="H76" s="3" t="s">
        <v>190</v>
      </c>
      <c r="I76" s="3" t="s">
        <v>191</v>
      </c>
      <c r="J76" s="3" t="s">
        <v>192</v>
      </c>
      <c r="K76" s="26" t="s">
        <v>193</v>
      </c>
      <c r="L76" s="3" t="s">
        <v>194</v>
      </c>
      <c r="M76" s="3" t="s">
        <v>195</v>
      </c>
      <c r="N76" s="3" t="s">
        <v>216</v>
      </c>
      <c r="O76" s="26" t="n">
        <v>3</v>
      </c>
      <c r="P76" s="26"/>
      <c r="Q76" s="26" t="s">
        <v>193</v>
      </c>
      <c r="R76" s="27"/>
      <c r="S76" s="3"/>
      <c r="T76" s="28" t="n">
        <v>30</v>
      </c>
      <c r="U76" s="28" t="n">
        <v>90</v>
      </c>
      <c r="V76" s="28" t="n">
        <v>180</v>
      </c>
      <c r="W76" s="28" t="n">
        <v>150</v>
      </c>
      <c r="X76" s="28" t="n">
        <v>250</v>
      </c>
      <c r="Y76" s="28" t="n">
        <v>10</v>
      </c>
      <c r="Z76" s="28" t="n">
        <v>45</v>
      </c>
      <c r="AA76" s="28" t="n">
        <v>0</v>
      </c>
      <c r="AB76" s="34" t="s">
        <v>83</v>
      </c>
      <c r="AC76" s="3" t="s">
        <v>628</v>
      </c>
      <c r="AD76" s="3" t="s">
        <v>325</v>
      </c>
      <c r="AE76" s="3" t="s">
        <v>187</v>
      </c>
      <c r="AF76" s="3" t="s">
        <v>192</v>
      </c>
      <c r="AG76" s="3"/>
      <c r="AH76" s="3"/>
      <c r="AI76" s="26" t="s">
        <v>566</v>
      </c>
      <c r="AJ76" s="30" t="n">
        <v>1</v>
      </c>
      <c r="AK76" s="31"/>
      <c r="AL76" s="32"/>
      <c r="AM76" s="3" t="s">
        <v>614</v>
      </c>
      <c r="AN76" s="3"/>
    </row>
    <row r="77" customFormat="false" ht="23.85" hidden="false" customHeight="false" outlineLevel="0" collapsed="false">
      <c r="A77" s="23" t="s">
        <v>629</v>
      </c>
      <c r="B77" s="23" t="s">
        <v>630</v>
      </c>
      <c r="C77" s="24" t="s">
        <v>152</v>
      </c>
      <c r="D77" s="23" t="s">
        <v>559</v>
      </c>
      <c r="E77" s="23" t="s">
        <v>560</v>
      </c>
      <c r="F77" s="25" t="s">
        <v>631</v>
      </c>
      <c r="G77" s="23" t="s">
        <v>632</v>
      </c>
      <c r="H77" s="3" t="s">
        <v>190</v>
      </c>
      <c r="I77" s="3" t="s">
        <v>191</v>
      </c>
      <c r="J77" s="3" t="s">
        <v>192</v>
      </c>
      <c r="K77" s="26" t="s">
        <v>193</v>
      </c>
      <c r="L77" s="3" t="s">
        <v>194</v>
      </c>
      <c r="M77" s="3" t="s">
        <v>195</v>
      </c>
      <c r="N77" s="3" t="s">
        <v>216</v>
      </c>
      <c r="O77" s="26" t="n">
        <v>3</v>
      </c>
      <c r="P77" s="26"/>
      <c r="Q77" s="26" t="s">
        <v>193</v>
      </c>
      <c r="R77" s="27"/>
      <c r="S77" s="3"/>
      <c r="T77" s="28" t="n">
        <v>8</v>
      </c>
      <c r="U77" s="28" t="n">
        <v>15</v>
      </c>
      <c r="V77" s="28" t="n">
        <v>30</v>
      </c>
      <c r="W77" s="28" t="n">
        <v>12</v>
      </c>
      <c r="X77" s="28" t="n">
        <v>30</v>
      </c>
      <c r="Y77" s="28" t="n">
        <v>5</v>
      </c>
      <c r="Z77" s="28" t="n">
        <v>12</v>
      </c>
      <c r="AA77" s="28" t="n">
        <v>0</v>
      </c>
      <c r="AB77" s="34" t="s">
        <v>83</v>
      </c>
      <c r="AC77" s="3" t="s">
        <v>633</v>
      </c>
      <c r="AD77" s="3" t="s">
        <v>325</v>
      </c>
      <c r="AE77" s="3" t="s">
        <v>187</v>
      </c>
      <c r="AF77" s="3" t="s">
        <v>192</v>
      </c>
      <c r="AG77" s="3"/>
      <c r="AH77" s="3"/>
      <c r="AI77" s="26" t="s">
        <v>473</v>
      </c>
      <c r="AJ77" s="30" t="n">
        <v>1</v>
      </c>
      <c r="AK77" s="31"/>
      <c r="AL77" s="32"/>
      <c r="AM77" s="3" t="s">
        <v>634</v>
      </c>
      <c r="AN77" s="3"/>
    </row>
    <row r="78" customFormat="false" ht="23.85" hidden="false" customHeight="false" outlineLevel="0" collapsed="false">
      <c r="A78" s="23" t="s">
        <v>635</v>
      </c>
      <c r="B78" s="23" t="s">
        <v>636</v>
      </c>
      <c r="C78" s="24" t="s">
        <v>152</v>
      </c>
      <c r="D78" s="23" t="s">
        <v>559</v>
      </c>
      <c r="E78" s="23" t="s">
        <v>637</v>
      </c>
      <c r="F78" s="25" t="s">
        <v>638</v>
      </c>
      <c r="G78" s="23" t="s">
        <v>639</v>
      </c>
      <c r="H78" s="3" t="s">
        <v>190</v>
      </c>
      <c r="I78" s="3" t="s">
        <v>252</v>
      </c>
      <c r="J78" s="3" t="s">
        <v>192</v>
      </c>
      <c r="K78" s="26"/>
      <c r="L78" s="3" t="s">
        <v>253</v>
      </c>
      <c r="M78" s="3" t="s">
        <v>254</v>
      </c>
      <c r="N78" s="3" t="s">
        <v>111</v>
      </c>
      <c r="O78" s="26" t="n">
        <v>3</v>
      </c>
      <c r="P78" s="26"/>
      <c r="Q78" s="26" t="s">
        <v>244</v>
      </c>
      <c r="R78" s="27"/>
      <c r="S78" s="3"/>
      <c r="T78" s="28" t="n">
        <v>10000</v>
      </c>
      <c r="U78" s="28" t="n">
        <v>10000</v>
      </c>
      <c r="V78" s="28" t="n">
        <v>10000</v>
      </c>
      <c r="W78" s="28" t="n">
        <v>10000</v>
      </c>
      <c r="X78" s="28" t="n">
        <v>10000</v>
      </c>
      <c r="Y78" s="28" t="n">
        <v>10000</v>
      </c>
      <c r="Z78" s="28" t="n">
        <v>10000</v>
      </c>
      <c r="AA78" s="28" t="n">
        <v>10000</v>
      </c>
      <c r="AB78" s="50" t="s">
        <v>81</v>
      </c>
      <c r="AC78" s="3" t="s">
        <v>640</v>
      </c>
      <c r="AD78" s="3" t="s">
        <v>641</v>
      </c>
      <c r="AE78" s="3" t="s">
        <v>187</v>
      </c>
      <c r="AF78" s="3" t="s">
        <v>192</v>
      </c>
      <c r="AG78" s="3"/>
      <c r="AH78" s="3"/>
      <c r="AI78" s="26" t="s">
        <v>642</v>
      </c>
      <c r="AJ78" s="30" t="n">
        <v>1</v>
      </c>
      <c r="AK78" s="31"/>
      <c r="AL78" s="32"/>
      <c r="AM78" s="3" t="s">
        <v>555</v>
      </c>
      <c r="AN78" s="3"/>
    </row>
    <row r="79" customFormat="false" ht="23.85" hidden="false" customHeight="false" outlineLevel="0" collapsed="false">
      <c r="A79" s="3" t="s">
        <v>643</v>
      </c>
      <c r="B79" s="3" t="s">
        <v>636</v>
      </c>
      <c r="C79" s="26" t="s">
        <v>154</v>
      </c>
      <c r="D79" s="36" t="str">
        <f aca="false">D78</f>
        <v>5 Services</v>
      </c>
      <c r="E79" s="36" t="str">
        <f aca="false">E78</f>
        <v>Electrical</v>
      </c>
      <c r="F79" s="36" t="str">
        <f aca="false">F78</f>
        <v>Electricity supply upgrade</v>
      </c>
      <c r="G79" s="3"/>
      <c r="H79" s="3"/>
      <c r="I79" s="3" t="s">
        <v>258</v>
      </c>
      <c r="J79" s="3" t="s">
        <v>192</v>
      </c>
      <c r="K79" s="26" t="s">
        <v>193</v>
      </c>
      <c r="L79" s="3" t="s">
        <v>253</v>
      </c>
      <c r="M79" s="3" t="s">
        <v>254</v>
      </c>
      <c r="N79" s="3"/>
      <c r="O79" s="26" t="n">
        <v>3</v>
      </c>
      <c r="P79" s="26"/>
      <c r="Q79" s="26" t="s">
        <v>244</v>
      </c>
      <c r="R79" s="27"/>
      <c r="S79" s="3"/>
      <c r="T79" s="28" t="n">
        <v>40000</v>
      </c>
      <c r="U79" s="28" t="n">
        <v>40000</v>
      </c>
      <c r="V79" s="28" t="n">
        <v>40000</v>
      </c>
      <c r="W79" s="28" t="n">
        <v>40000</v>
      </c>
      <c r="X79" s="28" t="n">
        <v>40000</v>
      </c>
      <c r="Y79" s="28" t="n">
        <v>40000</v>
      </c>
      <c r="Z79" s="28" t="n">
        <v>40000</v>
      </c>
      <c r="AA79" s="28" t="n">
        <v>40000</v>
      </c>
      <c r="AB79" s="50" t="s">
        <v>81</v>
      </c>
      <c r="AC79" s="3" t="s">
        <v>644</v>
      </c>
      <c r="AD79" s="3"/>
      <c r="AE79" s="3"/>
      <c r="AF79" s="3"/>
      <c r="AG79" s="3"/>
      <c r="AH79" s="3"/>
      <c r="AI79" s="31"/>
      <c r="AJ79" s="32"/>
      <c r="AK79" s="31"/>
      <c r="AL79" s="32"/>
      <c r="AM79" s="3"/>
      <c r="AN79" s="3"/>
    </row>
    <row r="80" customFormat="false" ht="23.85" hidden="false" customHeight="false" outlineLevel="0" collapsed="false">
      <c r="A80" s="3" t="s">
        <v>645</v>
      </c>
      <c r="B80" s="3" t="s">
        <v>636</v>
      </c>
      <c r="C80" s="26" t="s">
        <v>154</v>
      </c>
      <c r="D80" s="36" t="str">
        <f aca="false">D78</f>
        <v>5 Services</v>
      </c>
      <c r="E80" s="36" t="str">
        <f aca="false">E78</f>
        <v>Electrical</v>
      </c>
      <c r="F80" s="36" t="str">
        <f aca="false">F78</f>
        <v>Electricity supply upgrade</v>
      </c>
      <c r="G80" s="3"/>
      <c r="H80" s="3"/>
      <c r="I80" s="3" t="s">
        <v>260</v>
      </c>
      <c r="J80" s="3" t="s">
        <v>192</v>
      </c>
      <c r="K80" s="26"/>
      <c r="L80" s="3" t="s">
        <v>253</v>
      </c>
      <c r="M80" s="3" t="s">
        <v>254</v>
      </c>
      <c r="N80" s="3"/>
      <c r="O80" s="26" t="n">
        <v>3</v>
      </c>
      <c r="P80" s="26"/>
      <c r="Q80" s="26" t="s">
        <v>244</v>
      </c>
      <c r="R80" s="27"/>
      <c r="S80" s="3"/>
      <c r="T80" s="28" t="n">
        <v>250000</v>
      </c>
      <c r="U80" s="28" t="n">
        <v>250000</v>
      </c>
      <c r="V80" s="28" t="n">
        <v>250000</v>
      </c>
      <c r="W80" s="28" t="n">
        <v>250000</v>
      </c>
      <c r="X80" s="28" t="n">
        <v>250000</v>
      </c>
      <c r="Y80" s="28" t="n">
        <v>250000</v>
      </c>
      <c r="Z80" s="28" t="n">
        <v>250000</v>
      </c>
      <c r="AA80" s="28" t="n">
        <v>250000</v>
      </c>
      <c r="AB80" s="50" t="s">
        <v>81</v>
      </c>
      <c r="AC80" s="3" t="s">
        <v>646</v>
      </c>
      <c r="AD80" s="3"/>
      <c r="AE80" s="3"/>
      <c r="AF80" s="3"/>
      <c r="AG80" s="3"/>
      <c r="AH80" s="3"/>
      <c r="AI80" s="31"/>
      <c r="AJ80" s="32"/>
      <c r="AK80" s="31"/>
      <c r="AL80" s="32"/>
      <c r="AM80" s="3"/>
      <c r="AN80" s="3"/>
    </row>
    <row r="81" customFormat="false" ht="23.85" hidden="false" customHeight="false" outlineLevel="0" collapsed="false">
      <c r="A81" s="23" t="s">
        <v>647</v>
      </c>
      <c r="B81" s="23" t="s">
        <v>648</v>
      </c>
      <c r="C81" s="24" t="s">
        <v>152</v>
      </c>
      <c r="D81" s="23" t="s">
        <v>559</v>
      </c>
      <c r="E81" s="23" t="s">
        <v>637</v>
      </c>
      <c r="F81" s="25" t="s">
        <v>649</v>
      </c>
      <c r="G81" s="23" t="s">
        <v>650</v>
      </c>
      <c r="H81" s="3" t="s">
        <v>190</v>
      </c>
      <c r="I81" s="3" t="s">
        <v>611</v>
      </c>
      <c r="J81" s="3" t="s">
        <v>192</v>
      </c>
      <c r="K81" s="26" t="s">
        <v>193</v>
      </c>
      <c r="L81" s="3" t="s">
        <v>194</v>
      </c>
      <c r="M81" s="3" t="s">
        <v>195</v>
      </c>
      <c r="N81" s="3" t="s">
        <v>216</v>
      </c>
      <c r="O81" s="26" t="n">
        <v>3</v>
      </c>
      <c r="P81" s="33" t="s">
        <v>364</v>
      </c>
      <c r="Q81" s="26" t="s">
        <v>193</v>
      </c>
      <c r="R81" s="27"/>
      <c r="S81" s="3"/>
      <c r="T81" s="28" t="n">
        <v>80</v>
      </c>
      <c r="U81" s="28" t="n">
        <v>126</v>
      </c>
      <c r="V81" s="28" t="n">
        <v>215</v>
      </c>
      <c r="W81" s="28" t="n">
        <v>109</v>
      </c>
      <c r="X81" s="28" t="n">
        <v>174</v>
      </c>
      <c r="Y81" s="28" t="n">
        <v>48</v>
      </c>
      <c r="Z81" s="28" t="n">
        <v>110</v>
      </c>
      <c r="AA81" s="28" t="n">
        <v>0</v>
      </c>
      <c r="AB81" s="29" t="s">
        <v>85</v>
      </c>
      <c r="AC81" s="3" t="s">
        <v>651</v>
      </c>
      <c r="AD81" s="3" t="s">
        <v>325</v>
      </c>
      <c r="AE81" s="3" t="s">
        <v>270</v>
      </c>
      <c r="AF81" s="3" t="s">
        <v>192</v>
      </c>
      <c r="AG81" s="3"/>
      <c r="AH81" s="3"/>
      <c r="AI81" s="26" t="s">
        <v>652</v>
      </c>
      <c r="AJ81" s="30" t="n">
        <v>1</v>
      </c>
      <c r="AK81" s="31"/>
      <c r="AL81" s="32"/>
      <c r="AM81" s="3" t="s">
        <v>653</v>
      </c>
      <c r="AN81" s="3"/>
    </row>
    <row r="82" customFormat="false" ht="23.85" hidden="false" customHeight="false" outlineLevel="0" collapsed="false">
      <c r="A82" s="3" t="s">
        <v>654</v>
      </c>
      <c r="B82" s="3" t="s">
        <v>648</v>
      </c>
      <c r="C82" s="26" t="s">
        <v>154</v>
      </c>
      <c r="D82" s="36" t="str">
        <f aca="false">D81</f>
        <v>5 Services</v>
      </c>
      <c r="E82" s="36" t="str">
        <f aca="false">E81</f>
        <v>Electrical</v>
      </c>
      <c r="F82" s="36" t="str">
        <f aca="false">F81</f>
        <v>Power</v>
      </c>
      <c r="G82" s="3"/>
      <c r="H82" s="3"/>
      <c r="I82" s="3" t="s">
        <v>611</v>
      </c>
      <c r="J82" s="3" t="s">
        <v>655</v>
      </c>
      <c r="K82" s="26"/>
      <c r="L82" s="3" t="s">
        <v>194</v>
      </c>
      <c r="M82" s="3" t="s">
        <v>195</v>
      </c>
      <c r="N82" s="3"/>
      <c r="O82" s="26" t="n">
        <v>3</v>
      </c>
      <c r="P82" s="33" t="s">
        <v>364</v>
      </c>
      <c r="Q82" s="26" t="s">
        <v>193</v>
      </c>
      <c r="R82" s="27"/>
      <c r="S82" s="3"/>
      <c r="T82" s="28" t="n">
        <v>70</v>
      </c>
      <c r="U82" s="28" t="n">
        <v>108</v>
      </c>
      <c r="V82" s="28" t="n">
        <v>185</v>
      </c>
      <c r="W82" s="28" t="n">
        <v>93</v>
      </c>
      <c r="X82" s="28" t="n">
        <v>148</v>
      </c>
      <c r="Y82" s="28" t="n">
        <v>40</v>
      </c>
      <c r="Z82" s="28" t="n">
        <v>95</v>
      </c>
      <c r="AA82" s="28" t="n">
        <v>0</v>
      </c>
      <c r="AB82" s="29" t="s">
        <v>85</v>
      </c>
      <c r="AC82" s="3" t="s">
        <v>656</v>
      </c>
      <c r="AD82" s="3"/>
      <c r="AE82" s="3"/>
      <c r="AF82" s="3"/>
      <c r="AG82" s="3"/>
      <c r="AH82" s="3"/>
      <c r="AI82" s="31"/>
      <c r="AJ82" s="32"/>
      <c r="AK82" s="31"/>
      <c r="AL82" s="32"/>
      <c r="AM82" s="3"/>
      <c r="AN82" s="3"/>
    </row>
    <row r="83" customFormat="false" ht="23.85" hidden="false" customHeight="false" outlineLevel="0" collapsed="false">
      <c r="A83" s="3" t="s">
        <v>657</v>
      </c>
      <c r="B83" s="3" t="s">
        <v>648</v>
      </c>
      <c r="C83" s="26" t="s">
        <v>154</v>
      </c>
      <c r="D83" s="36" t="str">
        <f aca="false">D81</f>
        <v>5 Services</v>
      </c>
      <c r="E83" s="36" t="str">
        <f aca="false">E81</f>
        <v>Electrical</v>
      </c>
      <c r="F83" s="36" t="str">
        <f aca="false">F81</f>
        <v>Power</v>
      </c>
      <c r="G83" s="3"/>
      <c r="H83" s="3"/>
      <c r="I83" s="3" t="s">
        <v>658</v>
      </c>
      <c r="J83" s="3" t="s">
        <v>192</v>
      </c>
      <c r="K83" s="26"/>
      <c r="L83" s="3" t="s">
        <v>194</v>
      </c>
      <c r="M83" s="3" t="s">
        <v>195</v>
      </c>
      <c r="N83" s="3"/>
      <c r="O83" s="26" t="n">
        <v>2</v>
      </c>
      <c r="P83" s="33" t="s">
        <v>113</v>
      </c>
      <c r="Q83" s="26" t="s">
        <v>193</v>
      </c>
      <c r="R83" s="27"/>
      <c r="S83" s="3"/>
      <c r="T83" s="28" t="n">
        <v>13</v>
      </c>
      <c r="U83" s="28" t="n">
        <v>15</v>
      </c>
      <c r="V83" s="28" t="n">
        <v>30</v>
      </c>
      <c r="W83" s="28" t="n">
        <v>0</v>
      </c>
      <c r="X83" s="28" t="n">
        <v>0</v>
      </c>
      <c r="Y83" s="28" t="n">
        <v>0</v>
      </c>
      <c r="Z83" s="28" t="n">
        <v>0</v>
      </c>
      <c r="AA83" s="28" t="n">
        <v>0</v>
      </c>
      <c r="AB83" s="50" t="s">
        <v>81</v>
      </c>
      <c r="AC83" s="3" t="s">
        <v>659</v>
      </c>
      <c r="AD83" s="3"/>
      <c r="AE83" s="3"/>
      <c r="AF83" s="3"/>
      <c r="AG83" s="3"/>
      <c r="AH83" s="3"/>
      <c r="AI83" s="31"/>
      <c r="AJ83" s="32"/>
      <c r="AK83" s="31"/>
      <c r="AL83" s="32"/>
      <c r="AM83" s="3"/>
      <c r="AN83" s="3"/>
    </row>
    <row r="84" customFormat="false" ht="23.85" hidden="false" customHeight="false" outlineLevel="0" collapsed="false">
      <c r="A84" s="23" t="s">
        <v>660</v>
      </c>
      <c r="B84" s="23" t="s">
        <v>661</v>
      </c>
      <c r="C84" s="24" t="s">
        <v>152</v>
      </c>
      <c r="D84" s="23" t="s">
        <v>559</v>
      </c>
      <c r="E84" s="23" t="s">
        <v>637</v>
      </c>
      <c r="F84" s="25" t="s">
        <v>662</v>
      </c>
      <c r="G84" s="23" t="s">
        <v>663</v>
      </c>
      <c r="H84" s="3" t="s">
        <v>190</v>
      </c>
      <c r="I84" s="3" t="s">
        <v>611</v>
      </c>
      <c r="J84" s="3" t="s">
        <v>192</v>
      </c>
      <c r="K84" s="26" t="s">
        <v>193</v>
      </c>
      <c r="L84" s="3" t="s">
        <v>194</v>
      </c>
      <c r="M84" s="3" t="s">
        <v>195</v>
      </c>
      <c r="N84" s="3" t="s">
        <v>216</v>
      </c>
      <c r="O84" s="26" t="n">
        <v>2</v>
      </c>
      <c r="P84" s="33" t="s">
        <v>364</v>
      </c>
      <c r="Q84" s="26" t="s">
        <v>193</v>
      </c>
      <c r="R84" s="27"/>
      <c r="S84" s="3"/>
      <c r="T84" s="28" t="n">
        <v>20</v>
      </c>
      <c r="U84" s="28" t="n">
        <v>33</v>
      </c>
      <c r="V84" s="28" t="n">
        <v>52</v>
      </c>
      <c r="W84" s="28" t="n">
        <v>17</v>
      </c>
      <c r="X84" s="28" t="n">
        <v>34</v>
      </c>
      <c r="Y84" s="28" t="n">
        <v>11</v>
      </c>
      <c r="Z84" s="28" t="n">
        <v>23</v>
      </c>
      <c r="AA84" s="28" t="n">
        <v>0</v>
      </c>
      <c r="AB84" s="29" t="s">
        <v>85</v>
      </c>
      <c r="AC84" s="3" t="s">
        <v>664</v>
      </c>
      <c r="AD84" s="3" t="s">
        <v>325</v>
      </c>
      <c r="AE84" s="3" t="s">
        <v>270</v>
      </c>
      <c r="AF84" s="3" t="s">
        <v>192</v>
      </c>
      <c r="AG84" s="3"/>
      <c r="AH84" s="3"/>
      <c r="AI84" s="26" t="s">
        <v>652</v>
      </c>
      <c r="AJ84" s="30" t="n">
        <v>1</v>
      </c>
      <c r="AK84" s="31"/>
      <c r="AL84" s="32"/>
      <c r="AM84" s="3" t="s">
        <v>665</v>
      </c>
      <c r="AN84" s="3"/>
    </row>
    <row r="85" customFormat="false" ht="23.85" hidden="false" customHeight="false" outlineLevel="0" collapsed="false">
      <c r="A85" s="3" t="s">
        <v>666</v>
      </c>
      <c r="B85" s="3" t="s">
        <v>661</v>
      </c>
      <c r="C85" s="26" t="s">
        <v>154</v>
      </c>
      <c r="D85" s="36" t="str">
        <f aca="false">D84</f>
        <v>5 Services</v>
      </c>
      <c r="E85" s="36" t="str">
        <f aca="false">E84</f>
        <v>Electrical</v>
      </c>
      <c r="F85" s="36" t="str">
        <f aca="false">F84</f>
        <v>Lighting</v>
      </c>
      <c r="G85" s="3"/>
      <c r="H85" s="3"/>
      <c r="I85" s="3" t="s">
        <v>667</v>
      </c>
      <c r="J85" s="3" t="s">
        <v>192</v>
      </c>
      <c r="K85" s="26"/>
      <c r="L85" s="3" t="s">
        <v>194</v>
      </c>
      <c r="M85" s="3" t="s">
        <v>195</v>
      </c>
      <c r="N85" s="3"/>
      <c r="O85" s="26" t="n">
        <v>2</v>
      </c>
      <c r="P85" s="33" t="s">
        <v>113</v>
      </c>
      <c r="Q85" s="26" t="s">
        <v>193</v>
      </c>
      <c r="R85" s="27" t="n">
        <v>0.75</v>
      </c>
      <c r="S85" s="3" t="s">
        <v>660</v>
      </c>
      <c r="T85" s="28" t="n">
        <f aca="false">T84*$R85</f>
        <v>15</v>
      </c>
      <c r="U85" s="28" t="n">
        <f aca="false">U84*$R85</f>
        <v>24.75</v>
      </c>
      <c r="V85" s="28" t="n">
        <f aca="false">V84*$R85</f>
        <v>39</v>
      </c>
      <c r="W85" s="28" t="n">
        <f aca="false">W84*$R85</f>
        <v>12.75</v>
      </c>
      <c r="X85" s="28" t="n">
        <f aca="false">X84*$R85</f>
        <v>25.5</v>
      </c>
      <c r="Y85" s="28" t="n">
        <f aca="false">Y84*$R85</f>
        <v>8.25</v>
      </c>
      <c r="Z85" s="28" t="n">
        <f aca="false">Z84*$R85</f>
        <v>17.25</v>
      </c>
      <c r="AA85" s="28" t="n">
        <f aca="false">AA84*$R85</f>
        <v>0</v>
      </c>
      <c r="AB85" s="35" t="s">
        <v>87</v>
      </c>
      <c r="AC85" s="3" t="s">
        <v>668</v>
      </c>
      <c r="AD85" s="3"/>
      <c r="AE85" s="3"/>
      <c r="AF85" s="3"/>
      <c r="AG85" s="3"/>
      <c r="AH85" s="3"/>
      <c r="AI85" s="31"/>
      <c r="AJ85" s="32"/>
      <c r="AK85" s="31"/>
      <c r="AL85" s="32"/>
      <c r="AM85" s="3"/>
      <c r="AN85" s="3"/>
    </row>
    <row r="86" customFormat="false" ht="15" hidden="false" customHeight="false" outlineLevel="0" collapsed="false">
      <c r="A86" s="23" t="s">
        <v>669</v>
      </c>
      <c r="B86" s="23" t="s">
        <v>670</v>
      </c>
      <c r="C86" s="24" t="s">
        <v>152</v>
      </c>
      <c r="D86" s="23" t="s">
        <v>559</v>
      </c>
      <c r="E86" s="23" t="s">
        <v>637</v>
      </c>
      <c r="F86" s="25" t="s">
        <v>671</v>
      </c>
      <c r="G86" s="23" t="s">
        <v>672</v>
      </c>
      <c r="H86" s="3" t="s">
        <v>190</v>
      </c>
      <c r="I86" s="3" t="s">
        <v>191</v>
      </c>
      <c r="J86" s="3" t="s">
        <v>192</v>
      </c>
      <c r="K86" s="26" t="s">
        <v>193</v>
      </c>
      <c r="L86" s="3" t="s">
        <v>194</v>
      </c>
      <c r="M86" s="3" t="s">
        <v>195</v>
      </c>
      <c r="N86" s="3" t="s">
        <v>216</v>
      </c>
      <c r="O86" s="26" t="n">
        <v>3</v>
      </c>
      <c r="P86" s="33" t="s">
        <v>364</v>
      </c>
      <c r="Q86" s="26" t="s">
        <v>193</v>
      </c>
      <c r="R86" s="27"/>
      <c r="S86" s="3"/>
      <c r="T86" s="28" t="n">
        <v>5</v>
      </c>
      <c r="U86" s="28" t="n">
        <v>10</v>
      </c>
      <c r="V86" s="28" t="n">
        <v>18</v>
      </c>
      <c r="W86" s="28" t="n">
        <v>8</v>
      </c>
      <c r="X86" s="28" t="n">
        <v>12</v>
      </c>
      <c r="Y86" s="28" t="n">
        <v>4</v>
      </c>
      <c r="Z86" s="28" t="n">
        <v>8</v>
      </c>
      <c r="AA86" s="28" t="n">
        <v>0</v>
      </c>
      <c r="AB86" s="51" t="s">
        <v>79</v>
      </c>
      <c r="AC86" s="3" t="s">
        <v>673</v>
      </c>
      <c r="AD86" s="3" t="s">
        <v>325</v>
      </c>
      <c r="AE86" s="3" t="s">
        <v>270</v>
      </c>
      <c r="AF86" s="3" t="s">
        <v>192</v>
      </c>
      <c r="AG86" s="3"/>
      <c r="AH86" s="3"/>
      <c r="AI86" s="26" t="s">
        <v>652</v>
      </c>
      <c r="AJ86" s="30" t="n">
        <v>1</v>
      </c>
      <c r="AK86" s="31"/>
      <c r="AL86" s="32"/>
      <c r="AM86" s="3" t="s">
        <v>674</v>
      </c>
      <c r="AN86" s="3"/>
    </row>
    <row r="87" customFormat="false" ht="15" hidden="false" customHeight="false" outlineLevel="0" collapsed="false">
      <c r="A87" s="23" t="s">
        <v>675</v>
      </c>
      <c r="B87" s="23" t="s">
        <v>676</v>
      </c>
      <c r="C87" s="24" t="s">
        <v>152</v>
      </c>
      <c r="D87" s="23" t="s">
        <v>559</v>
      </c>
      <c r="E87" s="23" t="s">
        <v>637</v>
      </c>
      <c r="F87" s="25" t="s">
        <v>677</v>
      </c>
      <c r="G87" s="23" t="s">
        <v>678</v>
      </c>
      <c r="H87" s="3" t="s">
        <v>399</v>
      </c>
      <c r="I87" s="3" t="s">
        <v>679</v>
      </c>
      <c r="J87" s="3" t="s">
        <v>192</v>
      </c>
      <c r="K87" s="26"/>
      <c r="L87" s="3" t="s">
        <v>253</v>
      </c>
      <c r="M87" s="3" t="s">
        <v>254</v>
      </c>
      <c r="N87" s="3" t="s">
        <v>111</v>
      </c>
      <c r="O87" s="26" t="n">
        <v>3</v>
      </c>
      <c r="P87" s="26"/>
      <c r="Q87" s="26" t="s">
        <v>244</v>
      </c>
      <c r="R87" s="27"/>
      <c r="S87" s="3"/>
      <c r="T87" s="28" t="n">
        <v>25000</v>
      </c>
      <c r="U87" s="28" t="n">
        <v>25000</v>
      </c>
      <c r="V87" s="28" t="n">
        <v>25000</v>
      </c>
      <c r="W87" s="28" t="n">
        <v>25000</v>
      </c>
      <c r="X87" s="28" t="n">
        <v>25000</v>
      </c>
      <c r="Y87" s="28" t="n">
        <v>25000</v>
      </c>
      <c r="Z87" s="28" t="n">
        <v>25000</v>
      </c>
      <c r="AA87" s="28" t="n">
        <v>25000</v>
      </c>
      <c r="AB87" s="35" t="s">
        <v>87</v>
      </c>
      <c r="AC87" s="3" t="s">
        <v>680</v>
      </c>
      <c r="AD87" s="3" t="s">
        <v>325</v>
      </c>
      <c r="AE87" s="3" t="s">
        <v>187</v>
      </c>
      <c r="AF87" s="3" t="s">
        <v>403</v>
      </c>
      <c r="AG87" s="3" t="s">
        <v>681</v>
      </c>
      <c r="AH87" s="3"/>
      <c r="AI87" s="26" t="s">
        <v>652</v>
      </c>
      <c r="AJ87" s="30" t="n">
        <v>1</v>
      </c>
      <c r="AK87" s="31"/>
      <c r="AL87" s="32"/>
      <c r="AM87" s="3" t="s">
        <v>682</v>
      </c>
      <c r="AN87" s="3"/>
    </row>
    <row r="88" customFormat="false" ht="23.85" hidden="false" customHeight="false" outlineLevel="0" collapsed="false">
      <c r="A88" s="3" t="s">
        <v>683</v>
      </c>
      <c r="B88" s="3" t="s">
        <v>676</v>
      </c>
      <c r="C88" s="26" t="s">
        <v>154</v>
      </c>
      <c r="D88" s="36" t="str">
        <f aca="false">D87</f>
        <v>5 Services</v>
      </c>
      <c r="E88" s="36" t="str">
        <f aca="false">E87</f>
        <v>Electrical</v>
      </c>
      <c r="F88" s="36" t="str">
        <f aca="false">F87</f>
        <v>Standby power</v>
      </c>
      <c r="G88" s="3"/>
      <c r="H88" s="3"/>
      <c r="I88" s="3" t="s">
        <v>684</v>
      </c>
      <c r="J88" s="3" t="s">
        <v>192</v>
      </c>
      <c r="K88" s="26"/>
      <c r="L88" s="3" t="s">
        <v>253</v>
      </c>
      <c r="M88" s="3" t="s">
        <v>254</v>
      </c>
      <c r="N88" s="3"/>
      <c r="O88" s="26" t="n">
        <v>3</v>
      </c>
      <c r="P88" s="26"/>
      <c r="Q88" s="26" t="s">
        <v>244</v>
      </c>
      <c r="R88" s="27"/>
      <c r="S88" s="3"/>
      <c r="T88" s="28" t="n">
        <v>17000</v>
      </c>
      <c r="U88" s="28" t="n">
        <v>17000</v>
      </c>
      <c r="V88" s="28" t="n">
        <v>17000</v>
      </c>
      <c r="W88" s="28" t="n">
        <v>17000</v>
      </c>
      <c r="X88" s="28" t="n">
        <v>17000</v>
      </c>
      <c r="Y88" s="28" t="n">
        <v>17000</v>
      </c>
      <c r="Z88" s="28" t="n">
        <v>17000</v>
      </c>
      <c r="AA88" s="28" t="n">
        <v>17000</v>
      </c>
      <c r="AB88" s="50" t="s">
        <v>81</v>
      </c>
      <c r="AC88" s="3" t="s">
        <v>685</v>
      </c>
      <c r="AD88" s="3"/>
      <c r="AE88" s="3"/>
      <c r="AF88" s="3"/>
      <c r="AG88" s="3"/>
      <c r="AH88" s="3"/>
      <c r="AI88" s="31"/>
      <c r="AJ88" s="32"/>
      <c r="AK88" s="31"/>
      <c r="AL88" s="32"/>
      <c r="AM88" s="3"/>
      <c r="AN88" s="3"/>
    </row>
    <row r="89" customFormat="false" ht="23.85" hidden="false" customHeight="false" outlineLevel="0" collapsed="false">
      <c r="A89" s="3" t="s">
        <v>686</v>
      </c>
      <c r="B89" s="3" t="s">
        <v>676</v>
      </c>
      <c r="C89" s="26" t="s">
        <v>154</v>
      </c>
      <c r="D89" s="36" t="str">
        <f aca="false">D87</f>
        <v>5 Services</v>
      </c>
      <c r="E89" s="36" t="str">
        <f aca="false">E87</f>
        <v>Electrical</v>
      </c>
      <c r="F89" s="36" t="str">
        <f aca="false">F87</f>
        <v>Standby power</v>
      </c>
      <c r="G89" s="3"/>
      <c r="H89" s="3"/>
      <c r="I89" s="3" t="s">
        <v>687</v>
      </c>
      <c r="J89" s="3" t="s">
        <v>192</v>
      </c>
      <c r="K89" s="26" t="s">
        <v>193</v>
      </c>
      <c r="L89" s="3" t="s">
        <v>253</v>
      </c>
      <c r="M89" s="3" t="s">
        <v>254</v>
      </c>
      <c r="N89" s="3"/>
      <c r="O89" s="26" t="n">
        <v>3</v>
      </c>
      <c r="P89" s="26"/>
      <c r="Q89" s="26" t="s">
        <v>244</v>
      </c>
      <c r="R89" s="27"/>
      <c r="S89" s="3"/>
      <c r="T89" s="28" t="n">
        <v>42000</v>
      </c>
      <c r="U89" s="28" t="n">
        <v>42000</v>
      </c>
      <c r="V89" s="28" t="n">
        <v>42000</v>
      </c>
      <c r="W89" s="28" t="n">
        <v>42000</v>
      </c>
      <c r="X89" s="28" t="n">
        <v>42000</v>
      </c>
      <c r="Y89" s="28" t="n">
        <v>42000</v>
      </c>
      <c r="Z89" s="28" t="n">
        <v>42000</v>
      </c>
      <c r="AA89" s="28" t="n">
        <v>42000</v>
      </c>
      <c r="AB89" s="50" t="s">
        <v>81</v>
      </c>
      <c r="AC89" s="3" t="s">
        <v>688</v>
      </c>
      <c r="AD89" s="3"/>
      <c r="AE89" s="3"/>
      <c r="AF89" s="3"/>
      <c r="AG89" s="3"/>
      <c r="AH89" s="3"/>
      <c r="AI89" s="31"/>
      <c r="AJ89" s="32"/>
      <c r="AK89" s="31"/>
      <c r="AL89" s="32"/>
      <c r="AM89" s="3"/>
      <c r="AN89" s="3"/>
    </row>
    <row r="90" customFormat="false" ht="15" hidden="false" customHeight="false" outlineLevel="0" collapsed="false">
      <c r="A90" s="3" t="s">
        <v>689</v>
      </c>
      <c r="B90" s="3" t="s">
        <v>676</v>
      </c>
      <c r="C90" s="26" t="s">
        <v>154</v>
      </c>
      <c r="D90" s="36" t="str">
        <f aca="false">D87</f>
        <v>5 Services</v>
      </c>
      <c r="E90" s="36" t="str">
        <f aca="false">E87</f>
        <v>Electrical</v>
      </c>
      <c r="F90" s="36" t="str">
        <f aca="false">F87</f>
        <v>Standby power</v>
      </c>
      <c r="G90" s="3"/>
      <c r="H90" s="3"/>
      <c r="I90" s="3" t="s">
        <v>690</v>
      </c>
      <c r="J90" s="3" t="s">
        <v>192</v>
      </c>
      <c r="K90" s="26"/>
      <c r="L90" s="3" t="s">
        <v>253</v>
      </c>
      <c r="M90" s="3" t="s">
        <v>254</v>
      </c>
      <c r="N90" s="3"/>
      <c r="O90" s="26" t="n">
        <v>3</v>
      </c>
      <c r="P90" s="26"/>
      <c r="Q90" s="26" t="s">
        <v>244</v>
      </c>
      <c r="R90" s="27"/>
      <c r="S90" s="3"/>
      <c r="T90" s="28" t="n">
        <v>30000</v>
      </c>
      <c r="U90" s="28" t="n">
        <v>30000</v>
      </c>
      <c r="V90" s="28" t="n">
        <v>30000</v>
      </c>
      <c r="W90" s="28" t="n">
        <v>30000</v>
      </c>
      <c r="X90" s="28" t="n">
        <v>30000</v>
      </c>
      <c r="Y90" s="28" t="n">
        <v>30000</v>
      </c>
      <c r="Z90" s="28" t="n">
        <v>30000</v>
      </c>
      <c r="AA90" s="28" t="n">
        <v>30000</v>
      </c>
      <c r="AB90" s="35" t="s">
        <v>87</v>
      </c>
      <c r="AC90" s="3" t="s">
        <v>691</v>
      </c>
      <c r="AD90" s="3"/>
      <c r="AE90" s="3"/>
      <c r="AF90" s="3"/>
      <c r="AG90" s="3"/>
      <c r="AH90" s="3"/>
      <c r="AI90" s="31"/>
      <c r="AJ90" s="32"/>
      <c r="AK90" s="31"/>
      <c r="AL90" s="32"/>
      <c r="AM90" s="3"/>
      <c r="AN90" s="3"/>
    </row>
    <row r="91" customFormat="false" ht="23.85" hidden="false" customHeight="false" outlineLevel="0" collapsed="false">
      <c r="A91" s="3" t="s">
        <v>692</v>
      </c>
      <c r="B91" s="3" t="s">
        <v>676</v>
      </c>
      <c r="C91" s="26" t="s">
        <v>154</v>
      </c>
      <c r="D91" s="36" t="str">
        <f aca="false">D87</f>
        <v>5 Services</v>
      </c>
      <c r="E91" s="36" t="str">
        <f aca="false">E87</f>
        <v>Electrical</v>
      </c>
      <c r="F91" s="36" t="str">
        <f aca="false">F87</f>
        <v>Standby power</v>
      </c>
      <c r="G91" s="3"/>
      <c r="H91" s="3"/>
      <c r="I91" s="3" t="s">
        <v>693</v>
      </c>
      <c r="J91" s="3" t="s">
        <v>192</v>
      </c>
      <c r="K91" s="26"/>
      <c r="L91" s="3" t="s">
        <v>253</v>
      </c>
      <c r="M91" s="3" t="s">
        <v>254</v>
      </c>
      <c r="N91" s="3"/>
      <c r="O91" s="26" t="n">
        <v>3</v>
      </c>
      <c r="P91" s="26"/>
      <c r="Q91" s="26" t="s">
        <v>244</v>
      </c>
      <c r="R91" s="27"/>
      <c r="S91" s="3"/>
      <c r="T91" s="28" t="n">
        <v>115000</v>
      </c>
      <c r="U91" s="28" t="n">
        <v>115000</v>
      </c>
      <c r="V91" s="28" t="n">
        <v>115000</v>
      </c>
      <c r="W91" s="28" t="n">
        <v>115000</v>
      </c>
      <c r="X91" s="28" t="n">
        <v>115000</v>
      </c>
      <c r="Y91" s="28" t="n">
        <v>115000</v>
      </c>
      <c r="Z91" s="28" t="n">
        <v>115000</v>
      </c>
      <c r="AA91" s="28" t="n">
        <v>115000</v>
      </c>
      <c r="AB91" s="50" t="s">
        <v>81</v>
      </c>
      <c r="AC91" s="3" t="s">
        <v>694</v>
      </c>
      <c r="AD91" s="3"/>
      <c r="AE91" s="3"/>
      <c r="AF91" s="3"/>
      <c r="AG91" s="3"/>
      <c r="AH91" s="3"/>
      <c r="AI91" s="31"/>
      <c r="AJ91" s="32"/>
      <c r="AK91" s="31"/>
      <c r="AL91" s="32"/>
      <c r="AM91" s="3"/>
      <c r="AN91" s="3"/>
    </row>
    <row r="92" customFormat="false" ht="23.85" hidden="false" customHeight="false" outlineLevel="0" collapsed="false">
      <c r="A92" s="3" t="s">
        <v>695</v>
      </c>
      <c r="B92" s="3" t="s">
        <v>676</v>
      </c>
      <c r="C92" s="26" t="s">
        <v>154</v>
      </c>
      <c r="D92" s="36" t="str">
        <f aca="false">D87</f>
        <v>5 Services</v>
      </c>
      <c r="E92" s="36" t="str">
        <f aca="false">E87</f>
        <v>Electrical</v>
      </c>
      <c r="F92" s="36" t="str">
        <f aca="false">F87</f>
        <v>Standby power</v>
      </c>
      <c r="G92" s="3"/>
      <c r="H92" s="3"/>
      <c r="I92" s="3" t="s">
        <v>696</v>
      </c>
      <c r="J92" s="3" t="s">
        <v>192</v>
      </c>
      <c r="K92" s="26"/>
      <c r="L92" s="3" t="s">
        <v>253</v>
      </c>
      <c r="M92" s="3" t="s">
        <v>254</v>
      </c>
      <c r="N92" s="3"/>
      <c r="O92" s="26" t="n">
        <v>3</v>
      </c>
      <c r="P92" s="26"/>
      <c r="Q92" s="26" t="s">
        <v>244</v>
      </c>
      <c r="R92" s="27"/>
      <c r="S92" s="3"/>
      <c r="T92" s="28" t="n">
        <v>52000</v>
      </c>
      <c r="U92" s="28" t="n">
        <v>52000</v>
      </c>
      <c r="V92" s="28" t="n">
        <v>52000</v>
      </c>
      <c r="W92" s="28" t="n">
        <v>52000</v>
      </c>
      <c r="X92" s="28" t="n">
        <v>52000</v>
      </c>
      <c r="Y92" s="28" t="n">
        <v>52000</v>
      </c>
      <c r="Z92" s="28" t="n">
        <v>52000</v>
      </c>
      <c r="AA92" s="28" t="n">
        <v>52000</v>
      </c>
      <c r="AB92" s="50" t="s">
        <v>81</v>
      </c>
      <c r="AC92" s="3" t="s">
        <v>697</v>
      </c>
      <c r="AD92" s="3"/>
      <c r="AE92" s="3"/>
      <c r="AF92" s="3"/>
      <c r="AG92" s="3"/>
      <c r="AH92" s="3"/>
      <c r="AI92" s="31"/>
      <c r="AJ92" s="32"/>
      <c r="AK92" s="31"/>
      <c r="AL92" s="32"/>
      <c r="AM92" s="3"/>
      <c r="AN92" s="3"/>
    </row>
    <row r="93" customFormat="false" ht="15" hidden="false" customHeight="false" outlineLevel="0" collapsed="false">
      <c r="A93" s="23" t="s">
        <v>698</v>
      </c>
      <c r="B93" s="23" t="s">
        <v>699</v>
      </c>
      <c r="C93" s="24" t="s">
        <v>152</v>
      </c>
      <c r="D93" s="23" t="s">
        <v>559</v>
      </c>
      <c r="E93" s="23" t="s">
        <v>700</v>
      </c>
      <c r="F93" s="25" t="s">
        <v>701</v>
      </c>
      <c r="G93" s="23" t="s">
        <v>702</v>
      </c>
      <c r="H93" s="3" t="s">
        <v>190</v>
      </c>
      <c r="I93" s="3" t="s">
        <v>191</v>
      </c>
      <c r="J93" s="3" t="s">
        <v>192</v>
      </c>
      <c r="K93" s="26" t="s">
        <v>193</v>
      </c>
      <c r="L93" s="3" t="s">
        <v>194</v>
      </c>
      <c r="M93" s="3" t="s">
        <v>195</v>
      </c>
      <c r="N93" s="3" t="s">
        <v>216</v>
      </c>
      <c r="O93" s="26" t="n">
        <v>3</v>
      </c>
      <c r="P93" s="33" t="s">
        <v>364</v>
      </c>
      <c r="Q93" s="26" t="s">
        <v>193</v>
      </c>
      <c r="R93" s="27"/>
      <c r="S93" s="3"/>
      <c r="T93" s="28" t="n">
        <v>10</v>
      </c>
      <c r="U93" s="28" t="n">
        <v>18</v>
      </c>
      <c r="V93" s="28" t="n">
        <v>30</v>
      </c>
      <c r="W93" s="28" t="n">
        <v>14</v>
      </c>
      <c r="X93" s="28" t="n">
        <v>20</v>
      </c>
      <c r="Y93" s="28" t="n">
        <v>8</v>
      </c>
      <c r="Z93" s="28" t="n">
        <v>15</v>
      </c>
      <c r="AA93" s="28" t="n">
        <v>0</v>
      </c>
      <c r="AB93" s="51" t="s">
        <v>79</v>
      </c>
      <c r="AC93" s="3" t="s">
        <v>703</v>
      </c>
      <c r="AD93" s="3" t="s">
        <v>325</v>
      </c>
      <c r="AE93" s="3" t="s">
        <v>270</v>
      </c>
      <c r="AF93" s="3" t="s">
        <v>192</v>
      </c>
      <c r="AG93" s="3"/>
      <c r="AH93" s="3"/>
      <c r="AI93" s="26" t="s">
        <v>473</v>
      </c>
      <c r="AJ93" s="30" t="n">
        <v>1</v>
      </c>
      <c r="AK93" s="31"/>
      <c r="AL93" s="32"/>
      <c r="AM93" s="3" t="s">
        <v>704</v>
      </c>
      <c r="AN93" s="3"/>
    </row>
    <row r="94" customFormat="false" ht="23.85" hidden="false" customHeight="false" outlineLevel="0" collapsed="false">
      <c r="A94" s="23" t="s">
        <v>705</v>
      </c>
      <c r="B94" s="23" t="s">
        <v>706</v>
      </c>
      <c r="C94" s="24" t="s">
        <v>152</v>
      </c>
      <c r="D94" s="23" t="s">
        <v>559</v>
      </c>
      <c r="E94" s="23" t="s">
        <v>700</v>
      </c>
      <c r="F94" s="25" t="s">
        <v>707</v>
      </c>
      <c r="G94" s="23" t="s">
        <v>708</v>
      </c>
      <c r="H94" s="3" t="s">
        <v>190</v>
      </c>
      <c r="I94" s="3" t="s">
        <v>191</v>
      </c>
      <c r="J94" s="3" t="s">
        <v>192</v>
      </c>
      <c r="K94" s="26" t="s">
        <v>193</v>
      </c>
      <c r="L94" s="3" t="s">
        <v>194</v>
      </c>
      <c r="M94" s="3" t="s">
        <v>195</v>
      </c>
      <c r="N94" s="3" t="s">
        <v>216</v>
      </c>
      <c r="O94" s="26" t="n">
        <v>3</v>
      </c>
      <c r="P94" s="26"/>
      <c r="Q94" s="26" t="s">
        <v>193</v>
      </c>
      <c r="R94" s="27"/>
      <c r="S94" s="3"/>
      <c r="T94" s="28" t="n">
        <v>15</v>
      </c>
      <c r="U94" s="28" t="n">
        <v>15</v>
      </c>
      <c r="V94" s="28" t="n">
        <v>30</v>
      </c>
      <c r="W94" s="28" t="n">
        <v>10</v>
      </c>
      <c r="X94" s="28" t="n">
        <v>25</v>
      </c>
      <c r="Y94" s="28" t="n">
        <v>5</v>
      </c>
      <c r="Z94" s="28" t="n">
        <v>20</v>
      </c>
      <c r="AA94" s="28" t="n">
        <v>0</v>
      </c>
      <c r="AB94" s="29" t="s">
        <v>85</v>
      </c>
      <c r="AC94" s="3" t="s">
        <v>709</v>
      </c>
      <c r="AD94" s="3" t="s">
        <v>325</v>
      </c>
      <c r="AE94" s="3" t="s">
        <v>187</v>
      </c>
      <c r="AF94" s="3" t="s">
        <v>192</v>
      </c>
      <c r="AG94" s="3" t="s">
        <v>710</v>
      </c>
      <c r="AH94" s="3"/>
      <c r="AI94" s="26" t="s">
        <v>711</v>
      </c>
      <c r="AJ94" s="30" t="n">
        <v>1</v>
      </c>
      <c r="AK94" s="31"/>
      <c r="AL94" s="32"/>
      <c r="AM94" s="3" t="s">
        <v>566</v>
      </c>
      <c r="AN94" s="3"/>
    </row>
    <row r="95" customFormat="false" ht="23.85" hidden="false" customHeight="false" outlineLevel="0" collapsed="false">
      <c r="A95" s="23" t="s">
        <v>712</v>
      </c>
      <c r="B95" s="23" t="s">
        <v>713</v>
      </c>
      <c r="C95" s="24" t="s">
        <v>152</v>
      </c>
      <c r="D95" s="23" t="s">
        <v>559</v>
      </c>
      <c r="E95" s="23" t="s">
        <v>700</v>
      </c>
      <c r="F95" s="25" t="s">
        <v>714</v>
      </c>
      <c r="G95" s="23" t="s">
        <v>715</v>
      </c>
      <c r="H95" s="3" t="s">
        <v>190</v>
      </c>
      <c r="I95" s="3" t="s">
        <v>191</v>
      </c>
      <c r="J95" s="3" t="s">
        <v>192</v>
      </c>
      <c r="K95" s="26" t="s">
        <v>193</v>
      </c>
      <c r="L95" s="3" t="s">
        <v>716</v>
      </c>
      <c r="M95" s="3" t="s">
        <v>242</v>
      </c>
      <c r="N95" s="3" t="s">
        <v>717</v>
      </c>
      <c r="O95" s="26" t="n">
        <v>3</v>
      </c>
      <c r="P95" s="26"/>
      <c r="Q95" s="26" t="s">
        <v>193</v>
      </c>
      <c r="R95" s="27"/>
      <c r="S95" s="3"/>
      <c r="T95" s="28" t="n">
        <v>4000</v>
      </c>
      <c r="U95" s="28" t="n">
        <v>6000</v>
      </c>
      <c r="V95" s="28" t="n">
        <v>9000</v>
      </c>
      <c r="W95" s="28" t="n">
        <v>6000</v>
      </c>
      <c r="X95" s="28" t="n">
        <v>9000</v>
      </c>
      <c r="Y95" s="28" t="n">
        <v>6000</v>
      </c>
      <c r="Z95" s="28" t="n">
        <v>9000</v>
      </c>
      <c r="AA95" s="28" t="n">
        <v>0</v>
      </c>
      <c r="AB95" s="35" t="s">
        <v>87</v>
      </c>
      <c r="AC95" s="3" t="s">
        <v>718</v>
      </c>
      <c r="AD95" s="3" t="s">
        <v>316</v>
      </c>
      <c r="AE95" s="3" t="s">
        <v>187</v>
      </c>
      <c r="AF95" s="3" t="s">
        <v>719</v>
      </c>
      <c r="AG95" s="3" t="s">
        <v>720</v>
      </c>
      <c r="AH95" s="3"/>
      <c r="AI95" s="26" t="s">
        <v>623</v>
      </c>
      <c r="AJ95" s="30" t="n">
        <v>1</v>
      </c>
      <c r="AK95" s="31"/>
      <c r="AL95" s="32"/>
      <c r="AM95" s="3" t="s">
        <v>721</v>
      </c>
      <c r="AN95" s="3"/>
    </row>
    <row r="96" customFormat="false" ht="23.85" hidden="false" customHeight="false" outlineLevel="0" collapsed="false">
      <c r="A96" s="23" t="s">
        <v>722</v>
      </c>
      <c r="B96" s="23" t="s">
        <v>723</v>
      </c>
      <c r="C96" s="24" t="s">
        <v>152</v>
      </c>
      <c r="D96" s="23" t="s">
        <v>559</v>
      </c>
      <c r="E96" s="23" t="s">
        <v>724</v>
      </c>
      <c r="F96" s="25" t="s">
        <v>725</v>
      </c>
      <c r="G96" s="23" t="s">
        <v>726</v>
      </c>
      <c r="H96" s="3" t="s">
        <v>190</v>
      </c>
      <c r="I96" s="3" t="s">
        <v>191</v>
      </c>
      <c r="J96" s="3" t="s">
        <v>192</v>
      </c>
      <c r="K96" s="26" t="s">
        <v>193</v>
      </c>
      <c r="L96" s="3" t="s">
        <v>194</v>
      </c>
      <c r="M96" s="3" t="s">
        <v>195</v>
      </c>
      <c r="N96" s="3" t="s">
        <v>216</v>
      </c>
      <c r="O96" s="26" t="n">
        <v>2</v>
      </c>
      <c r="P96" s="26"/>
      <c r="Q96" s="26" t="s">
        <v>193</v>
      </c>
      <c r="R96" s="27"/>
      <c r="S96" s="3"/>
      <c r="T96" s="28" t="n">
        <v>8</v>
      </c>
      <c r="U96" s="28" t="n">
        <v>18</v>
      </c>
      <c r="V96" s="28" t="n">
        <v>35</v>
      </c>
      <c r="W96" s="28" t="n">
        <v>15</v>
      </c>
      <c r="X96" s="28" t="n">
        <v>30</v>
      </c>
      <c r="Y96" s="28" t="n">
        <v>8</v>
      </c>
      <c r="Z96" s="28" t="n">
        <v>20</v>
      </c>
      <c r="AA96" s="28" t="n">
        <v>0</v>
      </c>
      <c r="AB96" s="34" t="s">
        <v>83</v>
      </c>
      <c r="AC96" s="3" t="s">
        <v>727</v>
      </c>
      <c r="AD96" s="3" t="s">
        <v>325</v>
      </c>
      <c r="AE96" s="3" t="s">
        <v>728</v>
      </c>
      <c r="AF96" s="3" t="s">
        <v>192</v>
      </c>
      <c r="AG96" s="3"/>
      <c r="AH96" s="3"/>
      <c r="AI96" s="26" t="s">
        <v>473</v>
      </c>
      <c r="AJ96" s="30" t="n">
        <v>1</v>
      </c>
      <c r="AK96" s="31"/>
      <c r="AL96" s="32"/>
      <c r="AM96" s="3" t="s">
        <v>729</v>
      </c>
      <c r="AN96" s="3"/>
    </row>
    <row r="97" customFormat="false" ht="23.85" hidden="false" customHeight="false" outlineLevel="0" collapsed="false">
      <c r="A97" s="23" t="s">
        <v>730</v>
      </c>
      <c r="B97" s="23" t="s">
        <v>731</v>
      </c>
      <c r="C97" s="24" t="s">
        <v>152</v>
      </c>
      <c r="D97" s="23" t="s">
        <v>559</v>
      </c>
      <c r="E97" s="23" t="s">
        <v>724</v>
      </c>
      <c r="F97" s="25" t="s">
        <v>732</v>
      </c>
      <c r="G97" s="23" t="s">
        <v>733</v>
      </c>
      <c r="H97" s="3" t="s">
        <v>190</v>
      </c>
      <c r="I97" s="3" t="s">
        <v>191</v>
      </c>
      <c r="J97" s="3" t="s">
        <v>192</v>
      </c>
      <c r="K97" s="26" t="s">
        <v>193</v>
      </c>
      <c r="L97" s="3" t="s">
        <v>194</v>
      </c>
      <c r="M97" s="3" t="s">
        <v>195</v>
      </c>
      <c r="N97" s="3" t="s">
        <v>216</v>
      </c>
      <c r="O97" s="26" t="n">
        <v>3</v>
      </c>
      <c r="P97" s="26"/>
      <c r="Q97" s="26" t="s">
        <v>193</v>
      </c>
      <c r="R97" s="27"/>
      <c r="S97" s="3"/>
      <c r="T97" s="28" t="n">
        <v>5</v>
      </c>
      <c r="U97" s="28" t="n">
        <v>15</v>
      </c>
      <c r="V97" s="28" t="n">
        <v>30</v>
      </c>
      <c r="W97" s="28" t="n">
        <v>8</v>
      </c>
      <c r="X97" s="28" t="n">
        <v>20</v>
      </c>
      <c r="Y97" s="28" t="n">
        <v>5</v>
      </c>
      <c r="Z97" s="28" t="n">
        <v>15</v>
      </c>
      <c r="AA97" s="28" t="n">
        <v>0</v>
      </c>
      <c r="AB97" s="34" t="s">
        <v>83</v>
      </c>
      <c r="AC97" s="3" t="s">
        <v>734</v>
      </c>
      <c r="AD97" s="3" t="s">
        <v>325</v>
      </c>
      <c r="AE97" s="3" t="s">
        <v>187</v>
      </c>
      <c r="AF97" s="3" t="s">
        <v>192</v>
      </c>
      <c r="AG97" s="3"/>
      <c r="AH97" s="3"/>
      <c r="AI97" s="26" t="s">
        <v>473</v>
      </c>
      <c r="AJ97" s="30" t="n">
        <v>1</v>
      </c>
      <c r="AK97" s="31"/>
      <c r="AL97" s="32"/>
      <c r="AM97" s="3" t="s">
        <v>735</v>
      </c>
      <c r="AN97" s="3"/>
    </row>
    <row r="98" customFormat="false" ht="23.85" hidden="false" customHeight="false" outlineLevel="0" collapsed="false">
      <c r="A98" s="23" t="s">
        <v>736</v>
      </c>
      <c r="B98" s="23" t="s">
        <v>737</v>
      </c>
      <c r="C98" s="24" t="s">
        <v>152</v>
      </c>
      <c r="D98" s="23" t="s">
        <v>559</v>
      </c>
      <c r="E98" s="23" t="s">
        <v>738</v>
      </c>
      <c r="F98" s="25" t="s">
        <v>738</v>
      </c>
      <c r="G98" s="23" t="s">
        <v>739</v>
      </c>
      <c r="H98" s="3" t="s">
        <v>399</v>
      </c>
      <c r="I98" s="3" t="s">
        <v>740</v>
      </c>
      <c r="J98" s="3" t="s">
        <v>192</v>
      </c>
      <c r="K98" s="26" t="s">
        <v>193</v>
      </c>
      <c r="L98" s="3" t="s">
        <v>425</v>
      </c>
      <c r="M98" s="3" t="s">
        <v>242</v>
      </c>
      <c r="N98" s="3" t="s">
        <v>741</v>
      </c>
      <c r="O98" s="26" t="n">
        <v>3</v>
      </c>
      <c r="P98" s="26"/>
      <c r="Q98" s="26" t="s">
        <v>193</v>
      </c>
      <c r="R98" s="27"/>
      <c r="S98" s="3"/>
      <c r="T98" s="28" t="n">
        <v>25000</v>
      </c>
      <c r="U98" s="28" t="n">
        <v>40000</v>
      </c>
      <c r="V98" s="28" t="n">
        <v>60000</v>
      </c>
      <c r="W98" s="28" t="n">
        <v>40000</v>
      </c>
      <c r="X98" s="28" t="n">
        <v>60000</v>
      </c>
      <c r="Y98" s="28" t="n">
        <v>40000</v>
      </c>
      <c r="Z98" s="28" t="n">
        <v>60000</v>
      </c>
      <c r="AA98" s="28" t="n">
        <v>0</v>
      </c>
      <c r="AB98" s="34" t="s">
        <v>83</v>
      </c>
      <c r="AC98" s="3" t="s">
        <v>742</v>
      </c>
      <c r="AD98" s="3" t="s">
        <v>325</v>
      </c>
      <c r="AE98" s="3" t="s">
        <v>728</v>
      </c>
      <c r="AF98" s="3" t="s">
        <v>192</v>
      </c>
      <c r="AG98" s="3" t="s">
        <v>309</v>
      </c>
      <c r="AH98" s="3"/>
      <c r="AI98" s="26" t="s">
        <v>743</v>
      </c>
      <c r="AJ98" s="30" t="n">
        <v>1</v>
      </c>
      <c r="AK98" s="31"/>
      <c r="AL98" s="32"/>
      <c r="AM98" s="3" t="s">
        <v>744</v>
      </c>
      <c r="AN98" s="3"/>
    </row>
    <row r="99" customFormat="false" ht="23.85" hidden="false" customHeight="false" outlineLevel="0" collapsed="false">
      <c r="A99" s="3" t="s">
        <v>745</v>
      </c>
      <c r="B99" s="3" t="s">
        <v>737</v>
      </c>
      <c r="C99" s="26" t="s">
        <v>154</v>
      </c>
      <c r="D99" s="36" t="str">
        <f aca="false">D98</f>
        <v>5 Services</v>
      </c>
      <c r="E99" s="36" t="str">
        <f aca="false">E98</f>
        <v>Lifts</v>
      </c>
      <c r="F99" s="36" t="str">
        <f aca="false">F98</f>
        <v>Lifts</v>
      </c>
      <c r="G99" s="3"/>
      <c r="H99" s="3"/>
      <c r="I99" s="3" t="s">
        <v>746</v>
      </c>
      <c r="J99" s="3" t="s">
        <v>192</v>
      </c>
      <c r="K99" s="26"/>
      <c r="L99" s="3" t="s">
        <v>400</v>
      </c>
      <c r="M99" s="3" t="s">
        <v>242</v>
      </c>
      <c r="N99" s="3" t="s">
        <v>111</v>
      </c>
      <c r="O99" s="26" t="n">
        <v>3</v>
      </c>
      <c r="P99" s="26"/>
      <c r="Q99" s="26" t="s">
        <v>193</v>
      </c>
      <c r="R99" s="27"/>
      <c r="S99" s="3"/>
      <c r="T99" s="28" t="n">
        <v>15000</v>
      </c>
      <c r="U99" s="28" t="n">
        <v>20000</v>
      </c>
      <c r="V99" s="28" t="n">
        <v>30000</v>
      </c>
      <c r="W99" s="28" t="n">
        <v>20000</v>
      </c>
      <c r="X99" s="28" t="n">
        <v>30000</v>
      </c>
      <c r="Y99" s="28" t="n">
        <v>20000</v>
      </c>
      <c r="Z99" s="28" t="n">
        <v>30000</v>
      </c>
      <c r="AA99" s="28" t="n">
        <v>0</v>
      </c>
      <c r="AB99" s="35" t="s">
        <v>87</v>
      </c>
      <c r="AC99" s="3" t="s">
        <v>747</v>
      </c>
      <c r="AD99" s="3"/>
      <c r="AE99" s="3"/>
      <c r="AF99" s="3"/>
      <c r="AG99" s="3"/>
      <c r="AH99" s="3"/>
      <c r="AI99" s="31"/>
      <c r="AJ99" s="32"/>
      <c r="AK99" s="31"/>
      <c r="AL99" s="32"/>
      <c r="AM99" s="3"/>
      <c r="AN99" s="3"/>
    </row>
    <row r="100" customFormat="false" ht="15" hidden="false" customHeight="false" outlineLevel="0" collapsed="false">
      <c r="A100" s="3" t="s">
        <v>748</v>
      </c>
      <c r="B100" s="3" t="s">
        <v>737</v>
      </c>
      <c r="C100" s="26" t="s">
        <v>154</v>
      </c>
      <c r="D100" s="36" t="str">
        <f aca="false">D98</f>
        <v>5 Services</v>
      </c>
      <c r="E100" s="36" t="str">
        <f aca="false">E98</f>
        <v>Lifts</v>
      </c>
      <c r="F100" s="36" t="str">
        <f aca="false">F98</f>
        <v>Lifts</v>
      </c>
      <c r="G100" s="3"/>
      <c r="H100" s="3"/>
      <c r="I100" s="3" t="s">
        <v>749</v>
      </c>
      <c r="J100" s="3" t="s">
        <v>192</v>
      </c>
      <c r="K100" s="26"/>
      <c r="L100" s="3" t="s">
        <v>400</v>
      </c>
      <c r="M100" s="3" t="s">
        <v>242</v>
      </c>
      <c r="N100" s="3" t="s">
        <v>111</v>
      </c>
      <c r="O100" s="26" t="n">
        <v>3</v>
      </c>
      <c r="P100" s="26"/>
      <c r="Q100" s="26" t="s">
        <v>193</v>
      </c>
      <c r="R100" s="27"/>
      <c r="S100" s="3"/>
      <c r="T100" s="28" t="n">
        <v>50000</v>
      </c>
      <c r="U100" s="28" t="n">
        <v>70000</v>
      </c>
      <c r="V100" s="28" t="n">
        <v>100000</v>
      </c>
      <c r="W100" s="28" t="n">
        <v>70000</v>
      </c>
      <c r="X100" s="28" t="n">
        <v>100000</v>
      </c>
      <c r="Y100" s="28" t="n">
        <v>70000</v>
      </c>
      <c r="Z100" s="28" t="n">
        <v>100000</v>
      </c>
      <c r="AA100" s="28" t="n">
        <v>0</v>
      </c>
      <c r="AB100" s="35" t="s">
        <v>87</v>
      </c>
      <c r="AC100" s="3" t="s">
        <v>750</v>
      </c>
      <c r="AD100" s="3"/>
      <c r="AE100" s="3"/>
      <c r="AF100" s="3"/>
      <c r="AG100" s="3"/>
      <c r="AH100" s="3"/>
      <c r="AI100" s="31"/>
      <c r="AJ100" s="32"/>
      <c r="AK100" s="31"/>
      <c r="AL100" s="32"/>
      <c r="AM100" s="3"/>
      <c r="AN100" s="3"/>
    </row>
    <row r="101" customFormat="false" ht="23.85" hidden="false" customHeight="false" outlineLevel="0" collapsed="false">
      <c r="A101" s="23" t="s">
        <v>751</v>
      </c>
      <c r="B101" s="23" t="s">
        <v>752</v>
      </c>
      <c r="C101" s="24" t="s">
        <v>152</v>
      </c>
      <c r="D101" s="23" t="s">
        <v>559</v>
      </c>
      <c r="E101" s="23" t="s">
        <v>753</v>
      </c>
      <c r="F101" s="25" t="s">
        <v>754</v>
      </c>
      <c r="G101" s="23" t="s">
        <v>755</v>
      </c>
      <c r="H101" s="3" t="s">
        <v>190</v>
      </c>
      <c r="I101" s="3" t="s">
        <v>191</v>
      </c>
      <c r="J101" s="3" t="s">
        <v>192</v>
      </c>
      <c r="K101" s="26" t="s">
        <v>193</v>
      </c>
      <c r="L101" s="3" t="s">
        <v>756</v>
      </c>
      <c r="M101" s="3" t="s">
        <v>757</v>
      </c>
      <c r="N101" s="3" t="s">
        <v>758</v>
      </c>
      <c r="O101" s="26" t="n">
        <v>3</v>
      </c>
      <c r="P101" s="26"/>
      <c r="Q101" s="26" t="s">
        <v>244</v>
      </c>
      <c r="R101" s="27"/>
      <c r="S101" s="3"/>
      <c r="T101" s="28" t="n">
        <v>600</v>
      </c>
      <c r="U101" s="28" t="n">
        <v>800</v>
      </c>
      <c r="V101" s="28" t="n">
        <v>1200</v>
      </c>
      <c r="W101" s="28" t="n">
        <v>800</v>
      </c>
      <c r="X101" s="28" t="n">
        <v>1200</v>
      </c>
      <c r="Y101" s="28" t="n">
        <v>800</v>
      </c>
      <c r="Z101" s="28" t="n">
        <v>1200</v>
      </c>
      <c r="AA101" s="28" t="n">
        <v>800</v>
      </c>
      <c r="AB101" s="34" t="s">
        <v>83</v>
      </c>
      <c r="AC101" s="3" t="s">
        <v>1302</v>
      </c>
      <c r="AD101" s="3" t="s">
        <v>641</v>
      </c>
      <c r="AE101" s="3" t="s">
        <v>187</v>
      </c>
      <c r="AF101" s="3" t="s">
        <v>192</v>
      </c>
      <c r="AG101" s="3"/>
      <c r="AH101" s="3" t="s">
        <v>760</v>
      </c>
      <c r="AI101" s="26" t="s">
        <v>652</v>
      </c>
      <c r="AJ101" s="30" t="n">
        <v>1</v>
      </c>
      <c r="AK101" s="31"/>
      <c r="AL101" s="32"/>
      <c r="AM101" s="3" t="s">
        <v>711</v>
      </c>
      <c r="AN101" s="3"/>
    </row>
    <row r="102" customFormat="false" ht="23.85" hidden="false" customHeight="false" outlineLevel="0" collapsed="false">
      <c r="A102" s="23" t="s">
        <v>761</v>
      </c>
      <c r="B102" s="23" t="s">
        <v>762</v>
      </c>
      <c r="C102" s="24" t="s">
        <v>152</v>
      </c>
      <c r="D102" s="23" t="s">
        <v>559</v>
      </c>
      <c r="E102" s="23" t="s">
        <v>753</v>
      </c>
      <c r="F102" s="25" t="s">
        <v>763</v>
      </c>
      <c r="G102" s="23" t="s">
        <v>764</v>
      </c>
      <c r="H102" s="3" t="s">
        <v>190</v>
      </c>
      <c r="I102" s="3" t="s">
        <v>191</v>
      </c>
      <c r="J102" s="3" t="s">
        <v>192</v>
      </c>
      <c r="K102" s="26" t="s">
        <v>193</v>
      </c>
      <c r="L102" s="3" t="s">
        <v>765</v>
      </c>
      <c r="M102" s="3" t="s">
        <v>766</v>
      </c>
      <c r="N102" s="3" t="s">
        <v>243</v>
      </c>
      <c r="O102" s="26" t="n">
        <v>3</v>
      </c>
      <c r="P102" s="26"/>
      <c r="Q102" s="26" t="s">
        <v>244</v>
      </c>
      <c r="R102" s="27"/>
      <c r="S102" s="3"/>
      <c r="T102" s="28" t="n">
        <v>300</v>
      </c>
      <c r="U102" s="28" t="n">
        <v>400</v>
      </c>
      <c r="V102" s="28" t="n">
        <v>650</v>
      </c>
      <c r="W102" s="28" t="n">
        <v>400</v>
      </c>
      <c r="X102" s="28" t="n">
        <v>650</v>
      </c>
      <c r="Y102" s="28" t="n">
        <v>400</v>
      </c>
      <c r="Z102" s="28" t="n">
        <v>650</v>
      </c>
      <c r="AA102" s="28" t="n">
        <v>400</v>
      </c>
      <c r="AB102" s="34" t="s">
        <v>83</v>
      </c>
      <c r="AC102" s="3" t="s">
        <v>1303</v>
      </c>
      <c r="AD102" s="3" t="s">
        <v>641</v>
      </c>
      <c r="AE102" s="3" t="s">
        <v>187</v>
      </c>
      <c r="AF102" s="3" t="s">
        <v>192</v>
      </c>
      <c r="AG102" s="3"/>
      <c r="AH102" s="3"/>
      <c r="AI102" s="26" t="s">
        <v>652</v>
      </c>
      <c r="AJ102" s="30" t="n">
        <v>1</v>
      </c>
      <c r="AK102" s="31"/>
      <c r="AL102" s="32"/>
      <c r="AM102" s="3" t="s">
        <v>473</v>
      </c>
      <c r="AN102" s="3"/>
    </row>
    <row r="103" customFormat="false" ht="35.05" hidden="false" customHeight="false" outlineLevel="0" collapsed="false">
      <c r="A103" s="23" t="s">
        <v>768</v>
      </c>
      <c r="B103" s="23" t="s">
        <v>769</v>
      </c>
      <c r="C103" s="24" t="s">
        <v>152</v>
      </c>
      <c r="D103" s="23" t="s">
        <v>559</v>
      </c>
      <c r="E103" s="23" t="s">
        <v>753</v>
      </c>
      <c r="F103" s="25" t="s">
        <v>770</v>
      </c>
      <c r="G103" s="23" t="s">
        <v>771</v>
      </c>
      <c r="H103" s="3" t="s">
        <v>190</v>
      </c>
      <c r="I103" s="3" t="s">
        <v>191</v>
      </c>
      <c r="J103" s="3" t="s">
        <v>192</v>
      </c>
      <c r="K103" s="26" t="s">
        <v>193</v>
      </c>
      <c r="L103" s="3" t="s">
        <v>772</v>
      </c>
      <c r="M103" s="3" t="s">
        <v>242</v>
      </c>
      <c r="N103" s="3" t="s">
        <v>773</v>
      </c>
      <c r="O103" s="26" t="n">
        <v>3</v>
      </c>
      <c r="P103" s="26"/>
      <c r="Q103" s="26" t="s">
        <v>193</v>
      </c>
      <c r="R103" s="27"/>
      <c r="S103" s="3"/>
      <c r="T103" s="28" t="n">
        <v>1500</v>
      </c>
      <c r="U103" s="28" t="n">
        <v>1500</v>
      </c>
      <c r="V103" s="28" t="n">
        <v>2500</v>
      </c>
      <c r="W103" s="28" t="n">
        <v>1500</v>
      </c>
      <c r="X103" s="28" t="n">
        <v>2500</v>
      </c>
      <c r="Y103" s="28" t="n">
        <v>1500</v>
      </c>
      <c r="Z103" s="28" t="n">
        <v>2500</v>
      </c>
      <c r="AA103" s="28" t="n">
        <v>2000</v>
      </c>
      <c r="AB103" s="29" t="s">
        <v>85</v>
      </c>
      <c r="AC103" s="3" t="s">
        <v>774</v>
      </c>
      <c r="AD103" s="3" t="s">
        <v>641</v>
      </c>
      <c r="AE103" s="3" t="s">
        <v>187</v>
      </c>
      <c r="AF103" s="3" t="s">
        <v>192</v>
      </c>
      <c r="AG103" s="3"/>
      <c r="AH103" s="3" t="s">
        <v>775</v>
      </c>
      <c r="AI103" s="26" t="s">
        <v>652</v>
      </c>
      <c r="AJ103" s="30" t="n">
        <v>1</v>
      </c>
      <c r="AK103" s="31"/>
      <c r="AL103" s="32"/>
      <c r="AM103" s="3" t="s">
        <v>776</v>
      </c>
      <c r="AN103" s="3"/>
    </row>
    <row r="104" customFormat="false" ht="15" hidden="false" customHeight="false" outlineLevel="0" collapsed="false">
      <c r="A104" s="23" t="s">
        <v>777</v>
      </c>
      <c r="B104" s="23" t="s">
        <v>778</v>
      </c>
      <c r="C104" s="24" t="s">
        <v>152</v>
      </c>
      <c r="D104" s="23" t="s">
        <v>559</v>
      </c>
      <c r="E104" s="23" t="s">
        <v>779</v>
      </c>
      <c r="F104" s="25" t="s">
        <v>780</v>
      </c>
      <c r="G104" s="23" t="s">
        <v>781</v>
      </c>
      <c r="H104" s="3" t="s">
        <v>190</v>
      </c>
      <c r="I104" s="3" t="s">
        <v>252</v>
      </c>
      <c r="J104" s="3" t="s">
        <v>192</v>
      </c>
      <c r="K104" s="26"/>
      <c r="L104" s="3" t="s">
        <v>253</v>
      </c>
      <c r="M104" s="3" t="s">
        <v>254</v>
      </c>
      <c r="N104" s="3" t="s">
        <v>111</v>
      </c>
      <c r="O104" s="26" t="n">
        <v>3</v>
      </c>
      <c r="P104" s="26"/>
      <c r="Q104" s="26" t="s">
        <v>244</v>
      </c>
      <c r="R104" s="27"/>
      <c r="S104" s="3"/>
      <c r="T104" s="28" t="n">
        <v>6000</v>
      </c>
      <c r="U104" s="28" t="n">
        <v>6000</v>
      </c>
      <c r="V104" s="28" t="n">
        <v>6000</v>
      </c>
      <c r="W104" s="28" t="n">
        <v>6000</v>
      </c>
      <c r="X104" s="28" t="n">
        <v>6000</v>
      </c>
      <c r="Y104" s="28" t="n">
        <v>6000</v>
      </c>
      <c r="Z104" s="28" t="n">
        <v>6000</v>
      </c>
      <c r="AA104" s="28" t="n">
        <v>6000</v>
      </c>
      <c r="AB104" s="35" t="s">
        <v>87</v>
      </c>
      <c r="AC104" s="3" t="s">
        <v>782</v>
      </c>
      <c r="AD104" s="3" t="s">
        <v>325</v>
      </c>
      <c r="AE104" s="3" t="s">
        <v>187</v>
      </c>
      <c r="AF104" s="3" t="s">
        <v>783</v>
      </c>
      <c r="AG104" s="3"/>
      <c r="AH104" s="3"/>
      <c r="AI104" s="26" t="s">
        <v>555</v>
      </c>
      <c r="AJ104" s="30" t="n">
        <v>1</v>
      </c>
      <c r="AK104" s="31"/>
      <c r="AL104" s="32"/>
      <c r="AM104" s="3" t="s">
        <v>784</v>
      </c>
      <c r="AN104" s="3"/>
    </row>
    <row r="105" customFormat="false" ht="23.85" hidden="false" customHeight="false" outlineLevel="0" collapsed="false">
      <c r="A105" s="3" t="s">
        <v>785</v>
      </c>
      <c r="B105" s="3" t="s">
        <v>778</v>
      </c>
      <c r="C105" s="26" t="s">
        <v>154</v>
      </c>
      <c r="D105" s="36" t="str">
        <f aca="false">D104</f>
        <v>5 Services</v>
      </c>
      <c r="E105" s="36" t="str">
        <f aca="false">E104</f>
        <v>Specialist services</v>
      </c>
      <c r="F105" s="36" t="str">
        <f aca="false">F104</f>
        <v>Compressed air</v>
      </c>
      <c r="G105" s="3"/>
      <c r="H105" s="3"/>
      <c r="I105" s="3" t="s">
        <v>258</v>
      </c>
      <c r="J105" s="3" t="s">
        <v>192</v>
      </c>
      <c r="K105" s="26" t="s">
        <v>193</v>
      </c>
      <c r="L105" s="3" t="s">
        <v>253</v>
      </c>
      <c r="M105" s="3" t="s">
        <v>254</v>
      </c>
      <c r="N105" s="3"/>
      <c r="O105" s="26" t="n">
        <v>3</v>
      </c>
      <c r="P105" s="26"/>
      <c r="Q105" s="26" t="s">
        <v>244</v>
      </c>
      <c r="R105" s="27"/>
      <c r="S105" s="3"/>
      <c r="T105" s="28" t="n">
        <v>11000</v>
      </c>
      <c r="U105" s="28" t="n">
        <v>11000</v>
      </c>
      <c r="V105" s="28" t="n">
        <v>11000</v>
      </c>
      <c r="W105" s="28" t="n">
        <v>11000</v>
      </c>
      <c r="X105" s="28" t="n">
        <v>11000</v>
      </c>
      <c r="Y105" s="28" t="n">
        <v>11000</v>
      </c>
      <c r="Z105" s="28" t="n">
        <v>11000</v>
      </c>
      <c r="AA105" s="28" t="n">
        <v>11000</v>
      </c>
      <c r="AB105" s="50" t="s">
        <v>81</v>
      </c>
      <c r="AC105" s="3" t="s">
        <v>786</v>
      </c>
      <c r="AD105" s="3"/>
      <c r="AE105" s="3"/>
      <c r="AF105" s="3"/>
      <c r="AG105" s="3"/>
      <c r="AH105" s="3"/>
      <c r="AI105" s="31"/>
      <c r="AJ105" s="32"/>
      <c r="AK105" s="31"/>
      <c r="AL105" s="32"/>
      <c r="AM105" s="3"/>
      <c r="AN105" s="3"/>
    </row>
    <row r="106" customFormat="false" ht="23.85" hidden="false" customHeight="false" outlineLevel="0" collapsed="false">
      <c r="A106" s="3" t="s">
        <v>787</v>
      </c>
      <c r="B106" s="3" t="s">
        <v>778</v>
      </c>
      <c r="C106" s="26" t="s">
        <v>154</v>
      </c>
      <c r="D106" s="36" t="str">
        <f aca="false">D104</f>
        <v>5 Services</v>
      </c>
      <c r="E106" s="36" t="str">
        <f aca="false">E104</f>
        <v>Specialist services</v>
      </c>
      <c r="F106" s="36" t="str">
        <f aca="false">F104</f>
        <v>Compressed air</v>
      </c>
      <c r="G106" s="3"/>
      <c r="H106" s="3"/>
      <c r="I106" s="3" t="s">
        <v>260</v>
      </c>
      <c r="J106" s="3" t="s">
        <v>192</v>
      </c>
      <c r="K106" s="26"/>
      <c r="L106" s="3" t="s">
        <v>253</v>
      </c>
      <c r="M106" s="3" t="s">
        <v>254</v>
      </c>
      <c r="N106" s="3"/>
      <c r="O106" s="26" t="n">
        <v>3</v>
      </c>
      <c r="P106" s="26"/>
      <c r="Q106" s="26" t="s">
        <v>244</v>
      </c>
      <c r="R106" s="27"/>
      <c r="S106" s="3"/>
      <c r="T106" s="28" t="n">
        <v>21000</v>
      </c>
      <c r="U106" s="28" t="n">
        <v>21000</v>
      </c>
      <c r="V106" s="28" t="n">
        <v>21000</v>
      </c>
      <c r="W106" s="28" t="n">
        <v>21000</v>
      </c>
      <c r="X106" s="28" t="n">
        <v>21000</v>
      </c>
      <c r="Y106" s="28" t="n">
        <v>21000</v>
      </c>
      <c r="Z106" s="28" t="n">
        <v>21000</v>
      </c>
      <c r="AA106" s="28" t="n">
        <v>21000</v>
      </c>
      <c r="AB106" s="50" t="s">
        <v>81</v>
      </c>
      <c r="AC106" s="3" t="s">
        <v>788</v>
      </c>
      <c r="AD106" s="3"/>
      <c r="AE106" s="3"/>
      <c r="AF106" s="3"/>
      <c r="AG106" s="3"/>
      <c r="AH106" s="3"/>
      <c r="AI106" s="31"/>
      <c r="AJ106" s="32"/>
      <c r="AK106" s="31"/>
      <c r="AL106" s="32"/>
      <c r="AM106" s="3"/>
      <c r="AN106" s="3"/>
    </row>
    <row r="107" customFormat="false" ht="23.85" hidden="false" customHeight="false" outlineLevel="0" collapsed="false">
      <c r="A107" s="23" t="s">
        <v>789</v>
      </c>
      <c r="B107" s="23" t="s">
        <v>790</v>
      </c>
      <c r="C107" s="24" t="s">
        <v>152</v>
      </c>
      <c r="D107" s="23" t="s">
        <v>559</v>
      </c>
      <c r="E107" s="23" t="s">
        <v>779</v>
      </c>
      <c r="F107" s="25" t="s">
        <v>791</v>
      </c>
      <c r="G107" s="23" t="s">
        <v>792</v>
      </c>
      <c r="H107" s="3" t="s">
        <v>190</v>
      </c>
      <c r="I107" s="3" t="s">
        <v>252</v>
      </c>
      <c r="J107" s="3" t="s">
        <v>192</v>
      </c>
      <c r="K107" s="26"/>
      <c r="L107" s="3" t="s">
        <v>253</v>
      </c>
      <c r="M107" s="3" t="s">
        <v>254</v>
      </c>
      <c r="N107" s="3" t="s">
        <v>111</v>
      </c>
      <c r="O107" s="26" t="n">
        <v>3</v>
      </c>
      <c r="P107" s="26"/>
      <c r="Q107" s="26" t="s">
        <v>244</v>
      </c>
      <c r="R107" s="27"/>
      <c r="S107" s="3"/>
      <c r="T107" s="28" t="n">
        <v>8000</v>
      </c>
      <c r="U107" s="28" t="n">
        <v>8000</v>
      </c>
      <c r="V107" s="28" t="n">
        <v>8000</v>
      </c>
      <c r="W107" s="28" t="n">
        <v>8000</v>
      </c>
      <c r="X107" s="28" t="n">
        <v>8000</v>
      </c>
      <c r="Y107" s="28" t="n">
        <v>8000</v>
      </c>
      <c r="Z107" s="28" t="n">
        <v>8000</v>
      </c>
      <c r="AA107" s="28" t="n">
        <v>8000</v>
      </c>
      <c r="AB107" s="35" t="s">
        <v>87</v>
      </c>
      <c r="AC107" s="3" t="s">
        <v>793</v>
      </c>
      <c r="AD107" s="3" t="s">
        <v>325</v>
      </c>
      <c r="AE107" s="3" t="s">
        <v>187</v>
      </c>
      <c r="AF107" s="3" t="s">
        <v>509</v>
      </c>
      <c r="AG107" s="3"/>
      <c r="AH107" s="3"/>
      <c r="AI107" s="26" t="s">
        <v>623</v>
      </c>
      <c r="AJ107" s="30" t="n">
        <v>1</v>
      </c>
      <c r="AK107" s="31"/>
      <c r="AL107" s="32"/>
      <c r="AM107" s="3" t="s">
        <v>794</v>
      </c>
      <c r="AN107" s="3"/>
    </row>
    <row r="108" customFormat="false" ht="23.85" hidden="false" customHeight="false" outlineLevel="0" collapsed="false">
      <c r="A108" s="3" t="s">
        <v>795</v>
      </c>
      <c r="B108" s="3" t="s">
        <v>790</v>
      </c>
      <c r="C108" s="26" t="s">
        <v>154</v>
      </c>
      <c r="D108" s="36" t="str">
        <f aca="false">D107</f>
        <v>5 Services</v>
      </c>
      <c r="E108" s="36" t="str">
        <f aca="false">E107</f>
        <v>Specialist services</v>
      </c>
      <c r="F108" s="36" t="str">
        <f aca="false">F107</f>
        <v>Fume extraction</v>
      </c>
      <c r="G108" s="3"/>
      <c r="H108" s="3"/>
      <c r="I108" s="3" t="s">
        <v>258</v>
      </c>
      <c r="J108" s="3" t="s">
        <v>192</v>
      </c>
      <c r="K108" s="26" t="s">
        <v>193</v>
      </c>
      <c r="L108" s="3" t="s">
        <v>253</v>
      </c>
      <c r="M108" s="3" t="s">
        <v>254</v>
      </c>
      <c r="N108" s="3"/>
      <c r="O108" s="26" t="n">
        <v>3</v>
      </c>
      <c r="P108" s="26"/>
      <c r="Q108" s="26" t="s">
        <v>244</v>
      </c>
      <c r="R108" s="27"/>
      <c r="S108" s="3"/>
      <c r="T108" s="28" t="n">
        <v>16000</v>
      </c>
      <c r="U108" s="28" t="n">
        <v>16000</v>
      </c>
      <c r="V108" s="28" t="n">
        <v>16000</v>
      </c>
      <c r="W108" s="28" t="n">
        <v>16000</v>
      </c>
      <c r="X108" s="28" t="n">
        <v>16000</v>
      </c>
      <c r="Y108" s="28" t="n">
        <v>16000</v>
      </c>
      <c r="Z108" s="28" t="n">
        <v>16000</v>
      </c>
      <c r="AA108" s="28" t="n">
        <v>16000</v>
      </c>
      <c r="AB108" s="50" t="s">
        <v>81</v>
      </c>
      <c r="AC108" s="3" t="s">
        <v>796</v>
      </c>
      <c r="AD108" s="3"/>
      <c r="AE108" s="3"/>
      <c r="AF108" s="3"/>
      <c r="AG108" s="3"/>
      <c r="AH108" s="3"/>
      <c r="AI108" s="31"/>
      <c r="AJ108" s="32"/>
      <c r="AK108" s="31"/>
      <c r="AL108" s="32"/>
      <c r="AM108" s="3"/>
      <c r="AN108" s="3"/>
    </row>
    <row r="109" customFormat="false" ht="23.85" hidden="false" customHeight="false" outlineLevel="0" collapsed="false">
      <c r="A109" s="3" t="s">
        <v>797</v>
      </c>
      <c r="B109" s="3" t="s">
        <v>790</v>
      </c>
      <c r="C109" s="26" t="s">
        <v>154</v>
      </c>
      <c r="D109" s="36" t="str">
        <f aca="false">D107</f>
        <v>5 Services</v>
      </c>
      <c r="E109" s="36" t="str">
        <f aca="false">E107</f>
        <v>Specialist services</v>
      </c>
      <c r="F109" s="36" t="str">
        <f aca="false">F107</f>
        <v>Fume extraction</v>
      </c>
      <c r="G109" s="3"/>
      <c r="H109" s="3"/>
      <c r="I109" s="3" t="s">
        <v>260</v>
      </c>
      <c r="J109" s="3" t="s">
        <v>192</v>
      </c>
      <c r="K109" s="26"/>
      <c r="L109" s="3" t="s">
        <v>253</v>
      </c>
      <c r="M109" s="3" t="s">
        <v>254</v>
      </c>
      <c r="N109" s="3"/>
      <c r="O109" s="26" t="n">
        <v>3</v>
      </c>
      <c r="P109" s="26"/>
      <c r="Q109" s="26" t="s">
        <v>244</v>
      </c>
      <c r="R109" s="27"/>
      <c r="S109" s="3"/>
      <c r="T109" s="28" t="n">
        <v>38000</v>
      </c>
      <c r="U109" s="28" t="n">
        <v>38000</v>
      </c>
      <c r="V109" s="28" t="n">
        <v>38000</v>
      </c>
      <c r="W109" s="28" t="n">
        <v>38000</v>
      </c>
      <c r="X109" s="28" t="n">
        <v>38000</v>
      </c>
      <c r="Y109" s="28" t="n">
        <v>38000</v>
      </c>
      <c r="Z109" s="28" t="n">
        <v>38000</v>
      </c>
      <c r="AA109" s="28" t="n">
        <v>38000</v>
      </c>
      <c r="AB109" s="50" t="s">
        <v>81</v>
      </c>
      <c r="AC109" s="3" t="s">
        <v>798</v>
      </c>
      <c r="AD109" s="3"/>
      <c r="AE109" s="3"/>
      <c r="AF109" s="3"/>
      <c r="AG109" s="3"/>
      <c r="AH109" s="3"/>
      <c r="AI109" s="31"/>
      <c r="AJ109" s="32"/>
      <c r="AK109" s="31"/>
      <c r="AL109" s="32"/>
      <c r="AM109" s="3"/>
      <c r="AN109" s="3"/>
    </row>
    <row r="110" customFormat="false" ht="23.85" hidden="false" customHeight="false" outlineLevel="0" collapsed="false">
      <c r="A110" s="23" t="s">
        <v>799</v>
      </c>
      <c r="B110" s="23" t="s">
        <v>800</v>
      </c>
      <c r="C110" s="24" t="s">
        <v>152</v>
      </c>
      <c r="D110" s="23" t="s">
        <v>559</v>
      </c>
      <c r="E110" s="23" t="s">
        <v>779</v>
      </c>
      <c r="F110" s="25" t="s">
        <v>801</v>
      </c>
      <c r="G110" s="23" t="s">
        <v>802</v>
      </c>
      <c r="H110" s="3" t="s">
        <v>190</v>
      </c>
      <c r="I110" s="3" t="s">
        <v>191</v>
      </c>
      <c r="J110" s="3" t="s">
        <v>192</v>
      </c>
      <c r="K110" s="26" t="s">
        <v>193</v>
      </c>
      <c r="L110" s="3" t="s">
        <v>803</v>
      </c>
      <c r="M110" s="3" t="s">
        <v>323</v>
      </c>
      <c r="N110" s="3" t="s">
        <v>243</v>
      </c>
      <c r="O110" s="26" t="n">
        <v>3</v>
      </c>
      <c r="P110" s="26"/>
      <c r="Q110" s="26" t="s">
        <v>193</v>
      </c>
      <c r="R110" s="27"/>
      <c r="S110" s="3"/>
      <c r="T110" s="28" t="n">
        <v>90</v>
      </c>
      <c r="U110" s="28" t="n">
        <v>90</v>
      </c>
      <c r="V110" s="28" t="n">
        <v>155</v>
      </c>
      <c r="W110" s="28" t="n">
        <v>90</v>
      </c>
      <c r="X110" s="28" t="n">
        <v>155</v>
      </c>
      <c r="Y110" s="28" t="n">
        <v>90</v>
      </c>
      <c r="Z110" s="28" t="n">
        <v>155</v>
      </c>
      <c r="AA110" s="28" t="n">
        <v>0</v>
      </c>
      <c r="AB110" s="50" t="s">
        <v>81</v>
      </c>
      <c r="AC110" s="3" t="s">
        <v>804</v>
      </c>
      <c r="AD110" s="3" t="s">
        <v>325</v>
      </c>
      <c r="AE110" s="3" t="s">
        <v>187</v>
      </c>
      <c r="AF110" s="3" t="s">
        <v>539</v>
      </c>
      <c r="AG110" s="3"/>
      <c r="AH110" s="3"/>
      <c r="AI110" s="26" t="s">
        <v>613</v>
      </c>
      <c r="AJ110" s="30" t="n">
        <v>1</v>
      </c>
      <c r="AK110" s="31"/>
      <c r="AL110" s="32"/>
      <c r="AM110" s="3" t="s">
        <v>805</v>
      </c>
      <c r="AN110" s="3"/>
    </row>
    <row r="111" customFormat="false" ht="23.85" hidden="false" customHeight="false" outlineLevel="0" collapsed="false">
      <c r="A111" s="23" t="s">
        <v>806</v>
      </c>
      <c r="B111" s="23" t="s">
        <v>807</v>
      </c>
      <c r="C111" s="24" t="s">
        <v>152</v>
      </c>
      <c r="D111" s="23" t="s">
        <v>559</v>
      </c>
      <c r="E111" s="23" t="s">
        <v>779</v>
      </c>
      <c r="F111" s="25" t="s">
        <v>808</v>
      </c>
      <c r="G111" s="23" t="s">
        <v>809</v>
      </c>
      <c r="H111" s="3" t="s">
        <v>190</v>
      </c>
      <c r="I111" s="3" t="s">
        <v>191</v>
      </c>
      <c r="J111" s="3" t="s">
        <v>192</v>
      </c>
      <c r="K111" s="26" t="s">
        <v>193</v>
      </c>
      <c r="L111" s="3" t="s">
        <v>810</v>
      </c>
      <c r="M111" s="3" t="s">
        <v>242</v>
      </c>
      <c r="N111" s="3" t="s">
        <v>811</v>
      </c>
      <c r="O111" s="26" t="n">
        <v>3</v>
      </c>
      <c r="P111" s="26"/>
      <c r="Q111" s="26" t="s">
        <v>193</v>
      </c>
      <c r="R111" s="27"/>
      <c r="S111" s="3"/>
      <c r="T111" s="28" t="n">
        <v>1000</v>
      </c>
      <c r="U111" s="28" t="n">
        <v>1000</v>
      </c>
      <c r="V111" s="28" t="n">
        <v>1650</v>
      </c>
      <c r="W111" s="28" t="n">
        <v>1000</v>
      </c>
      <c r="X111" s="28" t="n">
        <v>1650</v>
      </c>
      <c r="Y111" s="28" t="n">
        <v>1000</v>
      </c>
      <c r="Z111" s="28" t="n">
        <v>1650</v>
      </c>
      <c r="AA111" s="28" t="n">
        <v>0</v>
      </c>
      <c r="AB111" s="50" t="s">
        <v>81</v>
      </c>
      <c r="AC111" s="3" t="s">
        <v>812</v>
      </c>
      <c r="AD111" s="3" t="s">
        <v>325</v>
      </c>
      <c r="AE111" s="3" t="s">
        <v>187</v>
      </c>
      <c r="AF111" s="3" t="s">
        <v>411</v>
      </c>
      <c r="AG111" s="3"/>
      <c r="AH111" s="3"/>
      <c r="AI111" s="26" t="s">
        <v>555</v>
      </c>
      <c r="AJ111" s="30" t="n">
        <v>1</v>
      </c>
      <c r="AK111" s="31"/>
      <c r="AL111" s="32"/>
      <c r="AM111" s="3" t="s">
        <v>813</v>
      </c>
      <c r="AN111" s="3"/>
    </row>
    <row r="112" customFormat="false" ht="23.85" hidden="false" customHeight="false" outlineLevel="0" collapsed="false">
      <c r="A112" s="23" t="s">
        <v>814</v>
      </c>
      <c r="B112" s="23" t="s">
        <v>815</v>
      </c>
      <c r="C112" s="24" t="s">
        <v>152</v>
      </c>
      <c r="D112" s="23" t="s">
        <v>559</v>
      </c>
      <c r="E112" s="23" t="s">
        <v>779</v>
      </c>
      <c r="F112" s="25" t="s">
        <v>816</v>
      </c>
      <c r="G112" s="23" t="s">
        <v>817</v>
      </c>
      <c r="H112" s="3" t="s">
        <v>190</v>
      </c>
      <c r="I112" s="3" t="s">
        <v>191</v>
      </c>
      <c r="J112" s="3" t="s">
        <v>192</v>
      </c>
      <c r="K112" s="26" t="s">
        <v>193</v>
      </c>
      <c r="L112" s="3" t="s">
        <v>425</v>
      </c>
      <c r="M112" s="3" t="s">
        <v>242</v>
      </c>
      <c r="N112" s="3" t="s">
        <v>818</v>
      </c>
      <c r="O112" s="26" t="n">
        <v>3</v>
      </c>
      <c r="P112" s="26"/>
      <c r="Q112" s="26" t="s">
        <v>193</v>
      </c>
      <c r="R112" s="27"/>
      <c r="S112" s="3"/>
      <c r="T112" s="28" t="n">
        <v>620</v>
      </c>
      <c r="U112" s="28" t="n">
        <v>620</v>
      </c>
      <c r="V112" s="28" t="n">
        <v>1050</v>
      </c>
      <c r="W112" s="28" t="n">
        <v>620</v>
      </c>
      <c r="X112" s="28" t="n">
        <v>1050</v>
      </c>
      <c r="Y112" s="28" t="n">
        <v>620</v>
      </c>
      <c r="Z112" s="28" t="n">
        <v>1050</v>
      </c>
      <c r="AA112" s="28" t="n">
        <v>0</v>
      </c>
      <c r="AB112" s="50" t="s">
        <v>81</v>
      </c>
      <c r="AC112" s="3" t="s">
        <v>819</v>
      </c>
      <c r="AD112" s="3" t="s">
        <v>325</v>
      </c>
      <c r="AE112" s="3" t="s">
        <v>187</v>
      </c>
      <c r="AF112" s="3" t="s">
        <v>820</v>
      </c>
      <c r="AG112" s="3"/>
      <c r="AH112" s="3"/>
      <c r="AI112" s="26" t="s">
        <v>473</v>
      </c>
      <c r="AJ112" s="30" t="n">
        <v>1</v>
      </c>
      <c r="AK112" s="31"/>
      <c r="AL112" s="32"/>
      <c r="AM112" s="3" t="s">
        <v>821</v>
      </c>
      <c r="AN112" s="3"/>
    </row>
    <row r="113" customFormat="false" ht="15" hidden="false" customHeight="false" outlineLevel="0" collapsed="false">
      <c r="A113" s="23" t="s">
        <v>822</v>
      </c>
      <c r="B113" s="23" t="s">
        <v>823</v>
      </c>
      <c r="C113" s="24" t="s">
        <v>152</v>
      </c>
      <c r="D113" s="23" t="s">
        <v>559</v>
      </c>
      <c r="E113" s="23" t="s">
        <v>779</v>
      </c>
      <c r="F113" s="25" t="s">
        <v>824</v>
      </c>
      <c r="G113" s="23" t="s">
        <v>825</v>
      </c>
      <c r="H113" s="3" t="s">
        <v>190</v>
      </c>
      <c r="I113" s="3" t="s">
        <v>252</v>
      </c>
      <c r="J113" s="3" t="s">
        <v>192</v>
      </c>
      <c r="K113" s="26"/>
      <c r="L113" s="3" t="s">
        <v>253</v>
      </c>
      <c r="M113" s="3" t="s">
        <v>254</v>
      </c>
      <c r="N113" s="3" t="s">
        <v>111</v>
      </c>
      <c r="O113" s="26" t="n">
        <v>3</v>
      </c>
      <c r="P113" s="26"/>
      <c r="Q113" s="26" t="s">
        <v>244</v>
      </c>
      <c r="R113" s="27"/>
      <c r="S113" s="3"/>
      <c r="T113" s="28" t="n">
        <v>18000</v>
      </c>
      <c r="U113" s="28" t="n">
        <v>18000</v>
      </c>
      <c r="V113" s="28" t="n">
        <v>18000</v>
      </c>
      <c r="W113" s="28" t="n">
        <v>18000</v>
      </c>
      <c r="X113" s="28" t="n">
        <v>18000</v>
      </c>
      <c r="Y113" s="28" t="n">
        <v>18000</v>
      </c>
      <c r="Z113" s="28" t="n">
        <v>18000</v>
      </c>
      <c r="AA113" s="28" t="n">
        <v>18000</v>
      </c>
      <c r="AB113" s="35" t="s">
        <v>87</v>
      </c>
      <c r="AC113" s="3" t="s">
        <v>826</v>
      </c>
      <c r="AD113" s="3" t="s">
        <v>325</v>
      </c>
      <c r="AE113" s="3" t="s">
        <v>187</v>
      </c>
      <c r="AF113" s="3" t="s">
        <v>403</v>
      </c>
      <c r="AG113" s="3"/>
      <c r="AH113" s="3"/>
      <c r="AI113" s="26" t="s">
        <v>566</v>
      </c>
      <c r="AJ113" s="30" t="n">
        <v>1</v>
      </c>
      <c r="AK113" s="31"/>
      <c r="AL113" s="32"/>
      <c r="AM113" s="3" t="s">
        <v>827</v>
      </c>
      <c r="AN113" s="3"/>
    </row>
    <row r="114" customFormat="false" ht="23.85" hidden="false" customHeight="false" outlineLevel="0" collapsed="false">
      <c r="A114" s="3" t="s">
        <v>828</v>
      </c>
      <c r="B114" s="3" t="s">
        <v>823</v>
      </c>
      <c r="C114" s="26" t="s">
        <v>154</v>
      </c>
      <c r="D114" s="36" t="str">
        <f aca="false">D113</f>
        <v>5 Services</v>
      </c>
      <c r="E114" s="36" t="str">
        <f aca="false">E113</f>
        <v>Specialist services</v>
      </c>
      <c r="F114" s="36" t="str">
        <f aca="false">F113</f>
        <v>Server room cooling</v>
      </c>
      <c r="G114" s="3"/>
      <c r="H114" s="3"/>
      <c r="I114" s="3" t="s">
        <v>258</v>
      </c>
      <c r="J114" s="3" t="s">
        <v>192</v>
      </c>
      <c r="K114" s="26" t="s">
        <v>193</v>
      </c>
      <c r="L114" s="3" t="s">
        <v>253</v>
      </c>
      <c r="M114" s="3" t="s">
        <v>254</v>
      </c>
      <c r="N114" s="3"/>
      <c r="O114" s="26" t="n">
        <v>3</v>
      </c>
      <c r="P114" s="26"/>
      <c r="Q114" s="26" t="s">
        <v>244</v>
      </c>
      <c r="R114" s="27"/>
      <c r="S114" s="3"/>
      <c r="T114" s="28" t="n">
        <v>32000</v>
      </c>
      <c r="U114" s="28" t="n">
        <v>32000</v>
      </c>
      <c r="V114" s="28" t="n">
        <v>32000</v>
      </c>
      <c r="W114" s="28" t="n">
        <v>32000</v>
      </c>
      <c r="X114" s="28" t="n">
        <v>32000</v>
      </c>
      <c r="Y114" s="28" t="n">
        <v>32000</v>
      </c>
      <c r="Z114" s="28" t="n">
        <v>32000</v>
      </c>
      <c r="AA114" s="28" t="n">
        <v>32000</v>
      </c>
      <c r="AB114" s="50" t="s">
        <v>81</v>
      </c>
      <c r="AC114" s="3" t="s">
        <v>829</v>
      </c>
      <c r="AD114" s="3"/>
      <c r="AE114" s="3"/>
      <c r="AF114" s="3"/>
      <c r="AG114" s="3"/>
      <c r="AH114" s="3"/>
      <c r="AI114" s="31"/>
      <c r="AJ114" s="32"/>
      <c r="AK114" s="31"/>
      <c r="AL114" s="32"/>
      <c r="AM114" s="3"/>
      <c r="AN114" s="3"/>
    </row>
    <row r="115" customFormat="false" ht="23.85" hidden="false" customHeight="false" outlineLevel="0" collapsed="false">
      <c r="A115" s="3" t="s">
        <v>830</v>
      </c>
      <c r="B115" s="3" t="s">
        <v>823</v>
      </c>
      <c r="C115" s="26" t="s">
        <v>154</v>
      </c>
      <c r="D115" s="36" t="str">
        <f aca="false">D113</f>
        <v>5 Services</v>
      </c>
      <c r="E115" s="36" t="str">
        <f aca="false">E113</f>
        <v>Specialist services</v>
      </c>
      <c r="F115" s="36" t="str">
        <f aca="false">F113</f>
        <v>Server room cooling</v>
      </c>
      <c r="G115" s="3"/>
      <c r="H115" s="3"/>
      <c r="I115" s="3" t="s">
        <v>260</v>
      </c>
      <c r="J115" s="3" t="s">
        <v>192</v>
      </c>
      <c r="K115" s="26"/>
      <c r="L115" s="3" t="s">
        <v>253</v>
      </c>
      <c r="M115" s="3" t="s">
        <v>254</v>
      </c>
      <c r="N115" s="3"/>
      <c r="O115" s="26" t="n">
        <v>3</v>
      </c>
      <c r="P115" s="26"/>
      <c r="Q115" s="26" t="s">
        <v>244</v>
      </c>
      <c r="R115" s="27"/>
      <c r="S115" s="3"/>
      <c r="T115" s="28" t="n">
        <v>88000</v>
      </c>
      <c r="U115" s="28" t="n">
        <v>88000</v>
      </c>
      <c r="V115" s="28" t="n">
        <v>88000</v>
      </c>
      <c r="W115" s="28" t="n">
        <v>88000</v>
      </c>
      <c r="X115" s="28" t="n">
        <v>88000</v>
      </c>
      <c r="Y115" s="28" t="n">
        <v>88000</v>
      </c>
      <c r="Z115" s="28" t="n">
        <v>88000</v>
      </c>
      <c r="AA115" s="28" t="n">
        <v>88000</v>
      </c>
      <c r="AB115" s="50" t="s">
        <v>81</v>
      </c>
      <c r="AC115" s="3" t="s">
        <v>831</v>
      </c>
      <c r="AD115" s="3"/>
      <c r="AE115" s="3"/>
      <c r="AF115" s="3"/>
      <c r="AG115" s="3"/>
      <c r="AH115" s="3"/>
      <c r="AI115" s="31"/>
      <c r="AJ115" s="32"/>
      <c r="AK115" s="31"/>
      <c r="AL115" s="32"/>
      <c r="AM115" s="3"/>
      <c r="AN115" s="3"/>
    </row>
    <row r="116" customFormat="false" ht="23.85" hidden="false" customHeight="false" outlineLevel="0" collapsed="false">
      <c r="A116" s="37" t="s">
        <v>832</v>
      </c>
      <c r="B116" s="37" t="s">
        <v>833</v>
      </c>
      <c r="C116" s="38" t="s">
        <v>152</v>
      </c>
      <c r="D116" s="37" t="s">
        <v>834</v>
      </c>
      <c r="E116" s="37" t="s">
        <v>187</v>
      </c>
      <c r="F116" s="39" t="s">
        <v>835</v>
      </c>
      <c r="G116" s="37" t="s">
        <v>836</v>
      </c>
      <c r="H116" s="40" t="s">
        <v>190</v>
      </c>
      <c r="I116" s="40" t="s">
        <v>837</v>
      </c>
      <c r="J116" s="40" t="s">
        <v>192</v>
      </c>
      <c r="K116" s="41" t="s">
        <v>193</v>
      </c>
      <c r="L116" s="40" t="s">
        <v>194</v>
      </c>
      <c r="M116" s="40" t="s">
        <v>195</v>
      </c>
      <c r="N116" s="40" t="s">
        <v>216</v>
      </c>
      <c r="O116" s="41" t="n">
        <v>1</v>
      </c>
      <c r="P116" s="41"/>
      <c r="Q116" s="41" t="s">
        <v>193</v>
      </c>
      <c r="R116" s="42"/>
      <c r="S116" s="40"/>
      <c r="T116" s="43" t="n">
        <v>20</v>
      </c>
      <c r="U116" s="43" t="n">
        <v>45</v>
      </c>
      <c r="V116" s="43" t="n">
        <v>100</v>
      </c>
      <c r="W116" s="43" t="n">
        <v>0</v>
      </c>
      <c r="X116" s="43" t="n">
        <v>0</v>
      </c>
      <c r="Y116" s="43" t="n">
        <v>27</v>
      </c>
      <c r="Z116" s="43" t="n">
        <v>63</v>
      </c>
      <c r="AA116" s="43" t="n">
        <v>0</v>
      </c>
      <c r="AB116" s="49" t="s">
        <v>85</v>
      </c>
      <c r="AC116" s="40" t="s">
        <v>838</v>
      </c>
      <c r="AD116" s="40" t="s">
        <v>839</v>
      </c>
      <c r="AE116" s="40" t="s">
        <v>187</v>
      </c>
      <c r="AF116" s="40" t="s">
        <v>192</v>
      </c>
      <c r="AG116" s="40"/>
      <c r="AH116" s="40"/>
      <c r="AI116" s="41" t="s">
        <v>840</v>
      </c>
      <c r="AJ116" s="45" t="n">
        <v>1</v>
      </c>
      <c r="AK116" s="46"/>
      <c r="AL116" s="47"/>
      <c r="AM116" s="40" t="s">
        <v>841</v>
      </c>
      <c r="AN116" s="40"/>
    </row>
    <row r="117" customFormat="false" ht="23.85" hidden="false" customHeight="false" outlineLevel="0" collapsed="false">
      <c r="A117" s="3" t="s">
        <v>842</v>
      </c>
      <c r="B117" s="3" t="s">
        <v>833</v>
      </c>
      <c r="C117" s="26" t="s">
        <v>154</v>
      </c>
      <c r="D117" s="36" t="str">
        <f aca="false">D116</f>
        <v>7 Work to existing buildings</v>
      </c>
      <c r="E117" s="36" t="str">
        <f aca="false">E116</f>
        <v>—</v>
      </c>
      <c r="F117" s="36" t="str">
        <f aca="false">F116</f>
        <v>Repairs</v>
      </c>
      <c r="G117" s="3"/>
      <c r="H117" s="3"/>
      <c r="I117" s="3" t="s">
        <v>843</v>
      </c>
      <c r="J117" s="3" t="s">
        <v>192</v>
      </c>
      <c r="K117" s="26"/>
      <c r="L117" s="3" t="s">
        <v>194</v>
      </c>
      <c r="M117" s="3" t="s">
        <v>195</v>
      </c>
      <c r="N117" s="3"/>
      <c r="O117" s="26" t="n">
        <v>1</v>
      </c>
      <c r="P117" s="26"/>
      <c r="Q117" s="26" t="s">
        <v>193</v>
      </c>
      <c r="R117" s="27" t="n">
        <v>0.5</v>
      </c>
      <c r="S117" s="3" t="s">
        <v>832</v>
      </c>
      <c r="T117" s="28" t="n">
        <f aca="false">T116*$R117</f>
        <v>10</v>
      </c>
      <c r="U117" s="28" t="n">
        <f aca="false">U116*$R117</f>
        <v>22.5</v>
      </c>
      <c r="V117" s="28" t="n">
        <f aca="false">V116*$R117</f>
        <v>50</v>
      </c>
      <c r="W117" s="28" t="n">
        <f aca="false">W116*$R117</f>
        <v>0</v>
      </c>
      <c r="X117" s="28" t="n">
        <f aca="false">X116*$R117</f>
        <v>0</v>
      </c>
      <c r="Y117" s="28" t="n">
        <f aca="false">Y116*$R117</f>
        <v>13.5</v>
      </c>
      <c r="Z117" s="28" t="n">
        <f aca="false">Z116*$R117</f>
        <v>31.5</v>
      </c>
      <c r="AA117" s="28" t="n">
        <f aca="false">AA116*$R117</f>
        <v>0</v>
      </c>
      <c r="AB117" s="35" t="s">
        <v>87</v>
      </c>
      <c r="AC117" s="3" t="s">
        <v>844</v>
      </c>
      <c r="AD117" s="3"/>
      <c r="AE117" s="3"/>
      <c r="AF117" s="3"/>
      <c r="AG117" s="3"/>
      <c r="AH117" s="3"/>
      <c r="AI117" s="31"/>
      <c r="AJ117" s="32"/>
      <c r="AK117" s="31"/>
      <c r="AL117" s="32"/>
      <c r="AM117" s="3"/>
      <c r="AN117" s="3"/>
    </row>
    <row r="118" customFormat="false" ht="23.85" hidden="false" customHeight="false" outlineLevel="0" collapsed="false">
      <c r="A118" s="3" t="s">
        <v>845</v>
      </c>
      <c r="B118" s="3" t="s">
        <v>833</v>
      </c>
      <c r="C118" s="26" t="s">
        <v>154</v>
      </c>
      <c r="D118" s="36" t="str">
        <f aca="false">D116</f>
        <v>7 Work to existing buildings</v>
      </c>
      <c r="E118" s="36" t="str">
        <f aca="false">E116</f>
        <v>—</v>
      </c>
      <c r="F118" s="36" t="str">
        <f aca="false">F116</f>
        <v>Repairs</v>
      </c>
      <c r="G118" s="3"/>
      <c r="H118" s="3"/>
      <c r="I118" s="3" t="s">
        <v>846</v>
      </c>
      <c r="J118" s="3" t="s">
        <v>192</v>
      </c>
      <c r="K118" s="26"/>
      <c r="L118" s="3" t="s">
        <v>194</v>
      </c>
      <c r="M118" s="3" t="s">
        <v>195</v>
      </c>
      <c r="N118" s="3"/>
      <c r="O118" s="26" t="n">
        <v>1</v>
      </c>
      <c r="P118" s="26"/>
      <c r="Q118" s="26" t="s">
        <v>193</v>
      </c>
      <c r="R118" s="27" t="n">
        <v>2</v>
      </c>
      <c r="S118" s="3" t="s">
        <v>832</v>
      </c>
      <c r="T118" s="28" t="n">
        <f aca="false">T116*$R118</f>
        <v>40</v>
      </c>
      <c r="U118" s="28" t="n">
        <f aca="false">U116*$R118</f>
        <v>90</v>
      </c>
      <c r="V118" s="28" t="n">
        <f aca="false">V116*$R118</f>
        <v>200</v>
      </c>
      <c r="W118" s="28" t="n">
        <f aca="false">W116*$R118</f>
        <v>0</v>
      </c>
      <c r="X118" s="28" t="n">
        <f aca="false">X116*$R118</f>
        <v>0</v>
      </c>
      <c r="Y118" s="28" t="n">
        <f aca="false">Y116*$R118</f>
        <v>54</v>
      </c>
      <c r="Z118" s="28" t="n">
        <f aca="false">Z116*$R118</f>
        <v>126</v>
      </c>
      <c r="AA118" s="28" t="n">
        <f aca="false">AA116*$R118</f>
        <v>0</v>
      </c>
      <c r="AB118" s="35" t="s">
        <v>87</v>
      </c>
      <c r="AC118" s="3" t="s">
        <v>847</v>
      </c>
      <c r="AD118" s="3"/>
      <c r="AE118" s="3"/>
      <c r="AF118" s="3"/>
      <c r="AG118" s="3"/>
      <c r="AH118" s="3"/>
      <c r="AI118" s="31"/>
      <c r="AJ118" s="32"/>
      <c r="AK118" s="31"/>
      <c r="AL118" s="32"/>
      <c r="AM118" s="3"/>
      <c r="AN118" s="3"/>
    </row>
    <row r="119" customFormat="false" ht="23.85" hidden="false" customHeight="false" outlineLevel="0" collapsed="false">
      <c r="A119" s="23" t="s">
        <v>848</v>
      </c>
      <c r="B119" s="23" t="s">
        <v>849</v>
      </c>
      <c r="C119" s="24" t="s">
        <v>152</v>
      </c>
      <c r="D119" s="23" t="s">
        <v>834</v>
      </c>
      <c r="E119" s="23" t="s">
        <v>187</v>
      </c>
      <c r="F119" s="25" t="s">
        <v>850</v>
      </c>
      <c r="G119" s="23" t="s">
        <v>851</v>
      </c>
      <c r="H119" s="3" t="s">
        <v>190</v>
      </c>
      <c r="I119" s="3" t="s">
        <v>191</v>
      </c>
      <c r="J119" s="3" t="s">
        <v>192</v>
      </c>
      <c r="K119" s="26" t="s">
        <v>193</v>
      </c>
      <c r="L119" s="3" t="s">
        <v>194</v>
      </c>
      <c r="M119" s="3" t="s">
        <v>195</v>
      </c>
      <c r="N119" s="3" t="s">
        <v>216</v>
      </c>
      <c r="O119" s="26" t="n">
        <v>4</v>
      </c>
      <c r="P119" s="33" t="s">
        <v>117</v>
      </c>
      <c r="Q119" s="26" t="s">
        <v>193</v>
      </c>
      <c r="R119" s="27"/>
      <c r="S119" s="3"/>
      <c r="T119" s="28" t="n">
        <v>30</v>
      </c>
      <c r="U119" s="28" t="n">
        <v>60</v>
      </c>
      <c r="V119" s="28" t="n">
        <v>110</v>
      </c>
      <c r="W119" s="28" t="n">
        <v>0</v>
      </c>
      <c r="X119" s="28" t="n">
        <v>0</v>
      </c>
      <c r="Y119" s="28" t="n">
        <v>20</v>
      </c>
      <c r="Z119" s="28" t="n">
        <v>40</v>
      </c>
      <c r="AA119" s="28" t="n">
        <v>0</v>
      </c>
      <c r="AB119" s="35" t="s">
        <v>87</v>
      </c>
      <c r="AC119" s="3" t="s">
        <v>852</v>
      </c>
      <c r="AD119" s="3" t="s">
        <v>839</v>
      </c>
      <c r="AE119" s="3" t="s">
        <v>187</v>
      </c>
      <c r="AF119" s="3" t="s">
        <v>192</v>
      </c>
      <c r="AG119" s="3"/>
      <c r="AH119" s="3"/>
      <c r="AI119" s="26" t="s">
        <v>853</v>
      </c>
      <c r="AJ119" s="30" t="n">
        <v>1</v>
      </c>
      <c r="AK119" s="31"/>
      <c r="AL119" s="32"/>
      <c r="AM119" s="3" t="s">
        <v>854</v>
      </c>
      <c r="AN119" s="3"/>
    </row>
    <row r="120" customFormat="false" ht="23.85" hidden="false" customHeight="false" outlineLevel="0" collapsed="false">
      <c r="A120" s="23" t="s">
        <v>855</v>
      </c>
      <c r="B120" s="23" t="s">
        <v>856</v>
      </c>
      <c r="C120" s="24" t="s">
        <v>152</v>
      </c>
      <c r="D120" s="23" t="s">
        <v>834</v>
      </c>
      <c r="E120" s="23" t="s">
        <v>187</v>
      </c>
      <c r="F120" s="25" t="s">
        <v>857</v>
      </c>
      <c r="G120" s="23" t="s">
        <v>858</v>
      </c>
      <c r="H120" s="3" t="s">
        <v>190</v>
      </c>
      <c r="I120" s="3" t="s">
        <v>191</v>
      </c>
      <c r="J120" s="3" t="s">
        <v>192</v>
      </c>
      <c r="K120" s="26" t="s">
        <v>193</v>
      </c>
      <c r="L120" s="3" t="s">
        <v>859</v>
      </c>
      <c r="M120" s="3" t="s">
        <v>267</v>
      </c>
      <c r="N120" s="3" t="s">
        <v>232</v>
      </c>
      <c r="O120" s="26" t="n">
        <v>1</v>
      </c>
      <c r="P120" s="26"/>
      <c r="Q120" s="26" t="s">
        <v>193</v>
      </c>
      <c r="R120" s="27"/>
      <c r="S120" s="3"/>
      <c r="T120" s="28" t="n">
        <v>12</v>
      </c>
      <c r="U120" s="28" t="n">
        <v>25</v>
      </c>
      <c r="V120" s="28" t="n">
        <v>50</v>
      </c>
      <c r="W120" s="28" t="n">
        <v>0</v>
      </c>
      <c r="X120" s="28" t="n">
        <v>0</v>
      </c>
      <c r="Y120" s="28" t="n">
        <v>12</v>
      </c>
      <c r="Z120" s="28" t="n">
        <v>38</v>
      </c>
      <c r="AA120" s="28" t="n">
        <v>0</v>
      </c>
      <c r="AB120" s="29" t="s">
        <v>85</v>
      </c>
      <c r="AC120" s="3" t="s">
        <v>860</v>
      </c>
      <c r="AD120" s="3" t="s">
        <v>839</v>
      </c>
      <c r="AE120" s="3" t="s">
        <v>187</v>
      </c>
      <c r="AF120" s="3" t="s">
        <v>192</v>
      </c>
      <c r="AG120" s="3"/>
      <c r="AH120" s="3"/>
      <c r="AI120" s="26" t="s">
        <v>861</v>
      </c>
      <c r="AJ120" s="30" t="n">
        <v>1</v>
      </c>
      <c r="AK120" s="31"/>
      <c r="AL120" s="32"/>
      <c r="AM120" s="3" t="s">
        <v>861</v>
      </c>
      <c r="AN120" s="3"/>
    </row>
    <row r="121" customFormat="false" ht="35.05" hidden="false" customHeight="false" outlineLevel="0" collapsed="false">
      <c r="A121" s="37" t="s">
        <v>862</v>
      </c>
      <c r="B121" s="37" t="s">
        <v>863</v>
      </c>
      <c r="C121" s="38" t="s">
        <v>152</v>
      </c>
      <c r="D121" s="37" t="s">
        <v>864</v>
      </c>
      <c r="E121" s="37" t="s">
        <v>865</v>
      </c>
      <c r="F121" s="39" t="s">
        <v>866</v>
      </c>
      <c r="G121" s="37" t="s">
        <v>867</v>
      </c>
      <c r="H121" s="40" t="s">
        <v>190</v>
      </c>
      <c r="I121" s="40" t="s">
        <v>191</v>
      </c>
      <c r="J121" s="40" t="s">
        <v>192</v>
      </c>
      <c r="K121" s="41" t="s">
        <v>193</v>
      </c>
      <c r="L121" s="40" t="s">
        <v>868</v>
      </c>
      <c r="M121" s="40" t="s">
        <v>869</v>
      </c>
      <c r="N121" s="40" t="s">
        <v>870</v>
      </c>
      <c r="O121" s="41" t="n">
        <v>1</v>
      </c>
      <c r="P121" s="41"/>
      <c r="Q121" s="41" t="s">
        <v>193</v>
      </c>
      <c r="R121" s="42"/>
      <c r="S121" s="40"/>
      <c r="T121" s="43" t="n">
        <v>7</v>
      </c>
      <c r="U121" s="43" t="n">
        <v>10</v>
      </c>
      <c r="V121" s="43" t="n">
        <v>16</v>
      </c>
      <c r="W121" s="43" t="n">
        <v>10</v>
      </c>
      <c r="X121" s="43" t="n">
        <v>16</v>
      </c>
      <c r="Y121" s="43" t="n">
        <v>10</v>
      </c>
      <c r="Z121" s="43" t="n">
        <v>16</v>
      </c>
      <c r="AA121" s="43" t="n">
        <v>10</v>
      </c>
      <c r="AB121" s="49" t="s">
        <v>85</v>
      </c>
      <c r="AC121" s="40" t="s">
        <v>871</v>
      </c>
      <c r="AD121" s="40" t="s">
        <v>872</v>
      </c>
      <c r="AE121" s="40" t="s">
        <v>1304</v>
      </c>
      <c r="AF121" s="40" t="s">
        <v>192</v>
      </c>
      <c r="AG121" s="40"/>
      <c r="AH121" s="40"/>
      <c r="AI121" s="41" t="s">
        <v>246</v>
      </c>
      <c r="AJ121" s="45" t="n">
        <v>1</v>
      </c>
      <c r="AK121" s="46"/>
      <c r="AL121" s="47"/>
      <c r="AM121" s="40" t="s">
        <v>246</v>
      </c>
      <c r="AN121" s="40"/>
    </row>
    <row r="122" customFormat="false" ht="35.05" hidden="false" customHeight="false" outlineLevel="0" collapsed="false">
      <c r="A122" s="23" t="s">
        <v>873</v>
      </c>
      <c r="B122" s="23" t="s">
        <v>874</v>
      </c>
      <c r="C122" s="24" t="s">
        <v>152</v>
      </c>
      <c r="D122" s="23" t="s">
        <v>864</v>
      </c>
      <c r="E122" s="23" t="s">
        <v>865</v>
      </c>
      <c r="F122" s="25" t="s">
        <v>875</v>
      </c>
      <c r="G122" s="23" t="s">
        <v>876</v>
      </c>
      <c r="H122" s="3" t="s">
        <v>190</v>
      </c>
      <c r="I122" s="3" t="s">
        <v>191</v>
      </c>
      <c r="J122" s="3" t="s">
        <v>192</v>
      </c>
      <c r="K122" s="26" t="s">
        <v>193</v>
      </c>
      <c r="L122" s="3" t="s">
        <v>868</v>
      </c>
      <c r="M122" s="3" t="s">
        <v>869</v>
      </c>
      <c r="N122" s="3" t="s">
        <v>870</v>
      </c>
      <c r="O122" s="26" t="n">
        <v>1</v>
      </c>
      <c r="P122" s="26"/>
      <c r="Q122" s="26" t="s">
        <v>193</v>
      </c>
      <c r="R122" s="27"/>
      <c r="S122" s="3"/>
      <c r="T122" s="28" t="n">
        <v>18</v>
      </c>
      <c r="U122" s="28" t="n">
        <v>25</v>
      </c>
      <c r="V122" s="28" t="n">
        <v>40</v>
      </c>
      <c r="W122" s="28" t="n">
        <v>25</v>
      </c>
      <c r="X122" s="28" t="n">
        <v>40</v>
      </c>
      <c r="Y122" s="28" t="n">
        <v>25</v>
      </c>
      <c r="Z122" s="28" t="n">
        <v>40</v>
      </c>
      <c r="AA122" s="28" t="n">
        <v>25</v>
      </c>
      <c r="AB122" s="29" t="s">
        <v>85</v>
      </c>
      <c r="AC122" s="3" t="s">
        <v>877</v>
      </c>
      <c r="AD122" s="3" t="s">
        <v>878</v>
      </c>
      <c r="AE122" s="3" t="s">
        <v>1305</v>
      </c>
      <c r="AF122" s="3" t="s">
        <v>192</v>
      </c>
      <c r="AG122" s="3"/>
      <c r="AH122" s="3"/>
      <c r="AI122" s="26" t="s">
        <v>879</v>
      </c>
      <c r="AJ122" s="30" t="n">
        <v>1</v>
      </c>
      <c r="AK122" s="31"/>
      <c r="AL122" s="32"/>
      <c r="AM122" s="3" t="s">
        <v>880</v>
      </c>
      <c r="AN122" s="3"/>
    </row>
    <row r="123" customFormat="false" ht="23.85" hidden="false" customHeight="false" outlineLevel="0" collapsed="false">
      <c r="A123" s="23" t="s">
        <v>881</v>
      </c>
      <c r="B123" s="23" t="s">
        <v>882</v>
      </c>
      <c r="C123" s="24" t="s">
        <v>152</v>
      </c>
      <c r="D123" s="23" t="s">
        <v>864</v>
      </c>
      <c r="E123" s="23" t="s">
        <v>865</v>
      </c>
      <c r="F123" s="25" t="s">
        <v>883</v>
      </c>
      <c r="G123" s="23" t="s">
        <v>884</v>
      </c>
      <c r="H123" s="3" t="s">
        <v>190</v>
      </c>
      <c r="I123" s="3" t="s">
        <v>191</v>
      </c>
      <c r="J123" s="3" t="s">
        <v>192</v>
      </c>
      <c r="K123" s="26" t="s">
        <v>193</v>
      </c>
      <c r="L123" s="3" t="s">
        <v>194</v>
      </c>
      <c r="M123" s="3" t="s">
        <v>195</v>
      </c>
      <c r="N123" s="3" t="s">
        <v>216</v>
      </c>
      <c r="O123" s="26" t="n">
        <v>1</v>
      </c>
      <c r="P123" s="26"/>
      <c r="Q123" s="26" t="s">
        <v>193</v>
      </c>
      <c r="R123" s="27"/>
      <c r="S123" s="3"/>
      <c r="T123" s="28" t="n">
        <v>3</v>
      </c>
      <c r="U123" s="28" t="n">
        <v>6</v>
      </c>
      <c r="V123" s="28" t="n">
        <v>12</v>
      </c>
      <c r="W123" s="28" t="n">
        <v>8</v>
      </c>
      <c r="X123" s="28" t="n">
        <v>15</v>
      </c>
      <c r="Y123" s="28" t="n">
        <v>5</v>
      </c>
      <c r="Z123" s="28" t="n">
        <v>10</v>
      </c>
      <c r="AA123" s="28" t="n">
        <v>15</v>
      </c>
      <c r="AB123" s="34" t="s">
        <v>83</v>
      </c>
      <c r="AC123" s="3" t="s">
        <v>885</v>
      </c>
      <c r="AD123" s="3" t="s">
        <v>316</v>
      </c>
      <c r="AE123" s="3" t="s">
        <v>270</v>
      </c>
      <c r="AF123" s="3" t="s">
        <v>192</v>
      </c>
      <c r="AG123" s="3"/>
      <c r="AH123" s="3"/>
      <c r="AI123" s="26" t="s">
        <v>879</v>
      </c>
      <c r="AJ123" s="30" t="n">
        <v>1</v>
      </c>
      <c r="AK123" s="31"/>
      <c r="AL123" s="32"/>
      <c r="AM123" s="3" t="s">
        <v>886</v>
      </c>
      <c r="AN123" s="3"/>
    </row>
    <row r="124" customFormat="false" ht="23.85" hidden="false" customHeight="false" outlineLevel="0" collapsed="false">
      <c r="A124" s="23" t="s">
        <v>887</v>
      </c>
      <c r="B124" s="23" t="s">
        <v>888</v>
      </c>
      <c r="C124" s="24" t="s">
        <v>152</v>
      </c>
      <c r="D124" s="23" t="s">
        <v>864</v>
      </c>
      <c r="E124" s="23" t="s">
        <v>865</v>
      </c>
      <c r="F124" s="25" t="s">
        <v>889</v>
      </c>
      <c r="G124" s="23" t="s">
        <v>890</v>
      </c>
      <c r="H124" s="3" t="s">
        <v>190</v>
      </c>
      <c r="I124" s="3" t="s">
        <v>191</v>
      </c>
      <c r="J124" s="3" t="s">
        <v>192</v>
      </c>
      <c r="K124" s="26" t="s">
        <v>193</v>
      </c>
      <c r="L124" s="3" t="s">
        <v>194</v>
      </c>
      <c r="M124" s="3" t="s">
        <v>195</v>
      </c>
      <c r="N124" s="3" t="s">
        <v>216</v>
      </c>
      <c r="O124" s="26" t="n">
        <v>1</v>
      </c>
      <c r="P124" s="26"/>
      <c r="Q124" s="26" t="s">
        <v>193</v>
      </c>
      <c r="R124" s="27"/>
      <c r="S124" s="3"/>
      <c r="T124" s="28" t="n">
        <v>8</v>
      </c>
      <c r="U124" s="28" t="n">
        <v>10</v>
      </c>
      <c r="V124" s="28" t="n">
        <v>20</v>
      </c>
      <c r="W124" s="28" t="n">
        <v>10</v>
      </c>
      <c r="X124" s="28" t="n">
        <v>20</v>
      </c>
      <c r="Y124" s="28" t="n">
        <v>5</v>
      </c>
      <c r="Z124" s="28" t="n">
        <v>15</v>
      </c>
      <c r="AA124" s="28" t="n">
        <v>20</v>
      </c>
      <c r="AB124" s="34" t="s">
        <v>83</v>
      </c>
      <c r="AC124" s="3" t="s">
        <v>891</v>
      </c>
      <c r="AD124" s="3" t="s">
        <v>316</v>
      </c>
      <c r="AE124" s="3" t="s">
        <v>728</v>
      </c>
      <c r="AF124" s="3" t="s">
        <v>192</v>
      </c>
      <c r="AG124" s="3"/>
      <c r="AH124" s="3"/>
      <c r="AI124" s="26" t="s">
        <v>642</v>
      </c>
      <c r="AJ124" s="30" t="n">
        <v>1</v>
      </c>
      <c r="AK124" s="31"/>
      <c r="AL124" s="32"/>
      <c r="AM124" s="3" t="s">
        <v>879</v>
      </c>
      <c r="AN124" s="3"/>
    </row>
    <row r="125" customFormat="false" ht="23.85" hidden="false" customHeight="false" outlineLevel="0" collapsed="false">
      <c r="A125" s="23" t="s">
        <v>892</v>
      </c>
      <c r="B125" s="23" t="s">
        <v>893</v>
      </c>
      <c r="C125" s="24" t="s">
        <v>152</v>
      </c>
      <c r="D125" s="23" t="s">
        <v>864</v>
      </c>
      <c r="E125" s="23" t="s">
        <v>865</v>
      </c>
      <c r="F125" s="25" t="s">
        <v>894</v>
      </c>
      <c r="G125" s="23" t="s">
        <v>895</v>
      </c>
      <c r="H125" s="3" t="s">
        <v>190</v>
      </c>
      <c r="I125" s="3" t="s">
        <v>252</v>
      </c>
      <c r="J125" s="3" t="s">
        <v>192</v>
      </c>
      <c r="K125" s="26"/>
      <c r="L125" s="3" t="s">
        <v>253</v>
      </c>
      <c r="M125" s="3" t="s">
        <v>254</v>
      </c>
      <c r="N125" s="3" t="s">
        <v>111</v>
      </c>
      <c r="O125" s="26" t="n">
        <v>1</v>
      </c>
      <c r="P125" s="26"/>
      <c r="Q125" s="26" t="s">
        <v>244</v>
      </c>
      <c r="R125" s="27"/>
      <c r="S125" s="3"/>
      <c r="T125" s="28" t="n">
        <v>25000</v>
      </c>
      <c r="U125" s="28" t="n">
        <v>25000</v>
      </c>
      <c r="V125" s="28" t="n">
        <v>25000</v>
      </c>
      <c r="W125" s="28" t="n">
        <v>25000</v>
      </c>
      <c r="X125" s="28" t="n">
        <v>25000</v>
      </c>
      <c r="Y125" s="28" t="n">
        <v>25000</v>
      </c>
      <c r="Z125" s="28" t="n">
        <v>25000</v>
      </c>
      <c r="AA125" s="28" t="n">
        <v>25000</v>
      </c>
      <c r="AB125" s="35" t="s">
        <v>87</v>
      </c>
      <c r="AC125" s="3" t="s">
        <v>896</v>
      </c>
      <c r="AD125" s="3" t="s">
        <v>234</v>
      </c>
      <c r="AE125" s="3" t="s">
        <v>187</v>
      </c>
      <c r="AF125" s="3" t="s">
        <v>192</v>
      </c>
      <c r="AG125" s="3"/>
      <c r="AH125" s="3"/>
      <c r="AI125" s="26" t="s">
        <v>897</v>
      </c>
      <c r="AJ125" s="30" t="n">
        <v>1</v>
      </c>
      <c r="AK125" s="31"/>
      <c r="AL125" s="32"/>
      <c r="AM125" s="3" t="s">
        <v>898</v>
      </c>
      <c r="AN125" s="3"/>
    </row>
    <row r="126" customFormat="false" ht="23.85" hidden="false" customHeight="false" outlineLevel="0" collapsed="false">
      <c r="A126" s="3" t="s">
        <v>899</v>
      </c>
      <c r="B126" s="3" t="s">
        <v>893</v>
      </c>
      <c r="C126" s="26" t="s">
        <v>154</v>
      </c>
      <c r="D126" s="36" t="str">
        <f aca="false">D125</f>
        <v>8 External works</v>
      </c>
      <c r="E126" s="36" t="str">
        <f aca="false">E125</f>
        <v>Site, access and drainage</v>
      </c>
      <c r="F126" s="36" t="str">
        <f aca="false">F125</f>
        <v>Highways and site access</v>
      </c>
      <c r="G126" s="3"/>
      <c r="H126" s="3"/>
      <c r="I126" s="3" t="s">
        <v>258</v>
      </c>
      <c r="J126" s="3" t="s">
        <v>192</v>
      </c>
      <c r="K126" s="26" t="s">
        <v>193</v>
      </c>
      <c r="L126" s="3" t="s">
        <v>253</v>
      </c>
      <c r="M126" s="3" t="s">
        <v>254</v>
      </c>
      <c r="N126" s="3"/>
      <c r="O126" s="26" t="n">
        <v>1</v>
      </c>
      <c r="P126" s="26"/>
      <c r="Q126" s="26" t="s">
        <v>244</v>
      </c>
      <c r="R126" s="27"/>
      <c r="S126" s="3"/>
      <c r="T126" s="28" t="n">
        <v>75000</v>
      </c>
      <c r="U126" s="28" t="n">
        <v>75000</v>
      </c>
      <c r="V126" s="28" t="n">
        <v>75000</v>
      </c>
      <c r="W126" s="28" t="n">
        <v>75000</v>
      </c>
      <c r="X126" s="28" t="n">
        <v>75000</v>
      </c>
      <c r="Y126" s="28" t="n">
        <v>75000</v>
      </c>
      <c r="Z126" s="28" t="n">
        <v>75000</v>
      </c>
      <c r="AA126" s="28" t="n">
        <v>75000</v>
      </c>
      <c r="AB126" s="35" t="s">
        <v>87</v>
      </c>
      <c r="AC126" s="3" t="s">
        <v>896</v>
      </c>
      <c r="AD126" s="3"/>
      <c r="AE126" s="3"/>
      <c r="AF126" s="3"/>
      <c r="AG126" s="3"/>
      <c r="AH126" s="3"/>
      <c r="AI126" s="31"/>
      <c r="AJ126" s="32"/>
      <c r="AK126" s="31"/>
      <c r="AL126" s="32"/>
      <c r="AM126" s="3"/>
      <c r="AN126" s="3"/>
    </row>
    <row r="127" customFormat="false" ht="23.85" hidden="false" customHeight="false" outlineLevel="0" collapsed="false">
      <c r="A127" s="3" t="s">
        <v>900</v>
      </c>
      <c r="B127" s="3" t="s">
        <v>893</v>
      </c>
      <c r="C127" s="26" t="s">
        <v>154</v>
      </c>
      <c r="D127" s="36" t="str">
        <f aca="false">D125</f>
        <v>8 External works</v>
      </c>
      <c r="E127" s="36" t="str">
        <f aca="false">E125</f>
        <v>Site, access and drainage</v>
      </c>
      <c r="F127" s="36" t="str">
        <f aca="false">F125</f>
        <v>Highways and site access</v>
      </c>
      <c r="G127" s="3"/>
      <c r="H127" s="3"/>
      <c r="I127" s="3" t="s">
        <v>260</v>
      </c>
      <c r="J127" s="3" t="s">
        <v>192</v>
      </c>
      <c r="K127" s="26"/>
      <c r="L127" s="3" t="s">
        <v>253</v>
      </c>
      <c r="M127" s="3" t="s">
        <v>254</v>
      </c>
      <c r="N127" s="3"/>
      <c r="O127" s="26" t="n">
        <v>1</v>
      </c>
      <c r="P127" s="26"/>
      <c r="Q127" s="26" t="s">
        <v>244</v>
      </c>
      <c r="R127" s="27"/>
      <c r="S127" s="3"/>
      <c r="T127" s="28" t="n">
        <v>200000</v>
      </c>
      <c r="U127" s="28" t="n">
        <v>200000</v>
      </c>
      <c r="V127" s="28" t="n">
        <v>200000</v>
      </c>
      <c r="W127" s="28" t="n">
        <v>200000</v>
      </c>
      <c r="X127" s="28" t="n">
        <v>200000</v>
      </c>
      <c r="Y127" s="28" t="n">
        <v>200000</v>
      </c>
      <c r="Z127" s="28" t="n">
        <v>200000</v>
      </c>
      <c r="AA127" s="28" t="n">
        <v>200000</v>
      </c>
      <c r="AB127" s="35" t="s">
        <v>87</v>
      </c>
      <c r="AC127" s="3" t="s">
        <v>896</v>
      </c>
      <c r="AD127" s="3"/>
      <c r="AE127" s="3"/>
      <c r="AF127" s="3"/>
      <c r="AG127" s="3"/>
      <c r="AH127" s="3"/>
      <c r="AI127" s="31"/>
      <c r="AJ127" s="32"/>
      <c r="AK127" s="31"/>
      <c r="AL127" s="32"/>
      <c r="AM127" s="3"/>
      <c r="AN127" s="3"/>
    </row>
    <row r="128" customFormat="false" ht="23.85" hidden="false" customHeight="false" outlineLevel="0" collapsed="false">
      <c r="A128" s="23" t="s">
        <v>901</v>
      </c>
      <c r="B128" s="23" t="s">
        <v>902</v>
      </c>
      <c r="C128" s="24" t="s">
        <v>152</v>
      </c>
      <c r="D128" s="23" t="s">
        <v>864</v>
      </c>
      <c r="E128" s="23" t="s">
        <v>865</v>
      </c>
      <c r="F128" s="25" t="s">
        <v>903</v>
      </c>
      <c r="G128" s="23" t="s">
        <v>904</v>
      </c>
      <c r="H128" s="3" t="s">
        <v>190</v>
      </c>
      <c r="I128" s="3" t="s">
        <v>252</v>
      </c>
      <c r="J128" s="3" t="s">
        <v>192</v>
      </c>
      <c r="K128" s="26"/>
      <c r="L128" s="3" t="s">
        <v>253</v>
      </c>
      <c r="M128" s="3" t="s">
        <v>254</v>
      </c>
      <c r="N128" s="3" t="s">
        <v>111</v>
      </c>
      <c r="O128" s="26" t="n">
        <v>1</v>
      </c>
      <c r="P128" s="26"/>
      <c r="Q128" s="26" t="s">
        <v>244</v>
      </c>
      <c r="R128" s="27"/>
      <c r="S128" s="3"/>
      <c r="T128" s="28" t="n">
        <v>20000</v>
      </c>
      <c r="U128" s="28" t="n">
        <v>20000</v>
      </c>
      <c r="V128" s="28" t="n">
        <v>20000</v>
      </c>
      <c r="W128" s="28" t="n">
        <v>20000</v>
      </c>
      <c r="X128" s="28" t="n">
        <v>20000</v>
      </c>
      <c r="Y128" s="28" t="n">
        <v>20000</v>
      </c>
      <c r="Z128" s="28" t="n">
        <v>20000</v>
      </c>
      <c r="AA128" s="28" t="n">
        <v>20000</v>
      </c>
      <c r="AB128" s="35" t="s">
        <v>87</v>
      </c>
      <c r="AC128" s="3" t="s">
        <v>896</v>
      </c>
      <c r="AD128" s="3" t="s">
        <v>234</v>
      </c>
      <c r="AE128" s="3" t="s">
        <v>187</v>
      </c>
      <c r="AF128" s="3" t="s">
        <v>192</v>
      </c>
      <c r="AG128" s="3"/>
      <c r="AH128" s="3"/>
      <c r="AI128" s="26" t="s">
        <v>880</v>
      </c>
      <c r="AJ128" s="30" t="n">
        <v>1</v>
      </c>
      <c r="AK128" s="31"/>
      <c r="AL128" s="32"/>
      <c r="AM128" s="3" t="s">
        <v>905</v>
      </c>
      <c r="AN128" s="3"/>
    </row>
    <row r="129" customFormat="false" ht="23.85" hidden="false" customHeight="false" outlineLevel="0" collapsed="false">
      <c r="A129" s="3" t="s">
        <v>906</v>
      </c>
      <c r="B129" s="3" t="s">
        <v>902</v>
      </c>
      <c r="C129" s="26" t="s">
        <v>154</v>
      </c>
      <c r="D129" s="36" t="str">
        <f aca="false">D128</f>
        <v>8 External works</v>
      </c>
      <c r="E129" s="36" t="str">
        <f aca="false">E128</f>
        <v>Site, access and drainage</v>
      </c>
      <c r="F129" s="36" t="str">
        <f aca="false">F128</f>
        <v>Retaining walls and earthworks</v>
      </c>
      <c r="G129" s="3"/>
      <c r="H129" s="3"/>
      <c r="I129" s="3" t="s">
        <v>258</v>
      </c>
      <c r="J129" s="3" t="s">
        <v>192</v>
      </c>
      <c r="K129" s="26" t="s">
        <v>193</v>
      </c>
      <c r="L129" s="3" t="s">
        <v>253</v>
      </c>
      <c r="M129" s="3" t="s">
        <v>254</v>
      </c>
      <c r="N129" s="3"/>
      <c r="O129" s="26" t="n">
        <v>1</v>
      </c>
      <c r="P129" s="26"/>
      <c r="Q129" s="26" t="s">
        <v>244</v>
      </c>
      <c r="R129" s="27"/>
      <c r="S129" s="3"/>
      <c r="T129" s="28" t="n">
        <v>60000</v>
      </c>
      <c r="U129" s="28" t="n">
        <v>60000</v>
      </c>
      <c r="V129" s="28" t="n">
        <v>60000</v>
      </c>
      <c r="W129" s="28" t="n">
        <v>60000</v>
      </c>
      <c r="X129" s="28" t="n">
        <v>60000</v>
      </c>
      <c r="Y129" s="28" t="n">
        <v>60000</v>
      </c>
      <c r="Z129" s="28" t="n">
        <v>60000</v>
      </c>
      <c r="AA129" s="28" t="n">
        <v>60000</v>
      </c>
      <c r="AB129" s="35" t="s">
        <v>87</v>
      </c>
      <c r="AC129" s="3" t="s">
        <v>896</v>
      </c>
      <c r="AD129" s="3"/>
      <c r="AE129" s="3"/>
      <c r="AF129" s="3"/>
      <c r="AG129" s="3"/>
      <c r="AH129" s="3"/>
      <c r="AI129" s="31"/>
      <c r="AJ129" s="32"/>
      <c r="AK129" s="31"/>
      <c r="AL129" s="32"/>
      <c r="AM129" s="3"/>
      <c r="AN129" s="3"/>
    </row>
    <row r="130" customFormat="false" ht="23.85" hidden="false" customHeight="false" outlineLevel="0" collapsed="false">
      <c r="A130" s="3" t="s">
        <v>907</v>
      </c>
      <c r="B130" s="3" t="s">
        <v>902</v>
      </c>
      <c r="C130" s="26" t="s">
        <v>154</v>
      </c>
      <c r="D130" s="36" t="str">
        <f aca="false">D128</f>
        <v>8 External works</v>
      </c>
      <c r="E130" s="36" t="str">
        <f aca="false">E128</f>
        <v>Site, access and drainage</v>
      </c>
      <c r="F130" s="36" t="str">
        <f aca="false">F128</f>
        <v>Retaining walls and earthworks</v>
      </c>
      <c r="G130" s="3"/>
      <c r="H130" s="3"/>
      <c r="I130" s="3" t="s">
        <v>260</v>
      </c>
      <c r="J130" s="3" t="s">
        <v>192</v>
      </c>
      <c r="K130" s="26"/>
      <c r="L130" s="3" t="s">
        <v>253</v>
      </c>
      <c r="M130" s="3" t="s">
        <v>254</v>
      </c>
      <c r="N130" s="3"/>
      <c r="O130" s="26" t="n">
        <v>1</v>
      </c>
      <c r="P130" s="26"/>
      <c r="Q130" s="26" t="s">
        <v>244</v>
      </c>
      <c r="R130" s="27"/>
      <c r="S130" s="3"/>
      <c r="T130" s="28" t="n">
        <v>150000</v>
      </c>
      <c r="U130" s="28" t="n">
        <v>150000</v>
      </c>
      <c r="V130" s="28" t="n">
        <v>150000</v>
      </c>
      <c r="W130" s="28" t="n">
        <v>150000</v>
      </c>
      <c r="X130" s="28" t="n">
        <v>150000</v>
      </c>
      <c r="Y130" s="28" t="n">
        <v>150000</v>
      </c>
      <c r="Z130" s="28" t="n">
        <v>150000</v>
      </c>
      <c r="AA130" s="28" t="n">
        <v>150000</v>
      </c>
      <c r="AB130" s="35" t="s">
        <v>87</v>
      </c>
      <c r="AC130" s="3" t="s">
        <v>896</v>
      </c>
      <c r="AD130" s="3"/>
      <c r="AE130" s="3"/>
      <c r="AF130" s="3"/>
      <c r="AG130" s="3"/>
      <c r="AH130" s="3"/>
      <c r="AI130" s="31"/>
      <c r="AJ130" s="32"/>
      <c r="AK130" s="31"/>
      <c r="AL130" s="32"/>
      <c r="AM130" s="3"/>
      <c r="AN130" s="3"/>
    </row>
    <row r="131" customFormat="false" ht="35.05" hidden="false" customHeight="false" outlineLevel="0" collapsed="false">
      <c r="A131" s="23" t="s">
        <v>908</v>
      </c>
      <c r="B131" s="23" t="s">
        <v>909</v>
      </c>
      <c r="C131" s="24" t="s">
        <v>152</v>
      </c>
      <c r="D131" s="23" t="s">
        <v>864</v>
      </c>
      <c r="E131" s="23" t="s">
        <v>910</v>
      </c>
      <c r="F131" s="25" t="s">
        <v>911</v>
      </c>
      <c r="G131" s="23" t="s">
        <v>912</v>
      </c>
      <c r="H131" s="3" t="s">
        <v>190</v>
      </c>
      <c r="I131" s="3" t="s">
        <v>191</v>
      </c>
      <c r="J131" s="3" t="s">
        <v>192</v>
      </c>
      <c r="K131" s="26" t="s">
        <v>193</v>
      </c>
      <c r="L131" s="3" t="s">
        <v>913</v>
      </c>
      <c r="M131" s="3" t="s">
        <v>869</v>
      </c>
      <c r="N131" s="3" t="s">
        <v>914</v>
      </c>
      <c r="O131" s="26" t="n">
        <v>1</v>
      </c>
      <c r="P131" s="26"/>
      <c r="Q131" s="26" t="s">
        <v>193</v>
      </c>
      <c r="R131" s="27"/>
      <c r="S131" s="3"/>
      <c r="T131" s="28" t="n">
        <v>35</v>
      </c>
      <c r="U131" s="28" t="n">
        <v>50</v>
      </c>
      <c r="V131" s="28" t="n">
        <v>80</v>
      </c>
      <c r="W131" s="28" t="n">
        <v>50</v>
      </c>
      <c r="X131" s="28" t="n">
        <v>80</v>
      </c>
      <c r="Y131" s="28" t="n">
        <v>50</v>
      </c>
      <c r="Z131" s="28" t="n">
        <v>80</v>
      </c>
      <c r="AA131" s="28" t="n">
        <v>50</v>
      </c>
      <c r="AB131" s="29" t="s">
        <v>85</v>
      </c>
      <c r="AC131" s="3" t="s">
        <v>915</v>
      </c>
      <c r="AD131" s="3" t="s">
        <v>878</v>
      </c>
      <c r="AE131" s="3" t="s">
        <v>1304</v>
      </c>
      <c r="AF131" s="3" t="s">
        <v>192</v>
      </c>
      <c r="AG131" s="3"/>
      <c r="AH131" s="3"/>
      <c r="AI131" s="26" t="s">
        <v>897</v>
      </c>
      <c r="AJ131" s="30" t="n">
        <v>1</v>
      </c>
      <c r="AK131" s="31"/>
      <c r="AL131" s="32"/>
      <c r="AM131" s="3" t="s">
        <v>897</v>
      </c>
      <c r="AN131" s="3"/>
    </row>
    <row r="132" customFormat="false" ht="23.85" hidden="false" customHeight="false" outlineLevel="0" collapsed="false">
      <c r="A132" s="23" t="s">
        <v>916</v>
      </c>
      <c r="B132" s="23" t="s">
        <v>917</v>
      </c>
      <c r="C132" s="24" t="s">
        <v>152</v>
      </c>
      <c r="D132" s="23" t="s">
        <v>864</v>
      </c>
      <c r="E132" s="23" t="s">
        <v>910</v>
      </c>
      <c r="F132" s="25" t="s">
        <v>918</v>
      </c>
      <c r="G132" s="23" t="s">
        <v>919</v>
      </c>
      <c r="H132" s="3" t="s">
        <v>190</v>
      </c>
      <c r="I132" s="3" t="s">
        <v>191</v>
      </c>
      <c r="J132" s="3" t="s">
        <v>192</v>
      </c>
      <c r="K132" s="26" t="s">
        <v>193</v>
      </c>
      <c r="L132" s="3" t="s">
        <v>425</v>
      </c>
      <c r="M132" s="3" t="s">
        <v>242</v>
      </c>
      <c r="N132" s="3" t="s">
        <v>243</v>
      </c>
      <c r="O132" s="26" t="n">
        <v>1</v>
      </c>
      <c r="P132" s="26"/>
      <c r="Q132" s="26" t="s">
        <v>193</v>
      </c>
      <c r="R132" s="27"/>
      <c r="S132" s="3"/>
      <c r="T132" s="28" t="n">
        <v>1000</v>
      </c>
      <c r="U132" s="28" t="n">
        <v>1800</v>
      </c>
      <c r="V132" s="28" t="n">
        <v>2800</v>
      </c>
      <c r="W132" s="28" t="n">
        <v>1000</v>
      </c>
      <c r="X132" s="28" t="n">
        <v>1800</v>
      </c>
      <c r="Y132" s="28" t="n">
        <v>1000</v>
      </c>
      <c r="Z132" s="28" t="n">
        <v>1800</v>
      </c>
      <c r="AA132" s="28" t="n">
        <v>1800</v>
      </c>
      <c r="AB132" s="34" t="s">
        <v>83</v>
      </c>
      <c r="AC132" s="3" t="s">
        <v>920</v>
      </c>
      <c r="AD132" s="3" t="s">
        <v>878</v>
      </c>
      <c r="AE132" s="3" t="s">
        <v>187</v>
      </c>
      <c r="AF132" s="3" t="s">
        <v>192</v>
      </c>
      <c r="AG132" s="3"/>
      <c r="AH132" s="3"/>
      <c r="AI132" s="26" t="s">
        <v>897</v>
      </c>
      <c r="AJ132" s="30" t="n">
        <v>1</v>
      </c>
      <c r="AK132" s="31"/>
      <c r="AL132" s="32"/>
      <c r="AM132" s="3" t="s">
        <v>921</v>
      </c>
      <c r="AN132" s="3"/>
    </row>
    <row r="133" customFormat="false" ht="23.85" hidden="false" customHeight="false" outlineLevel="0" collapsed="false">
      <c r="A133" s="23" t="s">
        <v>922</v>
      </c>
      <c r="B133" s="23" t="s">
        <v>923</v>
      </c>
      <c r="C133" s="24" t="s">
        <v>152</v>
      </c>
      <c r="D133" s="23" t="s">
        <v>864</v>
      </c>
      <c r="E133" s="23" t="s">
        <v>910</v>
      </c>
      <c r="F133" s="25" t="s">
        <v>924</v>
      </c>
      <c r="G133" s="23" t="s">
        <v>925</v>
      </c>
      <c r="H133" s="3" t="s">
        <v>190</v>
      </c>
      <c r="I133" s="3" t="s">
        <v>191</v>
      </c>
      <c r="J133" s="3" t="s">
        <v>192</v>
      </c>
      <c r="K133" s="26" t="s">
        <v>193</v>
      </c>
      <c r="L133" s="3" t="s">
        <v>194</v>
      </c>
      <c r="M133" s="3" t="s">
        <v>323</v>
      </c>
      <c r="N133" s="3" t="s">
        <v>243</v>
      </c>
      <c r="O133" s="26" t="n">
        <v>1</v>
      </c>
      <c r="P133" s="26"/>
      <c r="Q133" s="26" t="s">
        <v>193</v>
      </c>
      <c r="R133" s="27"/>
      <c r="S133" s="3"/>
      <c r="T133" s="28" t="n">
        <v>0</v>
      </c>
      <c r="U133" s="28" t="n">
        <v>0</v>
      </c>
      <c r="V133" s="28" t="n">
        <v>0</v>
      </c>
      <c r="W133" s="28" t="n">
        <v>90</v>
      </c>
      <c r="X133" s="28" t="n">
        <v>130</v>
      </c>
      <c r="Y133" s="28" t="n">
        <v>90</v>
      </c>
      <c r="Z133" s="28" t="n">
        <v>130</v>
      </c>
      <c r="AA133" s="28" t="n">
        <v>90</v>
      </c>
      <c r="AB133" s="51" t="s">
        <v>79</v>
      </c>
      <c r="AC133" s="3" t="s">
        <v>926</v>
      </c>
      <c r="AD133" s="3" t="s">
        <v>234</v>
      </c>
      <c r="AE133" s="3" t="s">
        <v>187</v>
      </c>
      <c r="AF133" s="3" t="s">
        <v>539</v>
      </c>
      <c r="AG133" s="3"/>
      <c r="AH133" s="3"/>
      <c r="AI133" s="26" t="s">
        <v>897</v>
      </c>
      <c r="AJ133" s="30" t="n">
        <v>1</v>
      </c>
      <c r="AK133" s="31"/>
      <c r="AL133" s="32"/>
      <c r="AM133" s="3" t="s">
        <v>927</v>
      </c>
      <c r="AN133" s="3"/>
    </row>
    <row r="134" customFormat="false" ht="35.05" hidden="false" customHeight="false" outlineLevel="0" collapsed="false">
      <c r="A134" s="23" t="s">
        <v>928</v>
      </c>
      <c r="B134" s="23" t="s">
        <v>929</v>
      </c>
      <c r="C134" s="24" t="s">
        <v>152</v>
      </c>
      <c r="D134" s="23" t="s">
        <v>864</v>
      </c>
      <c r="E134" s="23" t="s">
        <v>910</v>
      </c>
      <c r="F134" s="25" t="s">
        <v>930</v>
      </c>
      <c r="G134" s="23" t="s">
        <v>931</v>
      </c>
      <c r="H134" s="3" t="s">
        <v>190</v>
      </c>
      <c r="I134" s="3" t="s">
        <v>191</v>
      </c>
      <c r="J134" s="3" t="s">
        <v>192</v>
      </c>
      <c r="K134" s="26" t="s">
        <v>193</v>
      </c>
      <c r="L134" s="3" t="s">
        <v>932</v>
      </c>
      <c r="M134" s="3" t="s">
        <v>869</v>
      </c>
      <c r="N134" s="3" t="s">
        <v>933</v>
      </c>
      <c r="O134" s="26" t="n">
        <v>1</v>
      </c>
      <c r="P134" s="26"/>
      <c r="Q134" s="26" t="s">
        <v>193</v>
      </c>
      <c r="R134" s="27"/>
      <c r="S134" s="3"/>
      <c r="T134" s="28" t="n">
        <v>21</v>
      </c>
      <c r="U134" s="28" t="n">
        <v>30</v>
      </c>
      <c r="V134" s="28" t="n">
        <v>48</v>
      </c>
      <c r="W134" s="28" t="n">
        <v>30</v>
      </c>
      <c r="X134" s="28" t="n">
        <v>48</v>
      </c>
      <c r="Y134" s="28" t="n">
        <v>30</v>
      </c>
      <c r="Z134" s="28" t="n">
        <v>48</v>
      </c>
      <c r="AA134" s="28" t="n">
        <v>30</v>
      </c>
      <c r="AB134" s="29" t="s">
        <v>85</v>
      </c>
      <c r="AC134" s="3" t="s">
        <v>934</v>
      </c>
      <c r="AD134" s="3" t="s">
        <v>878</v>
      </c>
      <c r="AE134" s="3" t="s">
        <v>1304</v>
      </c>
      <c r="AF134" s="3" t="s">
        <v>192</v>
      </c>
      <c r="AG134" s="3"/>
      <c r="AH134" s="3"/>
      <c r="AI134" s="26" t="s">
        <v>921</v>
      </c>
      <c r="AJ134" s="30" t="n">
        <v>1</v>
      </c>
      <c r="AK134" s="31"/>
      <c r="AL134" s="32"/>
      <c r="AM134" s="3" t="s">
        <v>642</v>
      </c>
      <c r="AN134" s="3"/>
    </row>
    <row r="135" customFormat="false" ht="23.85" hidden="false" customHeight="false" outlineLevel="0" collapsed="false">
      <c r="A135" s="23" t="s">
        <v>935</v>
      </c>
      <c r="B135" s="23" t="s">
        <v>936</v>
      </c>
      <c r="C135" s="24" t="s">
        <v>152</v>
      </c>
      <c r="D135" s="23" t="s">
        <v>864</v>
      </c>
      <c r="E135" s="23" t="s">
        <v>910</v>
      </c>
      <c r="F135" s="25" t="s">
        <v>937</v>
      </c>
      <c r="G135" s="23" t="s">
        <v>938</v>
      </c>
      <c r="H135" s="3" t="s">
        <v>190</v>
      </c>
      <c r="I135" s="3" t="s">
        <v>191</v>
      </c>
      <c r="J135" s="3" t="s">
        <v>192</v>
      </c>
      <c r="K135" s="26" t="s">
        <v>193</v>
      </c>
      <c r="L135" s="3" t="s">
        <v>939</v>
      </c>
      <c r="M135" s="3" t="s">
        <v>323</v>
      </c>
      <c r="N135" s="3" t="s">
        <v>243</v>
      </c>
      <c r="O135" s="26" t="n">
        <v>1</v>
      </c>
      <c r="P135" s="26"/>
      <c r="Q135" s="26" t="s">
        <v>193</v>
      </c>
      <c r="R135" s="27"/>
      <c r="S135" s="3"/>
      <c r="T135" s="28" t="n">
        <v>42</v>
      </c>
      <c r="U135" s="28" t="n">
        <v>95</v>
      </c>
      <c r="V135" s="28" t="n">
        <v>200</v>
      </c>
      <c r="W135" s="28" t="n">
        <v>95</v>
      </c>
      <c r="X135" s="28" t="n">
        <v>200</v>
      </c>
      <c r="Y135" s="28" t="n">
        <v>95</v>
      </c>
      <c r="Z135" s="28" t="n">
        <v>200</v>
      </c>
      <c r="AA135" s="28" t="n">
        <v>0</v>
      </c>
      <c r="AB135" s="50" t="s">
        <v>81</v>
      </c>
      <c r="AC135" s="3" t="s">
        <v>940</v>
      </c>
      <c r="AD135" s="3" t="s">
        <v>316</v>
      </c>
      <c r="AE135" s="3" t="s">
        <v>187</v>
      </c>
      <c r="AF135" s="3" t="s">
        <v>192</v>
      </c>
      <c r="AG135" s="3"/>
      <c r="AH135" s="3"/>
      <c r="AI135" s="26" t="s">
        <v>334</v>
      </c>
      <c r="AJ135" s="30" t="n">
        <v>1</v>
      </c>
      <c r="AK135" s="31"/>
      <c r="AL135" s="32"/>
      <c r="AM135" s="3" t="s">
        <v>941</v>
      </c>
      <c r="AN135" s="3"/>
    </row>
    <row r="136" customFormat="false" ht="23.85" hidden="false" customHeight="false" outlineLevel="0" collapsed="false">
      <c r="A136" s="23" t="s">
        <v>942</v>
      </c>
      <c r="B136" s="23" t="s">
        <v>943</v>
      </c>
      <c r="C136" s="24" t="s">
        <v>152</v>
      </c>
      <c r="D136" s="23" t="s">
        <v>864</v>
      </c>
      <c r="E136" s="23" t="s">
        <v>910</v>
      </c>
      <c r="F136" s="25" t="s">
        <v>944</v>
      </c>
      <c r="G136" s="23" t="s">
        <v>945</v>
      </c>
      <c r="H136" s="3" t="s">
        <v>190</v>
      </c>
      <c r="I136" s="3" t="s">
        <v>252</v>
      </c>
      <c r="J136" s="3" t="s">
        <v>192</v>
      </c>
      <c r="K136" s="26"/>
      <c r="L136" s="3" t="s">
        <v>253</v>
      </c>
      <c r="M136" s="3" t="s">
        <v>254</v>
      </c>
      <c r="N136" s="3" t="s">
        <v>111</v>
      </c>
      <c r="O136" s="26" t="n">
        <v>1</v>
      </c>
      <c r="P136" s="26"/>
      <c r="Q136" s="26" t="s">
        <v>244</v>
      </c>
      <c r="R136" s="27"/>
      <c r="S136" s="3"/>
      <c r="T136" s="28" t="n">
        <v>10000</v>
      </c>
      <c r="U136" s="28" t="n">
        <v>10000</v>
      </c>
      <c r="V136" s="28" t="n">
        <v>10000</v>
      </c>
      <c r="W136" s="28" t="n">
        <v>10000</v>
      </c>
      <c r="X136" s="28" t="n">
        <v>10000</v>
      </c>
      <c r="Y136" s="28" t="n">
        <v>10000</v>
      </c>
      <c r="Z136" s="28" t="n">
        <v>10000</v>
      </c>
      <c r="AA136" s="28" t="n">
        <v>10000</v>
      </c>
      <c r="AB136" s="35" t="s">
        <v>87</v>
      </c>
      <c r="AC136" s="3" t="s">
        <v>896</v>
      </c>
      <c r="AD136" s="3" t="s">
        <v>234</v>
      </c>
      <c r="AE136" s="3" t="s">
        <v>187</v>
      </c>
      <c r="AF136" s="3" t="s">
        <v>192</v>
      </c>
      <c r="AG136" s="3"/>
      <c r="AH136" s="3"/>
      <c r="AI136" s="26" t="s">
        <v>946</v>
      </c>
      <c r="AJ136" s="30" t="n">
        <v>1</v>
      </c>
      <c r="AK136" s="31"/>
      <c r="AL136" s="32"/>
      <c r="AM136" s="3" t="s">
        <v>947</v>
      </c>
      <c r="AN136" s="3" t="s">
        <v>948</v>
      </c>
    </row>
    <row r="137" customFormat="false" ht="23.85" hidden="false" customHeight="false" outlineLevel="0" collapsed="false">
      <c r="A137" s="3" t="s">
        <v>949</v>
      </c>
      <c r="B137" s="3" t="s">
        <v>943</v>
      </c>
      <c r="C137" s="26" t="s">
        <v>154</v>
      </c>
      <c r="D137" s="36" t="str">
        <f aca="false">D136</f>
        <v>8 External works</v>
      </c>
      <c r="E137" s="36" t="str">
        <f aca="false">E136</f>
        <v>Paving and landscaping</v>
      </c>
      <c r="F137" s="36" t="str">
        <f aca="false">F136</f>
        <v>Biodiversity net gain</v>
      </c>
      <c r="G137" s="3"/>
      <c r="H137" s="3"/>
      <c r="I137" s="3" t="s">
        <v>258</v>
      </c>
      <c r="J137" s="3" t="s">
        <v>192</v>
      </c>
      <c r="K137" s="26" t="s">
        <v>193</v>
      </c>
      <c r="L137" s="3" t="s">
        <v>253</v>
      </c>
      <c r="M137" s="3" t="s">
        <v>254</v>
      </c>
      <c r="N137" s="3"/>
      <c r="O137" s="26" t="n">
        <v>1</v>
      </c>
      <c r="P137" s="26"/>
      <c r="Q137" s="26" t="s">
        <v>244</v>
      </c>
      <c r="R137" s="27"/>
      <c r="S137" s="3"/>
      <c r="T137" s="28" t="n">
        <v>40000</v>
      </c>
      <c r="U137" s="28" t="n">
        <v>40000</v>
      </c>
      <c r="V137" s="28" t="n">
        <v>40000</v>
      </c>
      <c r="W137" s="28" t="n">
        <v>40000</v>
      </c>
      <c r="X137" s="28" t="n">
        <v>40000</v>
      </c>
      <c r="Y137" s="28" t="n">
        <v>40000</v>
      </c>
      <c r="Z137" s="28" t="n">
        <v>40000</v>
      </c>
      <c r="AA137" s="28" t="n">
        <v>40000</v>
      </c>
      <c r="AB137" s="35" t="s">
        <v>87</v>
      </c>
      <c r="AC137" s="3" t="s">
        <v>896</v>
      </c>
      <c r="AD137" s="3"/>
      <c r="AE137" s="3"/>
      <c r="AF137" s="3"/>
      <c r="AG137" s="3"/>
      <c r="AH137" s="3"/>
      <c r="AI137" s="31"/>
      <c r="AJ137" s="32"/>
      <c r="AK137" s="31"/>
      <c r="AL137" s="32"/>
      <c r="AM137" s="3"/>
      <c r="AN137" s="3"/>
    </row>
    <row r="138" customFormat="false" ht="23.85" hidden="false" customHeight="false" outlineLevel="0" collapsed="false">
      <c r="A138" s="3" t="s">
        <v>950</v>
      </c>
      <c r="B138" s="3" t="s">
        <v>943</v>
      </c>
      <c r="C138" s="26" t="s">
        <v>154</v>
      </c>
      <c r="D138" s="36" t="str">
        <f aca="false">D136</f>
        <v>8 External works</v>
      </c>
      <c r="E138" s="36" t="str">
        <f aca="false">E136</f>
        <v>Paving and landscaping</v>
      </c>
      <c r="F138" s="36" t="str">
        <f aca="false">F136</f>
        <v>Biodiversity net gain</v>
      </c>
      <c r="G138" s="3"/>
      <c r="H138" s="3"/>
      <c r="I138" s="3" t="s">
        <v>260</v>
      </c>
      <c r="J138" s="3" t="s">
        <v>192</v>
      </c>
      <c r="K138" s="26"/>
      <c r="L138" s="3" t="s">
        <v>253</v>
      </c>
      <c r="M138" s="3" t="s">
        <v>254</v>
      </c>
      <c r="N138" s="3"/>
      <c r="O138" s="26" t="n">
        <v>1</v>
      </c>
      <c r="P138" s="26"/>
      <c r="Q138" s="26" t="s">
        <v>244</v>
      </c>
      <c r="R138" s="27"/>
      <c r="S138" s="3"/>
      <c r="T138" s="28" t="n">
        <v>120000</v>
      </c>
      <c r="U138" s="28" t="n">
        <v>120000</v>
      </c>
      <c r="V138" s="28" t="n">
        <v>120000</v>
      </c>
      <c r="W138" s="28" t="n">
        <v>120000</v>
      </c>
      <c r="X138" s="28" t="n">
        <v>120000</v>
      </c>
      <c r="Y138" s="28" t="n">
        <v>120000</v>
      </c>
      <c r="Z138" s="28" t="n">
        <v>120000</v>
      </c>
      <c r="AA138" s="28" t="n">
        <v>120000</v>
      </c>
      <c r="AB138" s="35" t="s">
        <v>87</v>
      </c>
      <c r="AC138" s="3" t="s">
        <v>896</v>
      </c>
      <c r="AD138" s="3"/>
      <c r="AE138" s="3"/>
      <c r="AF138" s="3"/>
      <c r="AG138" s="3"/>
      <c r="AH138" s="3"/>
      <c r="AI138" s="31"/>
      <c r="AJ138" s="32"/>
      <c r="AK138" s="31"/>
      <c r="AL138" s="32"/>
      <c r="AM138" s="3"/>
      <c r="AN138" s="3"/>
    </row>
    <row r="139" customFormat="false" ht="23.85" hidden="false" customHeight="false" outlineLevel="0" collapsed="false">
      <c r="A139" s="23" t="s">
        <v>951</v>
      </c>
      <c r="B139" s="23" t="s">
        <v>952</v>
      </c>
      <c r="C139" s="24" t="s">
        <v>152</v>
      </c>
      <c r="D139" s="23" t="s">
        <v>864</v>
      </c>
      <c r="E139" s="23" t="s">
        <v>953</v>
      </c>
      <c r="F139" s="25" t="s">
        <v>954</v>
      </c>
      <c r="G139" s="23" t="s">
        <v>955</v>
      </c>
      <c r="H139" s="3" t="s">
        <v>190</v>
      </c>
      <c r="I139" s="3" t="s">
        <v>191</v>
      </c>
      <c r="J139" s="3" t="s">
        <v>192</v>
      </c>
      <c r="K139" s="26" t="s">
        <v>193</v>
      </c>
      <c r="L139" s="3" t="s">
        <v>956</v>
      </c>
      <c r="M139" s="3" t="s">
        <v>957</v>
      </c>
      <c r="N139" s="3" t="s">
        <v>958</v>
      </c>
      <c r="O139" s="26" t="n">
        <v>1</v>
      </c>
      <c r="P139" s="26"/>
      <c r="Q139" s="26" t="s">
        <v>193</v>
      </c>
      <c r="R139" s="27"/>
      <c r="S139" s="3"/>
      <c r="T139" s="28" t="n">
        <v>60</v>
      </c>
      <c r="U139" s="28" t="n">
        <v>110</v>
      </c>
      <c r="V139" s="28" t="n">
        <v>200</v>
      </c>
      <c r="W139" s="28" t="n">
        <v>110</v>
      </c>
      <c r="X139" s="28" t="n">
        <v>200</v>
      </c>
      <c r="Y139" s="28" t="n">
        <v>110</v>
      </c>
      <c r="Z139" s="28" t="n">
        <v>200</v>
      </c>
      <c r="AA139" s="28" t="n">
        <v>110</v>
      </c>
      <c r="AB139" s="35" t="s">
        <v>87</v>
      </c>
      <c r="AC139" s="3" t="s">
        <v>959</v>
      </c>
      <c r="AD139" s="3" t="s">
        <v>872</v>
      </c>
      <c r="AE139" s="3" t="s">
        <v>1040</v>
      </c>
      <c r="AF139" s="3" t="s">
        <v>192</v>
      </c>
      <c r="AG139" s="3"/>
      <c r="AH139" s="3"/>
      <c r="AI139" s="26" t="s">
        <v>880</v>
      </c>
      <c r="AJ139" s="30" t="n">
        <v>1</v>
      </c>
      <c r="AK139" s="31"/>
      <c r="AL139" s="32"/>
      <c r="AM139" s="3" t="s">
        <v>960</v>
      </c>
      <c r="AN139" s="3"/>
    </row>
    <row r="140" customFormat="false" ht="35.05" hidden="false" customHeight="false" outlineLevel="0" collapsed="false">
      <c r="A140" s="23" t="s">
        <v>961</v>
      </c>
      <c r="B140" s="23" t="s">
        <v>962</v>
      </c>
      <c r="C140" s="24" t="s">
        <v>152</v>
      </c>
      <c r="D140" s="23" t="s">
        <v>864</v>
      </c>
      <c r="E140" s="23" t="s">
        <v>953</v>
      </c>
      <c r="F140" s="25" t="s">
        <v>963</v>
      </c>
      <c r="G140" s="23" t="s">
        <v>964</v>
      </c>
      <c r="H140" s="3" t="s">
        <v>190</v>
      </c>
      <c r="I140" s="3" t="s">
        <v>191</v>
      </c>
      <c r="J140" s="3" t="s">
        <v>192</v>
      </c>
      <c r="K140" s="26" t="s">
        <v>193</v>
      </c>
      <c r="L140" s="3" t="s">
        <v>868</v>
      </c>
      <c r="M140" s="3" t="s">
        <v>869</v>
      </c>
      <c r="N140" s="3" t="s">
        <v>870</v>
      </c>
      <c r="O140" s="26" t="n">
        <v>1</v>
      </c>
      <c r="P140" s="26"/>
      <c r="Q140" s="26" t="s">
        <v>193</v>
      </c>
      <c r="R140" s="27"/>
      <c r="S140" s="3"/>
      <c r="T140" s="28" t="n">
        <v>7</v>
      </c>
      <c r="U140" s="28" t="n">
        <v>10</v>
      </c>
      <c r="V140" s="28" t="n">
        <v>16</v>
      </c>
      <c r="W140" s="28" t="n">
        <v>10</v>
      </c>
      <c r="X140" s="28" t="n">
        <v>16</v>
      </c>
      <c r="Y140" s="28" t="n">
        <v>10</v>
      </c>
      <c r="Z140" s="28" t="n">
        <v>16</v>
      </c>
      <c r="AA140" s="28" t="n">
        <v>10</v>
      </c>
      <c r="AB140" s="29" t="s">
        <v>85</v>
      </c>
      <c r="AC140" s="3" t="s">
        <v>965</v>
      </c>
      <c r="AD140" s="3" t="s">
        <v>878</v>
      </c>
      <c r="AE140" s="3" t="s">
        <v>187</v>
      </c>
      <c r="AF140" s="3" t="s">
        <v>192</v>
      </c>
      <c r="AG140" s="3"/>
      <c r="AH140" s="3"/>
      <c r="AI140" s="26" t="s">
        <v>642</v>
      </c>
      <c r="AJ140" s="30" t="n">
        <v>1</v>
      </c>
      <c r="AK140" s="31"/>
      <c r="AL140" s="32"/>
      <c r="AM140" s="3" t="s">
        <v>966</v>
      </c>
      <c r="AN140" s="3"/>
    </row>
    <row r="141" customFormat="false" ht="23.85" hidden="false" customHeight="false" outlineLevel="0" collapsed="false">
      <c r="A141" s="23" t="s">
        <v>967</v>
      </c>
      <c r="B141" s="23" t="s">
        <v>968</v>
      </c>
      <c r="C141" s="24" t="s">
        <v>152</v>
      </c>
      <c r="D141" s="23" t="s">
        <v>864</v>
      </c>
      <c r="E141" s="23" t="s">
        <v>953</v>
      </c>
      <c r="F141" s="25" t="s">
        <v>969</v>
      </c>
      <c r="G141" s="23" t="s">
        <v>970</v>
      </c>
      <c r="H141" s="3" t="s">
        <v>190</v>
      </c>
      <c r="I141" s="3" t="s">
        <v>191</v>
      </c>
      <c r="J141" s="3" t="s">
        <v>192</v>
      </c>
      <c r="K141" s="26" t="s">
        <v>193</v>
      </c>
      <c r="L141" s="3" t="s">
        <v>425</v>
      </c>
      <c r="M141" s="3" t="s">
        <v>242</v>
      </c>
      <c r="N141" s="3" t="s">
        <v>243</v>
      </c>
      <c r="O141" s="26" t="n">
        <v>1</v>
      </c>
      <c r="P141" s="26"/>
      <c r="Q141" s="26" t="s">
        <v>193</v>
      </c>
      <c r="R141" s="27"/>
      <c r="S141" s="3"/>
      <c r="T141" s="28" t="n">
        <v>210</v>
      </c>
      <c r="U141" s="28" t="n">
        <v>240</v>
      </c>
      <c r="V141" s="28" t="n">
        <v>480</v>
      </c>
      <c r="W141" s="28" t="n">
        <v>240</v>
      </c>
      <c r="X141" s="28" t="n">
        <v>480</v>
      </c>
      <c r="Y141" s="28" t="n">
        <v>240</v>
      </c>
      <c r="Z141" s="28" t="n">
        <v>480</v>
      </c>
      <c r="AA141" s="28" t="n">
        <v>330</v>
      </c>
      <c r="AB141" s="50" t="s">
        <v>81</v>
      </c>
      <c r="AC141" s="3" t="s">
        <v>971</v>
      </c>
      <c r="AD141" s="3" t="s">
        <v>878</v>
      </c>
      <c r="AE141" s="3" t="s">
        <v>187</v>
      </c>
      <c r="AF141" s="3" t="s">
        <v>192</v>
      </c>
      <c r="AG141" s="3"/>
      <c r="AH141" s="3"/>
      <c r="AI141" s="26" t="s">
        <v>886</v>
      </c>
      <c r="AJ141" s="30" t="n">
        <v>1</v>
      </c>
      <c r="AK141" s="31"/>
      <c r="AL141" s="32"/>
      <c r="AM141" s="3" t="s">
        <v>972</v>
      </c>
      <c r="AN141" s="3"/>
    </row>
    <row r="142" customFormat="false" ht="23.85" hidden="false" customHeight="false" outlineLevel="0" collapsed="false">
      <c r="A142" s="23" t="s">
        <v>973</v>
      </c>
      <c r="B142" s="23" t="s">
        <v>974</v>
      </c>
      <c r="C142" s="24" t="s">
        <v>152</v>
      </c>
      <c r="D142" s="23" t="s">
        <v>864</v>
      </c>
      <c r="E142" s="23" t="s">
        <v>953</v>
      </c>
      <c r="F142" s="25" t="s">
        <v>975</v>
      </c>
      <c r="G142" s="23" t="s">
        <v>976</v>
      </c>
      <c r="H142" s="3" t="s">
        <v>190</v>
      </c>
      <c r="I142" s="3" t="s">
        <v>252</v>
      </c>
      <c r="J142" s="3" t="s">
        <v>192</v>
      </c>
      <c r="K142" s="26"/>
      <c r="L142" s="3" t="s">
        <v>253</v>
      </c>
      <c r="M142" s="3" t="s">
        <v>254</v>
      </c>
      <c r="N142" s="3" t="s">
        <v>111</v>
      </c>
      <c r="O142" s="26" t="n">
        <v>1</v>
      </c>
      <c r="P142" s="26"/>
      <c r="Q142" s="26" t="s">
        <v>244</v>
      </c>
      <c r="R142" s="27"/>
      <c r="S142" s="3"/>
      <c r="T142" s="28" t="n">
        <v>2800</v>
      </c>
      <c r="U142" s="28" t="n">
        <v>2800</v>
      </c>
      <c r="V142" s="28" t="n">
        <v>2800</v>
      </c>
      <c r="W142" s="28" t="n">
        <v>2800</v>
      </c>
      <c r="X142" s="28" t="n">
        <v>2800</v>
      </c>
      <c r="Y142" s="28" t="n">
        <v>2800</v>
      </c>
      <c r="Z142" s="28" t="n">
        <v>2800</v>
      </c>
      <c r="AA142" s="28" t="n">
        <v>2800</v>
      </c>
      <c r="AB142" s="50" t="s">
        <v>81</v>
      </c>
      <c r="AC142" s="3" t="s">
        <v>977</v>
      </c>
      <c r="AD142" s="3" t="s">
        <v>878</v>
      </c>
      <c r="AE142" s="3" t="s">
        <v>187</v>
      </c>
      <c r="AF142" s="3" t="s">
        <v>192</v>
      </c>
      <c r="AG142" s="3"/>
      <c r="AH142" s="3"/>
      <c r="AI142" s="26" t="s">
        <v>960</v>
      </c>
      <c r="AJ142" s="30" t="n">
        <v>1</v>
      </c>
      <c r="AK142" s="31"/>
      <c r="AL142" s="32"/>
      <c r="AM142" s="3" t="s">
        <v>978</v>
      </c>
      <c r="AN142" s="3"/>
    </row>
    <row r="143" customFormat="false" ht="23.85" hidden="false" customHeight="false" outlineLevel="0" collapsed="false">
      <c r="A143" s="3" t="s">
        <v>979</v>
      </c>
      <c r="B143" s="3" t="s">
        <v>974</v>
      </c>
      <c r="C143" s="26" t="s">
        <v>154</v>
      </c>
      <c r="D143" s="36" t="str">
        <f aca="false">D142</f>
        <v>8 External works</v>
      </c>
      <c r="E143" s="36" t="str">
        <f aca="false">E142</f>
        <v>Boundaries and fixtures</v>
      </c>
      <c r="F143" s="36" t="str">
        <f aca="false">F142</f>
        <v>Bin store</v>
      </c>
      <c r="G143" s="3"/>
      <c r="H143" s="3"/>
      <c r="I143" s="3" t="s">
        <v>258</v>
      </c>
      <c r="J143" s="3" t="s">
        <v>192</v>
      </c>
      <c r="K143" s="26" t="s">
        <v>193</v>
      </c>
      <c r="L143" s="3" t="s">
        <v>253</v>
      </c>
      <c r="M143" s="3" t="s">
        <v>254</v>
      </c>
      <c r="N143" s="3"/>
      <c r="O143" s="26" t="n">
        <v>1</v>
      </c>
      <c r="P143" s="26"/>
      <c r="Q143" s="26" t="s">
        <v>244</v>
      </c>
      <c r="R143" s="27"/>
      <c r="S143" s="3"/>
      <c r="T143" s="28" t="n">
        <v>5000</v>
      </c>
      <c r="U143" s="28" t="n">
        <v>5000</v>
      </c>
      <c r="V143" s="28" t="n">
        <v>5000</v>
      </c>
      <c r="W143" s="28" t="n">
        <v>5000</v>
      </c>
      <c r="X143" s="28" t="n">
        <v>5000</v>
      </c>
      <c r="Y143" s="28" t="n">
        <v>5000</v>
      </c>
      <c r="Z143" s="28" t="n">
        <v>5000</v>
      </c>
      <c r="AA143" s="28" t="n">
        <v>5000</v>
      </c>
      <c r="AB143" s="50" t="s">
        <v>81</v>
      </c>
      <c r="AC143" s="3" t="s">
        <v>980</v>
      </c>
      <c r="AD143" s="3"/>
      <c r="AE143" s="3"/>
      <c r="AF143" s="3"/>
      <c r="AG143" s="3"/>
      <c r="AH143" s="3"/>
      <c r="AI143" s="31"/>
      <c r="AJ143" s="32"/>
      <c r="AK143" s="31"/>
      <c r="AL143" s="32"/>
      <c r="AM143" s="3"/>
      <c r="AN143" s="3"/>
    </row>
    <row r="144" customFormat="false" ht="23.85" hidden="false" customHeight="false" outlineLevel="0" collapsed="false">
      <c r="A144" s="3" t="s">
        <v>981</v>
      </c>
      <c r="B144" s="3" t="s">
        <v>974</v>
      </c>
      <c r="C144" s="26" t="s">
        <v>154</v>
      </c>
      <c r="D144" s="36" t="str">
        <f aca="false">D142</f>
        <v>8 External works</v>
      </c>
      <c r="E144" s="36" t="str">
        <f aca="false">E142</f>
        <v>Boundaries and fixtures</v>
      </c>
      <c r="F144" s="36" t="str">
        <f aca="false">F142</f>
        <v>Bin store</v>
      </c>
      <c r="G144" s="3"/>
      <c r="H144" s="3"/>
      <c r="I144" s="3" t="s">
        <v>260</v>
      </c>
      <c r="J144" s="3" t="s">
        <v>192</v>
      </c>
      <c r="K144" s="26"/>
      <c r="L144" s="3" t="s">
        <v>253</v>
      </c>
      <c r="M144" s="3" t="s">
        <v>254</v>
      </c>
      <c r="N144" s="3"/>
      <c r="O144" s="26" t="n">
        <v>1</v>
      </c>
      <c r="P144" s="26"/>
      <c r="Q144" s="26" t="s">
        <v>244</v>
      </c>
      <c r="R144" s="27"/>
      <c r="S144" s="3"/>
      <c r="T144" s="28" t="n">
        <v>9500</v>
      </c>
      <c r="U144" s="28" t="n">
        <v>9500</v>
      </c>
      <c r="V144" s="28" t="n">
        <v>9500</v>
      </c>
      <c r="W144" s="28" t="n">
        <v>9500</v>
      </c>
      <c r="X144" s="28" t="n">
        <v>9500</v>
      </c>
      <c r="Y144" s="28" t="n">
        <v>9500</v>
      </c>
      <c r="Z144" s="28" t="n">
        <v>9500</v>
      </c>
      <c r="AA144" s="28" t="n">
        <v>9500</v>
      </c>
      <c r="AB144" s="50" t="s">
        <v>81</v>
      </c>
      <c r="AC144" s="3" t="s">
        <v>982</v>
      </c>
      <c r="AD144" s="3"/>
      <c r="AE144" s="3"/>
      <c r="AF144" s="3"/>
      <c r="AG144" s="3"/>
      <c r="AH144" s="3"/>
      <c r="AI144" s="31"/>
      <c r="AJ144" s="32"/>
      <c r="AK144" s="31"/>
      <c r="AL144" s="32"/>
      <c r="AM144" s="3"/>
      <c r="AN144" s="3"/>
    </row>
    <row r="145" customFormat="false" ht="35.05" hidden="false" customHeight="false" outlineLevel="0" collapsed="false">
      <c r="A145" s="37" t="s">
        <v>983</v>
      </c>
      <c r="B145" s="37" t="s">
        <v>984</v>
      </c>
      <c r="C145" s="38" t="s">
        <v>152</v>
      </c>
      <c r="D145" s="37" t="s">
        <v>559</v>
      </c>
      <c r="E145" s="37" t="s">
        <v>985</v>
      </c>
      <c r="F145" s="39" t="s">
        <v>986</v>
      </c>
      <c r="G145" s="37" t="s">
        <v>987</v>
      </c>
      <c r="H145" s="40" t="s">
        <v>190</v>
      </c>
      <c r="I145" s="40" t="s">
        <v>191</v>
      </c>
      <c r="J145" s="40" t="s">
        <v>192</v>
      </c>
      <c r="K145" s="41" t="s">
        <v>193</v>
      </c>
      <c r="L145" s="40" t="s">
        <v>194</v>
      </c>
      <c r="M145" s="40" t="s">
        <v>195</v>
      </c>
      <c r="N145" s="40" t="s">
        <v>216</v>
      </c>
      <c r="O145" s="41" t="n">
        <v>3</v>
      </c>
      <c r="P145" s="41"/>
      <c r="Q145" s="41" t="s">
        <v>193</v>
      </c>
      <c r="R145" s="42"/>
      <c r="S145" s="40"/>
      <c r="T145" s="43" t="n">
        <v>8</v>
      </c>
      <c r="U145" s="43" t="n">
        <v>18</v>
      </c>
      <c r="V145" s="43" t="n">
        <v>30</v>
      </c>
      <c r="W145" s="43" t="n">
        <v>12</v>
      </c>
      <c r="X145" s="43" t="n">
        <v>24</v>
      </c>
      <c r="Y145" s="43" t="n">
        <v>6</v>
      </c>
      <c r="Z145" s="43" t="n">
        <v>15</v>
      </c>
      <c r="AA145" s="43" t="n">
        <v>0</v>
      </c>
      <c r="AB145" s="44" t="s">
        <v>83</v>
      </c>
      <c r="AC145" s="40" t="s">
        <v>988</v>
      </c>
      <c r="AD145" s="40" t="s">
        <v>187</v>
      </c>
      <c r="AE145" s="40" t="s">
        <v>187</v>
      </c>
      <c r="AF145" s="40" t="s">
        <v>192</v>
      </c>
      <c r="AG145" s="40" t="s">
        <v>989</v>
      </c>
      <c r="AH145" s="40"/>
      <c r="AI145" s="41" t="s">
        <v>634</v>
      </c>
      <c r="AJ145" s="45" t="n">
        <v>1</v>
      </c>
      <c r="AK145" s="46"/>
      <c r="AL145" s="47"/>
      <c r="AM145" s="40" t="s">
        <v>990</v>
      </c>
      <c r="AN145" s="40"/>
    </row>
  </sheetData>
  <autoFilter ref="A4:AN145"/>
  <mergeCells count="7">
    <mergeCell ref="A3:C3"/>
    <mergeCell ref="D3:H3"/>
    <mergeCell ref="I3:S3"/>
    <mergeCell ref="T3:AA3"/>
    <mergeCell ref="AB3:AC3"/>
    <mergeCell ref="AD3:AH3"/>
    <mergeCell ref="AI3:AN3"/>
  </mergeCells>
  <dataValidations count="7">
    <dataValidation allowBlank="false" error="Pick a value from the list" errorStyle="stop" errorTitle="Not allowed" operator="between" showDropDown="false" showErrorMessage="true" showInputMessage="false" sqref="C5:C1000" type="list">
      <formula1>"Item,Option"</formula1>
      <formula2>0</formula2>
    </dataValidation>
    <dataValidation allowBlank="true" error="Pick a value from the list" errorStyle="stop" errorTitle="Not allowed" operator="between" showDropDown="false" showErrorMessage="true" showInputMessage="false" sqref="K5:K1000" type="list">
      <formula1>"Yes"</formula1>
      <formula2>0</formula2>
    </dataValidation>
    <dataValidation allowBlank="true" error="Pick a value from the list" errorStyle="stop" errorTitle="Not allowed" operator="between" showDropDown="false" showErrorMessage="true" showInputMessage="false" sqref="H5:H1000" type="list">
      <formula1>"One,Several"</formula1>
      <formula2>0</formula2>
    </dataValidation>
    <dataValidation allowBlank="true" error="Pick a value from the list" errorStyle="stop" errorTitle="Not allowed" operator="between" showDropDown="false" showErrorMessage="true" showInputMessage="false" sqref="O5:O1000" type="list">
      <formula1>"1,2,3,4"</formula1>
      <formula2>0</formula2>
    </dataValidation>
    <dataValidation allowBlank="true" error="Pick a value from the list" errorStyle="stop" errorTitle="Not allowed" operator="between" showDropDown="false" showErrorMessage="true" showInputMessage="false" sqref="Q5:Q1000" type="list">
      <formula1>"Yes,No"</formula1>
      <formula2>0</formula2>
    </dataValidation>
    <dataValidation allowBlank="true" error="Pick a value from the list" errorStyle="stop" errorTitle="Not allowed" operator="between" showDropDown="false" showErrorMessage="true" showInputMessage="false" sqref="M5:M1000" type="list">
      <formula1>"gifa_rate,footprint_rate,upperfloors_rate,area_rate,external_area_rate,per_nr,per_m,per_kwp,per_kwh,per_item"</formula1>
      <formula2>0</formula2>
    </dataValidation>
    <dataValidation allowBlank="true" error="Pick a value from the list" errorStyle="stop" errorTitle="Not allowed" operator="between" showDropDown="false" showErrorMessage="true" showInputMessage="false" sqref="AB5:AB1000" type="list">
      <formula1>"v4.5 – BCIS cited,v4.5 – other source cited,v4.5 – no source recorded,Derived from v4.5,AI estimate – verify,Verified – BCIS,Verified – tender"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24"/>
    <col collapsed="false" customWidth="true" hidden="false" outlineLevel="0" max="4" min="4" style="0" width="44"/>
    <col collapsed="false" customWidth="true" hidden="false" outlineLevel="0" max="5" min="5" style="0" width="18"/>
    <col collapsed="false" customWidth="true" hidden="false" outlineLevel="0" max="6" min="6" style="0" width="20"/>
    <col collapsed="false" customWidth="true" hidden="false" outlineLevel="0" max="7" min="7" style="0" width="50"/>
  </cols>
  <sheetData>
    <row r="1" customFormat="false" ht="17.35" hidden="false" customHeight="false" outlineLevel="0" collapsed="false">
      <c r="A1" s="1" t="s">
        <v>991</v>
      </c>
    </row>
    <row r="2" customFormat="false" ht="15" hidden="false" customHeight="false" outlineLevel="0" collapsed="false">
      <c r="A2" s="14" t="s">
        <v>992</v>
      </c>
    </row>
    <row r="4" customFormat="false" ht="15" hidden="false" customHeight="false" outlineLevel="0" collapsed="false">
      <c r="A4" s="4" t="s">
        <v>993</v>
      </c>
      <c r="B4" s="4" t="s">
        <v>994</v>
      </c>
      <c r="C4" s="5"/>
      <c r="D4" s="5"/>
      <c r="E4" s="5"/>
      <c r="F4" s="5"/>
      <c r="G4" s="5"/>
    </row>
    <row r="5" customFormat="false" ht="15" hidden="false" customHeight="false" outlineLevel="0" collapsed="false">
      <c r="A5" s="25" t="s">
        <v>995</v>
      </c>
      <c r="B5" s="25" t="s">
        <v>996</v>
      </c>
      <c r="C5" s="25" t="s">
        <v>183</v>
      </c>
    </row>
    <row r="6" customFormat="false" ht="35.05" hidden="false" customHeight="false" outlineLevel="0" collapsed="false">
      <c r="A6" s="3" t="s">
        <v>997</v>
      </c>
      <c r="B6" s="3" t="s">
        <v>614</v>
      </c>
      <c r="C6" s="3" t="s">
        <v>998</v>
      </c>
    </row>
    <row r="7" customFormat="false" ht="15" hidden="false" customHeight="false" outlineLevel="0" collapsed="false">
      <c r="A7" s="3" t="s">
        <v>999</v>
      </c>
      <c r="B7" s="3" t="s">
        <v>1321</v>
      </c>
      <c r="C7" s="3"/>
    </row>
    <row r="8" customFormat="false" ht="15" hidden="false" customHeight="false" outlineLevel="0" collapsed="false">
      <c r="A8" s="3" t="s">
        <v>1001</v>
      </c>
      <c r="B8" s="3" t="s">
        <v>1002</v>
      </c>
      <c r="C8" s="3"/>
    </row>
    <row r="10" customFormat="false" ht="15" hidden="false" customHeight="false" outlineLevel="0" collapsed="false">
      <c r="A10" s="4" t="s">
        <v>1003</v>
      </c>
      <c r="B10" s="4" t="s">
        <v>1004</v>
      </c>
      <c r="C10" s="5"/>
      <c r="D10" s="5"/>
      <c r="E10" s="5"/>
      <c r="F10" s="5"/>
      <c r="G10" s="5"/>
    </row>
    <row r="11" customFormat="false" ht="15" hidden="false" customHeight="false" outlineLevel="0" collapsed="false">
      <c r="A11" s="25" t="s">
        <v>1005</v>
      </c>
      <c r="B11" s="25" t="s">
        <v>1006</v>
      </c>
      <c r="C11" s="25" t="s">
        <v>1007</v>
      </c>
      <c r="D11" s="25" t="s">
        <v>183</v>
      </c>
    </row>
    <row r="12" customFormat="false" ht="15" hidden="false" customHeight="false" outlineLevel="0" collapsed="false">
      <c r="A12" s="3" t="s">
        <v>483</v>
      </c>
      <c r="B12" s="3" t="s">
        <v>1008</v>
      </c>
      <c r="C12" s="3" t="s">
        <v>193</v>
      </c>
      <c r="D12" s="3"/>
    </row>
    <row r="13" customFormat="false" ht="15" hidden="false" customHeight="false" outlineLevel="0" collapsed="false">
      <c r="A13" s="3" t="s">
        <v>486</v>
      </c>
      <c r="B13" s="3" t="s">
        <v>1009</v>
      </c>
      <c r="C13" s="3" t="s">
        <v>193</v>
      </c>
      <c r="D13" s="3"/>
    </row>
    <row r="14" customFormat="false" ht="15" hidden="false" customHeight="false" outlineLevel="0" collapsed="false">
      <c r="A14" s="3" t="s">
        <v>1010</v>
      </c>
      <c r="B14" s="3" t="s">
        <v>1011</v>
      </c>
      <c r="C14" s="3" t="s">
        <v>244</v>
      </c>
      <c r="D14" s="3"/>
    </row>
    <row r="15" customFormat="false" ht="15" hidden="false" customHeight="false" outlineLevel="0" collapsed="false">
      <c r="A15" s="3" t="s">
        <v>1012</v>
      </c>
      <c r="B15" s="3" t="s">
        <v>1013</v>
      </c>
      <c r="C15" s="3" t="s">
        <v>244</v>
      </c>
      <c r="D15" s="3"/>
    </row>
    <row r="16" customFormat="false" ht="15" hidden="false" customHeight="false" outlineLevel="0" collapsed="false">
      <c r="A16" s="3" t="s">
        <v>411</v>
      </c>
      <c r="B16" s="3" t="s">
        <v>1014</v>
      </c>
      <c r="C16" s="3" t="s">
        <v>244</v>
      </c>
      <c r="D16" s="3"/>
    </row>
    <row r="17" customFormat="false" ht="15" hidden="false" customHeight="false" outlineLevel="0" collapsed="false">
      <c r="A17" s="3" t="s">
        <v>531</v>
      </c>
      <c r="B17" s="3" t="s">
        <v>526</v>
      </c>
      <c r="C17" s="3" t="s">
        <v>244</v>
      </c>
      <c r="D17" s="3"/>
    </row>
    <row r="18" customFormat="false" ht="15" hidden="false" customHeight="false" outlineLevel="0" collapsed="false">
      <c r="A18" s="3" t="s">
        <v>539</v>
      </c>
      <c r="B18" s="3" t="s">
        <v>1015</v>
      </c>
      <c r="C18" s="3" t="s">
        <v>244</v>
      </c>
      <c r="D18" s="3"/>
    </row>
    <row r="19" customFormat="false" ht="15" hidden="false" customHeight="false" outlineLevel="0" collapsed="false">
      <c r="A19" s="3" t="s">
        <v>408</v>
      </c>
      <c r="B19" s="3" t="s">
        <v>1016</v>
      </c>
      <c r="C19" s="3" t="s">
        <v>244</v>
      </c>
      <c r="D19" s="3"/>
    </row>
    <row r="20" customFormat="false" ht="15" hidden="false" customHeight="false" outlineLevel="0" collapsed="false">
      <c r="A20" s="3" t="s">
        <v>1017</v>
      </c>
      <c r="B20" s="3" t="s">
        <v>1018</v>
      </c>
      <c r="C20" s="3" t="s">
        <v>244</v>
      </c>
      <c r="D20" s="3" t="s">
        <v>1019</v>
      </c>
    </row>
    <row r="21" customFormat="false" ht="15" hidden="false" customHeight="false" outlineLevel="0" collapsed="false">
      <c r="A21" s="3" t="s">
        <v>1020</v>
      </c>
      <c r="B21" s="3" t="s">
        <v>1021</v>
      </c>
      <c r="C21" s="3" t="s">
        <v>244</v>
      </c>
      <c r="D21" s="3" t="s">
        <v>1019</v>
      </c>
    </row>
    <row r="22" customFormat="false" ht="23.85" hidden="false" customHeight="false" outlineLevel="0" collapsed="false">
      <c r="A22" s="3" t="s">
        <v>192</v>
      </c>
      <c r="B22" s="3" t="s">
        <v>1022</v>
      </c>
      <c r="C22" s="3"/>
      <c r="D22" s="3" t="s">
        <v>1023</v>
      </c>
    </row>
    <row r="24" customFormat="false" ht="15" hidden="false" customHeight="false" outlineLevel="0" collapsed="false">
      <c r="A24" s="4" t="s">
        <v>1024</v>
      </c>
      <c r="B24" s="4" t="s">
        <v>1025</v>
      </c>
      <c r="C24" s="5"/>
      <c r="D24" s="5"/>
      <c r="E24" s="5"/>
      <c r="F24" s="5"/>
      <c r="G24" s="5"/>
    </row>
    <row r="25" customFormat="false" ht="23.85" hidden="false" customHeight="false" outlineLevel="0" collapsed="false">
      <c r="A25" s="25" t="s">
        <v>1005</v>
      </c>
      <c r="B25" s="25" t="s">
        <v>1026</v>
      </c>
      <c r="C25" s="25" t="s">
        <v>1027</v>
      </c>
      <c r="D25" s="25" t="s">
        <v>1028</v>
      </c>
      <c r="E25" s="25" t="s">
        <v>1029</v>
      </c>
      <c r="F25" s="25" t="s">
        <v>1030</v>
      </c>
      <c r="G25" s="25" t="s">
        <v>183</v>
      </c>
    </row>
    <row r="26" customFormat="false" ht="15" hidden="false" customHeight="false" outlineLevel="0" collapsed="false">
      <c r="A26" s="3" t="s">
        <v>728</v>
      </c>
      <c r="B26" s="3" t="s">
        <v>1031</v>
      </c>
      <c r="C26" s="3" t="s">
        <v>167</v>
      </c>
      <c r="D26" s="3" t="s">
        <v>167</v>
      </c>
      <c r="E26" s="3" t="s">
        <v>168</v>
      </c>
      <c r="F26" s="3" t="s">
        <v>244</v>
      </c>
      <c r="G26" s="3" t="s">
        <v>1032</v>
      </c>
    </row>
    <row r="27" customFormat="false" ht="15" hidden="false" customHeight="false" outlineLevel="0" collapsed="false">
      <c r="A27" s="3" t="s">
        <v>1033</v>
      </c>
      <c r="B27" s="3" t="s">
        <v>1034</v>
      </c>
      <c r="C27" s="3" t="s">
        <v>169</v>
      </c>
      <c r="D27" s="3" t="s">
        <v>169</v>
      </c>
      <c r="E27" s="3" t="s">
        <v>170</v>
      </c>
      <c r="F27" s="3" t="s">
        <v>244</v>
      </c>
      <c r="G27" s="3" t="s">
        <v>1035</v>
      </c>
    </row>
    <row r="28" customFormat="false" ht="15" hidden="false" customHeight="false" outlineLevel="0" collapsed="false">
      <c r="A28" s="3" t="s">
        <v>1036</v>
      </c>
      <c r="B28" s="3" t="s">
        <v>1037</v>
      </c>
      <c r="C28" s="3" t="s">
        <v>164</v>
      </c>
      <c r="D28" s="3" t="s">
        <v>165</v>
      </c>
      <c r="E28" s="3" t="s">
        <v>166</v>
      </c>
      <c r="F28" s="3" t="s">
        <v>193</v>
      </c>
      <c r="G28" s="3"/>
    </row>
    <row r="29" customFormat="false" ht="15" hidden="false" customHeight="false" outlineLevel="0" collapsed="false">
      <c r="A29" s="3" t="s">
        <v>1038</v>
      </c>
      <c r="B29" s="3" t="s">
        <v>1039</v>
      </c>
      <c r="C29" s="3" t="s">
        <v>164</v>
      </c>
      <c r="D29" s="3" t="s">
        <v>165</v>
      </c>
      <c r="E29" s="3" t="s">
        <v>166</v>
      </c>
      <c r="F29" s="3" t="s">
        <v>193</v>
      </c>
      <c r="G29" s="3"/>
    </row>
    <row r="30" customFormat="false" ht="15" hidden="false" customHeight="false" outlineLevel="0" collapsed="false">
      <c r="A30" s="3" t="s">
        <v>1040</v>
      </c>
      <c r="B30" s="3" t="s">
        <v>1041</v>
      </c>
      <c r="C30" s="3" t="s">
        <v>171</v>
      </c>
      <c r="D30" s="3" t="s">
        <v>171</v>
      </c>
      <c r="E30" s="3" t="s">
        <v>171</v>
      </c>
      <c r="F30" s="3" t="s">
        <v>244</v>
      </c>
      <c r="G30" s="3" t="s">
        <v>1042</v>
      </c>
    </row>
    <row r="31" customFormat="false" ht="15" hidden="false" customHeight="false" outlineLevel="0" collapsed="false">
      <c r="A31" s="3" t="s">
        <v>209</v>
      </c>
      <c r="B31" s="3" t="s">
        <v>1043</v>
      </c>
      <c r="C31" s="3" t="s">
        <v>164</v>
      </c>
      <c r="D31" s="3" t="s">
        <v>165</v>
      </c>
      <c r="E31" s="3" t="s">
        <v>166</v>
      </c>
      <c r="F31" s="3" t="s">
        <v>244</v>
      </c>
      <c r="G31" s="3"/>
    </row>
    <row r="32" customFormat="false" ht="23.85" hidden="false" customHeight="false" outlineLevel="0" collapsed="false">
      <c r="A32" s="3" t="s">
        <v>1044</v>
      </c>
      <c r="B32" s="3" t="s">
        <v>1045</v>
      </c>
      <c r="C32" s="3" t="s">
        <v>1046</v>
      </c>
      <c r="D32" s="3" t="s">
        <v>1046</v>
      </c>
      <c r="E32" s="3" t="s">
        <v>1046</v>
      </c>
      <c r="F32" s="3" t="s">
        <v>244</v>
      </c>
      <c r="G32" s="3" t="s">
        <v>1047</v>
      </c>
    </row>
    <row r="34" customFormat="false" ht="15" hidden="false" customHeight="false" outlineLevel="0" collapsed="false">
      <c r="A34" s="4" t="s">
        <v>1048</v>
      </c>
      <c r="B34" s="4" t="s">
        <v>1049</v>
      </c>
      <c r="C34" s="5"/>
      <c r="D34" s="5"/>
      <c r="E34" s="5"/>
      <c r="F34" s="5"/>
      <c r="G34" s="5"/>
    </row>
    <row r="35" customFormat="false" ht="15" hidden="false" customHeight="false" outlineLevel="0" collapsed="false">
      <c r="A35" s="25" t="s">
        <v>1050</v>
      </c>
      <c r="B35" s="25" t="s">
        <v>1051</v>
      </c>
    </row>
    <row r="36" customFormat="false" ht="35.05" hidden="false" customHeight="false" outlineLevel="0" collapsed="false">
      <c r="A36" s="3" t="s">
        <v>1052</v>
      </c>
      <c r="B36" s="3" t="s">
        <v>1053</v>
      </c>
    </row>
    <row r="37" customFormat="false" ht="35.05" hidden="false" customHeight="false" outlineLevel="0" collapsed="false">
      <c r="A37" s="3" t="s">
        <v>191</v>
      </c>
      <c r="B37" s="3" t="s">
        <v>1054</v>
      </c>
    </row>
    <row r="38" customFormat="false" ht="46.25" hidden="false" customHeight="false" outlineLevel="0" collapsed="false">
      <c r="A38" s="3" t="s">
        <v>1055</v>
      </c>
      <c r="B38" s="3" t="s">
        <v>1056</v>
      </c>
    </row>
    <row r="40" customFormat="false" ht="15" hidden="false" customHeight="false" outlineLevel="0" collapsed="false">
      <c r="A40" s="4" t="s">
        <v>1057</v>
      </c>
      <c r="B40" s="4" t="s">
        <v>1058</v>
      </c>
      <c r="C40" s="5"/>
      <c r="D40" s="5"/>
      <c r="E40" s="5"/>
      <c r="F40" s="5"/>
      <c r="G40" s="5"/>
    </row>
    <row r="41" customFormat="false" ht="23.85" hidden="false" customHeight="false" outlineLevel="0" collapsed="false">
      <c r="A41" s="25" t="s">
        <v>1050</v>
      </c>
      <c r="B41" s="25" t="s">
        <v>1059</v>
      </c>
      <c r="C41" s="25" t="s">
        <v>1060</v>
      </c>
      <c r="D41" s="25" t="s">
        <v>1051</v>
      </c>
      <c r="E41" s="25" t="s">
        <v>1061</v>
      </c>
    </row>
    <row r="42" customFormat="false" ht="35.05" hidden="false" customHeight="false" outlineLevel="0" collapsed="false">
      <c r="A42" s="3" t="n">
        <v>1</v>
      </c>
      <c r="B42" s="3" t="s">
        <v>1062</v>
      </c>
      <c r="C42" s="3" t="n">
        <v>0.8</v>
      </c>
      <c r="D42" s="3" t="s">
        <v>1063</v>
      </c>
      <c r="E42" s="3" t="n">
        <v>0.5</v>
      </c>
    </row>
    <row r="43" customFormat="false" ht="46.25" hidden="false" customHeight="false" outlineLevel="0" collapsed="false">
      <c r="A43" s="3" t="n">
        <v>2</v>
      </c>
      <c r="B43" s="3" t="s">
        <v>1064</v>
      </c>
      <c r="C43" s="3" t="n">
        <v>0.9</v>
      </c>
      <c r="D43" s="3" t="s">
        <v>1065</v>
      </c>
      <c r="E43" s="3" t="n">
        <v>0.7</v>
      </c>
    </row>
    <row r="44" customFormat="false" ht="46.25" hidden="false" customHeight="false" outlineLevel="0" collapsed="false">
      <c r="A44" s="3" t="n">
        <v>3</v>
      </c>
      <c r="B44" s="3" t="s">
        <v>1066</v>
      </c>
      <c r="C44" s="3" t="n">
        <v>1</v>
      </c>
      <c r="D44" s="3" t="s">
        <v>1067</v>
      </c>
      <c r="E44" s="3" t="n">
        <v>1</v>
      </c>
    </row>
    <row r="45" customFormat="false" ht="46.25" hidden="false" customHeight="false" outlineLevel="0" collapsed="false">
      <c r="A45" s="3" t="n">
        <v>4</v>
      </c>
      <c r="B45" s="3" t="s">
        <v>1068</v>
      </c>
      <c r="C45" s="3" t="n">
        <v>1.15</v>
      </c>
      <c r="D45" s="3" t="s">
        <v>1069</v>
      </c>
      <c r="E45" s="3" t="n">
        <v>1.3</v>
      </c>
    </row>
    <row r="47" customFormat="false" ht="15" hidden="false" customHeight="false" outlineLevel="0" collapsed="false">
      <c r="A47" s="4" t="s">
        <v>1070</v>
      </c>
      <c r="B47" s="4" t="s">
        <v>1320</v>
      </c>
      <c r="C47" s="5"/>
      <c r="D47" s="5"/>
      <c r="E47" s="5"/>
      <c r="F47" s="5"/>
      <c r="G47" s="5"/>
    </row>
    <row r="48" customFormat="false" ht="15" hidden="false" customHeight="false" outlineLevel="0" collapsed="false">
      <c r="A48" s="25" t="s">
        <v>1072</v>
      </c>
      <c r="B48" s="25" t="s">
        <v>1073</v>
      </c>
      <c r="C48" s="25" t="s">
        <v>1074</v>
      </c>
      <c r="D48" s="25" t="s">
        <v>1055</v>
      </c>
      <c r="E48" s="25" t="s">
        <v>1075</v>
      </c>
    </row>
    <row r="49" customFormat="false" ht="15" hidden="false" customHeight="false" outlineLevel="0" collapsed="false">
      <c r="A49" s="3" t="s">
        <v>1076</v>
      </c>
      <c r="B49" s="3" t="s">
        <v>1077</v>
      </c>
      <c r="C49" s="3" t="n">
        <v>1.2</v>
      </c>
      <c r="D49" s="3" t="n">
        <v>1.3</v>
      </c>
      <c r="E49" s="3" t="n">
        <v>1.25</v>
      </c>
    </row>
    <row r="50" customFormat="false" ht="23.85" hidden="false" customHeight="false" outlineLevel="0" collapsed="false">
      <c r="A50" s="3" t="s">
        <v>1078</v>
      </c>
      <c r="B50" s="3" t="s">
        <v>1079</v>
      </c>
      <c r="C50" s="3" t="n">
        <v>1.1</v>
      </c>
      <c r="D50" s="3" t="n">
        <v>1.2</v>
      </c>
      <c r="E50" s="3" t="n">
        <v>1.15</v>
      </c>
    </row>
    <row r="51" customFormat="false" ht="23.85" hidden="false" customHeight="false" outlineLevel="0" collapsed="false">
      <c r="A51" s="3" t="s">
        <v>1080</v>
      </c>
      <c r="B51" s="3" t="s">
        <v>1318</v>
      </c>
      <c r="C51" s="3" t="n">
        <v>1.05</v>
      </c>
      <c r="D51" s="3" t="n">
        <v>1.12</v>
      </c>
      <c r="E51" s="3" t="n">
        <v>1.08</v>
      </c>
    </row>
    <row r="52" customFormat="false" ht="15" hidden="false" customHeight="false" outlineLevel="0" collapsed="false">
      <c r="A52" s="3" t="s">
        <v>1082</v>
      </c>
      <c r="B52" s="3" t="s">
        <v>1083</v>
      </c>
      <c r="C52" s="3" t="n">
        <v>1</v>
      </c>
      <c r="D52" s="3" t="n">
        <v>1.05</v>
      </c>
      <c r="E52" s="3" t="n">
        <v>1.03</v>
      </c>
    </row>
    <row r="53" customFormat="false" ht="23.85" hidden="false" customHeight="false" outlineLevel="0" collapsed="false">
      <c r="A53" s="3" t="s">
        <v>1084</v>
      </c>
      <c r="B53" s="3" t="s">
        <v>1316</v>
      </c>
      <c r="C53" s="3" t="n">
        <v>0.92</v>
      </c>
      <c r="D53" s="3" t="n">
        <v>0.97</v>
      </c>
      <c r="E53" s="3" t="n">
        <v>0.94</v>
      </c>
    </row>
    <row r="54" customFormat="false" ht="15" hidden="false" customHeight="false" outlineLevel="0" collapsed="false">
      <c r="A54" s="3" t="s">
        <v>1086</v>
      </c>
      <c r="B54" s="3" t="s">
        <v>1087</v>
      </c>
      <c r="C54" s="3" t="n">
        <v>0.91</v>
      </c>
      <c r="D54" s="3" t="n">
        <v>0.96</v>
      </c>
      <c r="E54" s="3" t="n">
        <v>0.93</v>
      </c>
    </row>
    <row r="55" customFormat="false" ht="15" hidden="false" customHeight="false" outlineLevel="0" collapsed="false">
      <c r="A55" s="3" t="s">
        <v>1088</v>
      </c>
      <c r="B55" s="3" t="s">
        <v>1089</v>
      </c>
      <c r="C55" s="3" t="n">
        <v>0.88</v>
      </c>
      <c r="D55" s="3" t="n">
        <v>0.93</v>
      </c>
      <c r="E55" s="3" t="n">
        <v>0.9</v>
      </c>
    </row>
    <row r="56" customFormat="false" ht="23.85" hidden="false" customHeight="false" outlineLevel="0" collapsed="false">
      <c r="A56" s="3" t="s">
        <v>1090</v>
      </c>
      <c r="B56" s="3" t="s">
        <v>1317</v>
      </c>
      <c r="C56" s="3" t="n">
        <v>0.9</v>
      </c>
      <c r="D56" s="3" t="n">
        <v>0.95</v>
      </c>
      <c r="E56" s="3" t="n">
        <v>0.92</v>
      </c>
    </row>
    <row r="57" customFormat="false" ht="15" hidden="false" customHeight="false" outlineLevel="0" collapsed="false">
      <c r="A57" s="3" t="s">
        <v>1092</v>
      </c>
      <c r="B57" s="3" t="s">
        <v>1093</v>
      </c>
      <c r="C57" s="3" t="n">
        <v>0.87</v>
      </c>
      <c r="D57" s="3" t="n">
        <v>0.92</v>
      </c>
      <c r="E57" s="3" t="n">
        <v>0.88</v>
      </c>
    </row>
    <row r="58" customFormat="false" ht="15" hidden="false" customHeight="false" outlineLevel="0" collapsed="false">
      <c r="A58" s="3" t="s">
        <v>1094</v>
      </c>
      <c r="B58" s="3" t="s">
        <v>1095</v>
      </c>
      <c r="C58" s="3" t="n">
        <v>0.87</v>
      </c>
      <c r="D58" s="3" t="n">
        <v>0.93</v>
      </c>
      <c r="E58" s="3" t="n">
        <v>0.89</v>
      </c>
    </row>
    <row r="59" customFormat="false" ht="23.85" hidden="false" customHeight="false" outlineLevel="0" collapsed="false">
      <c r="A59" s="3" t="s">
        <v>1096</v>
      </c>
      <c r="B59" s="3" t="s">
        <v>1319</v>
      </c>
      <c r="C59" s="3" t="n">
        <v>0.93</v>
      </c>
      <c r="D59" s="3" t="n">
        <v>1</v>
      </c>
      <c r="E59" s="3" t="n">
        <v>0.9</v>
      </c>
    </row>
    <row r="60" customFormat="false" ht="15" hidden="false" customHeight="false" outlineLevel="0" collapsed="false">
      <c r="A60" s="3" t="s">
        <v>1098</v>
      </c>
      <c r="B60" s="3" t="s">
        <v>1099</v>
      </c>
      <c r="C60" s="3" t="n">
        <v>0.82</v>
      </c>
      <c r="D60" s="3" t="n">
        <v>0.88</v>
      </c>
      <c r="E60" s="3" t="n">
        <v>0.85</v>
      </c>
    </row>
    <row r="61" customFormat="false" ht="15" hidden="false" customHeight="false" outlineLevel="0" collapsed="false">
      <c r="A61" s="3" t="s">
        <v>1322</v>
      </c>
      <c r="B61" s="3" t="s">
        <v>1323</v>
      </c>
      <c r="C61" s="3" t="n">
        <v>0.94</v>
      </c>
      <c r="D61" s="3" t="n">
        <v>1</v>
      </c>
      <c r="E61" s="3" t="n">
        <v>0.97</v>
      </c>
    </row>
    <row r="62" customFormat="false" ht="15" hidden="false" customHeight="false" outlineLevel="0" collapsed="false">
      <c r="A62" s="4" t="s">
        <v>1100</v>
      </c>
      <c r="B62" s="4" t="s">
        <v>1101</v>
      </c>
      <c r="C62" s="5"/>
      <c r="D62" s="5"/>
      <c r="E62" s="5"/>
      <c r="F62" s="5"/>
      <c r="G62" s="5"/>
    </row>
    <row r="63" customFormat="false" ht="15" hidden="false" customHeight="false" outlineLevel="0" collapsed="false">
      <c r="A63" s="25" t="s">
        <v>1102</v>
      </c>
      <c r="B63" s="25" t="s">
        <v>1103</v>
      </c>
      <c r="C63" s="25" t="s">
        <v>1104</v>
      </c>
      <c r="D63" s="25" t="s">
        <v>1105</v>
      </c>
    </row>
    <row r="64" customFormat="false" ht="15" hidden="false" customHeight="false" outlineLevel="0" collapsed="false">
      <c r="A64" s="3" t="s">
        <v>1036</v>
      </c>
      <c r="B64" s="3" t="s">
        <v>1010</v>
      </c>
      <c r="C64" s="3" t="n">
        <v>600</v>
      </c>
      <c r="D64" s="3" t="n">
        <v>1200</v>
      </c>
    </row>
    <row r="65" customFormat="false" ht="15" hidden="false" customHeight="false" outlineLevel="0" collapsed="false">
      <c r="A65" s="3" t="s">
        <v>1036</v>
      </c>
      <c r="B65" s="3" t="s">
        <v>483</v>
      </c>
      <c r="C65" s="3" t="n">
        <v>700</v>
      </c>
      <c r="D65" s="3" t="n">
        <v>1500</v>
      </c>
    </row>
    <row r="66" customFormat="false" ht="15" hidden="false" customHeight="false" outlineLevel="0" collapsed="false">
      <c r="A66" s="3" t="s">
        <v>1036</v>
      </c>
      <c r="B66" s="3" t="s">
        <v>1012</v>
      </c>
      <c r="C66" s="3" t="n">
        <v>800</v>
      </c>
      <c r="D66" s="3" t="n">
        <v>1800</v>
      </c>
    </row>
    <row r="67" customFormat="false" ht="15" hidden="false" customHeight="false" outlineLevel="0" collapsed="false">
      <c r="A67" s="3" t="s">
        <v>1036</v>
      </c>
      <c r="B67" s="3" t="s">
        <v>408</v>
      </c>
      <c r="C67" s="3" t="n">
        <v>1000</v>
      </c>
      <c r="D67" s="3" t="n">
        <v>2200</v>
      </c>
    </row>
    <row r="68" customFormat="false" ht="15" hidden="false" customHeight="false" outlineLevel="0" collapsed="false">
      <c r="A68" s="3" t="s">
        <v>1036</v>
      </c>
      <c r="B68" s="3" t="s">
        <v>411</v>
      </c>
      <c r="C68" s="3" t="n">
        <v>1500</v>
      </c>
      <c r="D68" s="3" t="n">
        <v>3000</v>
      </c>
    </row>
    <row r="69" customFormat="false" ht="15" hidden="false" customHeight="false" outlineLevel="0" collapsed="false">
      <c r="A69" s="3" t="s">
        <v>1036</v>
      </c>
      <c r="B69" s="3" t="s">
        <v>531</v>
      </c>
      <c r="C69" s="3" t="n">
        <v>500</v>
      </c>
      <c r="D69" s="3" t="n">
        <v>1300</v>
      </c>
    </row>
    <row r="70" customFormat="false" ht="15" hidden="false" customHeight="false" outlineLevel="0" collapsed="false">
      <c r="A70" s="3" t="s">
        <v>1036</v>
      </c>
      <c r="B70" s="3" t="s">
        <v>539</v>
      </c>
      <c r="C70" s="3" t="n">
        <v>400</v>
      </c>
      <c r="D70" s="3" t="n">
        <v>1100</v>
      </c>
    </row>
    <row r="71" customFormat="false" ht="15" hidden="false" customHeight="false" outlineLevel="0" collapsed="false">
      <c r="A71" s="3" t="s">
        <v>1038</v>
      </c>
      <c r="B71" s="3" t="s">
        <v>1010</v>
      </c>
      <c r="C71" s="3" t="n">
        <v>500</v>
      </c>
      <c r="D71" s="3" t="n">
        <v>1200</v>
      </c>
    </row>
    <row r="72" customFormat="false" ht="15" hidden="false" customHeight="false" outlineLevel="0" collapsed="false">
      <c r="A72" s="3" t="s">
        <v>1038</v>
      </c>
      <c r="B72" s="3" t="s">
        <v>408</v>
      </c>
      <c r="C72" s="3" t="n">
        <v>900</v>
      </c>
      <c r="D72" s="3" t="n">
        <v>2000</v>
      </c>
    </row>
    <row r="73" customFormat="false" ht="15" hidden="false" customHeight="false" outlineLevel="0" collapsed="false">
      <c r="A73" s="3" t="s">
        <v>1038</v>
      </c>
      <c r="B73" s="3" t="s">
        <v>531</v>
      </c>
      <c r="C73" s="3" t="n">
        <v>500</v>
      </c>
      <c r="D73" s="3" t="n">
        <v>1400</v>
      </c>
    </row>
    <row r="74" customFormat="false" ht="15" hidden="false" customHeight="false" outlineLevel="0" collapsed="false">
      <c r="A74" s="3" t="s">
        <v>728</v>
      </c>
      <c r="B74" s="3" t="s">
        <v>1010</v>
      </c>
      <c r="C74" s="3" t="n">
        <v>1800</v>
      </c>
      <c r="D74" s="3" t="n">
        <v>2800</v>
      </c>
    </row>
    <row r="75" customFormat="false" ht="15" hidden="false" customHeight="false" outlineLevel="0" collapsed="false">
      <c r="A75" s="3" t="s">
        <v>728</v>
      </c>
      <c r="B75" s="3" t="s">
        <v>483</v>
      </c>
      <c r="C75" s="3" t="n">
        <v>1600</v>
      </c>
      <c r="D75" s="3" t="n">
        <v>2600</v>
      </c>
    </row>
    <row r="76" customFormat="false" ht="15" hidden="false" customHeight="false" outlineLevel="0" collapsed="false">
      <c r="A76" s="3" t="s">
        <v>728</v>
      </c>
      <c r="B76" s="3" t="s">
        <v>1012</v>
      </c>
      <c r="C76" s="3" t="n">
        <v>2000</v>
      </c>
      <c r="D76" s="3" t="n">
        <v>3200</v>
      </c>
    </row>
    <row r="77" customFormat="false" ht="15" hidden="false" customHeight="false" outlineLevel="0" collapsed="false">
      <c r="A77" s="3" t="s">
        <v>728</v>
      </c>
      <c r="B77" s="3" t="s">
        <v>408</v>
      </c>
      <c r="C77" s="3" t="n">
        <v>2200</v>
      </c>
      <c r="D77" s="3" t="n">
        <v>3500</v>
      </c>
    </row>
    <row r="78" customFormat="false" ht="15" hidden="false" customHeight="false" outlineLevel="0" collapsed="false">
      <c r="A78" s="3" t="s">
        <v>728</v>
      </c>
      <c r="B78" s="3" t="s">
        <v>411</v>
      </c>
      <c r="C78" s="3" t="n">
        <v>3000</v>
      </c>
      <c r="D78" s="3" t="n">
        <v>5000</v>
      </c>
    </row>
    <row r="79" customFormat="false" ht="15" hidden="false" customHeight="false" outlineLevel="0" collapsed="false">
      <c r="A79" s="3" t="s">
        <v>728</v>
      </c>
      <c r="B79" s="3" t="s">
        <v>539</v>
      </c>
      <c r="C79" s="3" t="n">
        <v>900</v>
      </c>
      <c r="D79" s="3" t="n">
        <v>1800</v>
      </c>
    </row>
    <row r="81" customFormat="false" ht="15" hidden="false" customHeight="false" outlineLevel="0" collapsed="false">
      <c r="A81" s="4" t="s">
        <v>1106</v>
      </c>
      <c r="B81" s="4" t="s">
        <v>1107</v>
      </c>
      <c r="C81" s="5"/>
      <c r="D81" s="5"/>
      <c r="E81" s="5"/>
      <c r="F81" s="5"/>
      <c r="G81" s="5"/>
    </row>
    <row r="82" customFormat="false" ht="15" hidden="false" customHeight="false" outlineLevel="0" collapsed="false">
      <c r="A82" s="25" t="s">
        <v>1059</v>
      </c>
      <c r="B82" s="25" t="s">
        <v>1108</v>
      </c>
      <c r="C82" s="25" t="s">
        <v>1109</v>
      </c>
      <c r="D82" s="25" t="s">
        <v>183</v>
      </c>
    </row>
    <row r="83" customFormat="false" ht="15" hidden="false" customHeight="false" outlineLevel="0" collapsed="false">
      <c r="A83" s="3" t="s">
        <v>216</v>
      </c>
      <c r="B83" s="3" t="s">
        <v>1110</v>
      </c>
      <c r="C83" s="3" t="s">
        <v>1111</v>
      </c>
      <c r="D83" s="3" t="s">
        <v>1112</v>
      </c>
    </row>
    <row r="84" customFormat="false" ht="15" hidden="false" customHeight="false" outlineLevel="0" collapsed="false">
      <c r="A84" s="3" t="s">
        <v>717</v>
      </c>
      <c r="B84" s="3" t="s">
        <v>1113</v>
      </c>
      <c r="C84" s="3" t="s">
        <v>111</v>
      </c>
      <c r="D84" s="3" t="s">
        <v>1114</v>
      </c>
    </row>
    <row r="85" customFormat="false" ht="15" hidden="false" customHeight="false" outlineLevel="0" collapsed="false">
      <c r="A85" s="3" t="s">
        <v>232</v>
      </c>
      <c r="B85" s="3" t="s">
        <v>1115</v>
      </c>
      <c r="C85" s="3" t="s">
        <v>1116</v>
      </c>
      <c r="D85" s="3" t="s">
        <v>1117</v>
      </c>
    </row>
    <row r="86" customFormat="false" ht="15" hidden="false" customHeight="false" outlineLevel="0" collapsed="false">
      <c r="A86" s="3" t="s">
        <v>307</v>
      </c>
      <c r="B86" s="3" t="s">
        <v>1115</v>
      </c>
      <c r="C86" s="3" t="s">
        <v>1118</v>
      </c>
      <c r="D86" s="3" t="s">
        <v>1119</v>
      </c>
    </row>
    <row r="87" customFormat="false" ht="23.85" hidden="false" customHeight="false" outlineLevel="0" collapsed="false">
      <c r="A87" s="3" t="s">
        <v>870</v>
      </c>
      <c r="B87" s="3" t="s">
        <v>1120</v>
      </c>
      <c r="C87" s="3" t="s">
        <v>1121</v>
      </c>
      <c r="D87" s="3" t="s">
        <v>1122</v>
      </c>
    </row>
    <row r="88" customFormat="false" ht="15" hidden="false" customHeight="false" outlineLevel="0" collapsed="false">
      <c r="A88" s="3" t="s">
        <v>206</v>
      </c>
      <c r="B88" s="3" t="s">
        <v>1123</v>
      </c>
      <c r="C88" s="3" t="s">
        <v>216</v>
      </c>
      <c r="D88" s="3" t="s">
        <v>1124</v>
      </c>
    </row>
    <row r="89" customFormat="false" ht="15" hidden="false" customHeight="false" outlineLevel="0" collapsed="false">
      <c r="A89" s="3" t="s">
        <v>1125</v>
      </c>
      <c r="B89" s="3" t="s">
        <v>1126</v>
      </c>
      <c r="C89" s="3"/>
      <c r="D89" s="3" t="s">
        <v>1127</v>
      </c>
    </row>
    <row r="90" customFormat="false" ht="15" hidden="false" customHeight="false" outlineLevel="0" collapsed="false">
      <c r="A90" s="3" t="s">
        <v>1128</v>
      </c>
      <c r="B90" s="3" t="s">
        <v>1129</v>
      </c>
      <c r="C90" s="3"/>
      <c r="D90" s="3" t="s">
        <v>1130</v>
      </c>
    </row>
    <row r="91" customFormat="false" ht="23.85" hidden="false" customHeight="false" outlineLevel="0" collapsed="false">
      <c r="A91" s="3" t="s">
        <v>1131</v>
      </c>
      <c r="B91" s="3" t="s">
        <v>1132</v>
      </c>
      <c r="C91" s="3"/>
      <c r="D91" s="3" t="s">
        <v>1133</v>
      </c>
    </row>
    <row r="92" customFormat="false" ht="15" hidden="false" customHeight="false" outlineLevel="0" collapsed="false">
      <c r="A92" s="3" t="s">
        <v>1134</v>
      </c>
      <c r="B92" s="3" t="s">
        <v>1135</v>
      </c>
      <c r="C92" s="3"/>
      <c r="D92" s="3" t="s">
        <v>1136</v>
      </c>
    </row>
    <row r="94" customFormat="false" ht="15" hidden="false" customHeight="false" outlineLevel="0" collapsed="false">
      <c r="A94" s="4" t="s">
        <v>1137</v>
      </c>
      <c r="B94" s="4" t="s">
        <v>1138</v>
      </c>
      <c r="C94" s="5"/>
      <c r="D94" s="5"/>
      <c r="E94" s="5"/>
      <c r="F94" s="5"/>
      <c r="G94" s="5"/>
    </row>
    <row r="95" customFormat="false" ht="15" hidden="false" customHeight="false" outlineLevel="0" collapsed="false">
      <c r="A95" s="25" t="s">
        <v>1139</v>
      </c>
      <c r="B95" s="25" t="s">
        <v>1103</v>
      </c>
      <c r="C95" s="25" t="s">
        <v>996</v>
      </c>
      <c r="D95" s="25" t="s">
        <v>1140</v>
      </c>
      <c r="E95" s="25" t="s">
        <v>1141</v>
      </c>
    </row>
    <row r="96" customFormat="false" ht="15" hidden="false" customHeight="false" outlineLevel="0" collapsed="false">
      <c r="A96" s="3" t="s">
        <v>1142</v>
      </c>
      <c r="B96" s="3" t="s">
        <v>192</v>
      </c>
      <c r="C96" s="3" t="n">
        <v>10</v>
      </c>
      <c r="D96" s="3" t="s">
        <v>1143</v>
      </c>
      <c r="E96" s="35" t="s">
        <v>87</v>
      </c>
    </row>
    <row r="97" customFormat="false" ht="15" hidden="false" customHeight="false" outlineLevel="0" collapsed="false">
      <c r="A97" s="3" t="s">
        <v>1142</v>
      </c>
      <c r="B97" s="3" t="s">
        <v>1012</v>
      </c>
      <c r="C97" s="3" t="n">
        <v>5</v>
      </c>
      <c r="D97" s="3" t="s">
        <v>1144</v>
      </c>
      <c r="E97" s="35" t="s">
        <v>87</v>
      </c>
    </row>
    <row r="98" customFormat="false" ht="15" hidden="false" customHeight="false" outlineLevel="0" collapsed="false">
      <c r="A98" s="3" t="s">
        <v>1142</v>
      </c>
      <c r="B98" s="3" t="s">
        <v>411</v>
      </c>
      <c r="C98" s="3" t="n">
        <v>15</v>
      </c>
      <c r="D98" s="3" t="s">
        <v>1145</v>
      </c>
      <c r="E98" s="35" t="s">
        <v>87</v>
      </c>
    </row>
    <row r="99" customFormat="false" ht="15" hidden="false" customHeight="false" outlineLevel="0" collapsed="false">
      <c r="A99" s="3" t="s">
        <v>1142</v>
      </c>
      <c r="B99" s="3" t="s">
        <v>531</v>
      </c>
      <c r="C99" s="3" t="n">
        <v>7</v>
      </c>
      <c r="D99" s="3" t="s">
        <v>1146</v>
      </c>
      <c r="E99" s="35" t="s">
        <v>87</v>
      </c>
    </row>
    <row r="100" customFormat="false" ht="15" hidden="false" customHeight="false" outlineLevel="0" collapsed="false">
      <c r="A100" s="3" t="s">
        <v>1142</v>
      </c>
      <c r="B100" s="3" t="s">
        <v>539</v>
      </c>
      <c r="C100" s="3" t="n">
        <v>40</v>
      </c>
      <c r="D100" s="3" t="s">
        <v>1147</v>
      </c>
      <c r="E100" s="35" t="s">
        <v>87</v>
      </c>
    </row>
    <row r="101" customFormat="false" ht="15" hidden="false" customHeight="false" outlineLevel="0" collapsed="false">
      <c r="A101" s="3" t="s">
        <v>1142</v>
      </c>
      <c r="B101" s="3" t="s">
        <v>408</v>
      </c>
      <c r="C101" s="3" t="n">
        <v>5</v>
      </c>
      <c r="D101" s="3" t="s">
        <v>1148</v>
      </c>
      <c r="E101" s="35" t="s">
        <v>87</v>
      </c>
    </row>
    <row r="102" customFormat="false" ht="23.85" hidden="false" customHeight="false" outlineLevel="0" collapsed="false">
      <c r="A102" s="3" t="s">
        <v>1149</v>
      </c>
      <c r="B102" s="3" t="s">
        <v>192</v>
      </c>
      <c r="C102" s="3" t="n">
        <v>20</v>
      </c>
      <c r="D102" s="3" t="s">
        <v>1150</v>
      </c>
      <c r="E102" s="35" t="s">
        <v>87</v>
      </c>
    </row>
    <row r="103" customFormat="false" ht="15" hidden="false" customHeight="false" outlineLevel="0" collapsed="false">
      <c r="A103" s="3" t="s">
        <v>1151</v>
      </c>
      <c r="B103" s="3" t="s">
        <v>192</v>
      </c>
      <c r="C103" s="3" t="n">
        <v>1</v>
      </c>
      <c r="D103" s="3" t="s">
        <v>1152</v>
      </c>
      <c r="E103" s="35" t="s">
        <v>87</v>
      </c>
    </row>
    <row r="104" customFormat="false" ht="15" hidden="false" customHeight="false" outlineLevel="0" collapsed="false">
      <c r="A104" s="3" t="s">
        <v>1153</v>
      </c>
      <c r="B104" s="3" t="s">
        <v>192</v>
      </c>
      <c r="C104" s="3" t="n">
        <v>80</v>
      </c>
      <c r="D104" s="3" t="s">
        <v>1154</v>
      </c>
      <c r="E104" s="35" t="s">
        <v>87</v>
      </c>
    </row>
    <row r="105" customFormat="false" ht="15" hidden="false" customHeight="false" outlineLevel="0" collapsed="false">
      <c r="A105" s="3" t="s">
        <v>1155</v>
      </c>
      <c r="B105" s="3" t="s">
        <v>192</v>
      </c>
      <c r="C105" s="3" t="n">
        <v>1.2</v>
      </c>
      <c r="D105" s="3" t="s">
        <v>1156</v>
      </c>
      <c r="E105" s="35" t="s">
        <v>87</v>
      </c>
    </row>
    <row r="106" customFormat="false" ht="15" hidden="false" customHeight="false" outlineLevel="0" collapsed="false">
      <c r="A106" s="3" t="s">
        <v>1157</v>
      </c>
      <c r="B106" s="3" t="s">
        <v>192</v>
      </c>
      <c r="C106" s="3" t="n">
        <v>25</v>
      </c>
      <c r="D106" s="3" t="s">
        <v>1158</v>
      </c>
      <c r="E106" s="35" t="s">
        <v>87</v>
      </c>
    </row>
    <row r="107" customFormat="false" ht="15" hidden="false" customHeight="false" outlineLevel="0" collapsed="false">
      <c r="A107" s="3" t="s">
        <v>1157</v>
      </c>
      <c r="B107" s="3" t="s">
        <v>486</v>
      </c>
      <c r="C107" s="3" t="n">
        <v>25</v>
      </c>
      <c r="D107" s="3" t="s">
        <v>1159</v>
      </c>
      <c r="E107" s="35" t="s">
        <v>87</v>
      </c>
    </row>
    <row r="108" customFormat="false" ht="15" hidden="false" customHeight="false" outlineLevel="0" collapsed="false">
      <c r="A108" s="3" t="s">
        <v>1157</v>
      </c>
      <c r="B108" s="3" t="s">
        <v>411</v>
      </c>
      <c r="C108" s="3" t="n">
        <v>70</v>
      </c>
      <c r="D108" s="3" t="s">
        <v>1160</v>
      </c>
      <c r="E108" s="35" t="s">
        <v>87</v>
      </c>
    </row>
    <row r="109" customFormat="false" ht="15" hidden="false" customHeight="false" outlineLevel="0" collapsed="false">
      <c r="A109" s="3" t="s">
        <v>1161</v>
      </c>
      <c r="B109" s="3" t="s">
        <v>192</v>
      </c>
      <c r="C109" s="3" t="n">
        <v>35</v>
      </c>
      <c r="D109" s="3" t="s">
        <v>1162</v>
      </c>
      <c r="E109" s="35" t="s">
        <v>87</v>
      </c>
    </row>
    <row r="110" customFormat="false" ht="15" hidden="false" customHeight="false" outlineLevel="0" collapsed="false">
      <c r="A110" s="3" t="s">
        <v>1163</v>
      </c>
      <c r="B110" s="3" t="s">
        <v>192</v>
      </c>
      <c r="C110" s="3" t="n">
        <v>6</v>
      </c>
      <c r="D110" s="3" t="s">
        <v>1164</v>
      </c>
      <c r="E110" s="35" t="s">
        <v>87</v>
      </c>
    </row>
    <row r="111" customFormat="false" ht="15" hidden="false" customHeight="false" outlineLevel="0" collapsed="false">
      <c r="A111" s="3" t="s">
        <v>1165</v>
      </c>
      <c r="B111" s="3" t="s">
        <v>192</v>
      </c>
      <c r="C111" s="3" t="n">
        <v>1</v>
      </c>
      <c r="D111" s="3" t="s">
        <v>1166</v>
      </c>
      <c r="E111" s="35" t="s">
        <v>87</v>
      </c>
    </row>
    <row r="112" customFormat="false" ht="15" hidden="false" customHeight="false" outlineLevel="0" collapsed="false">
      <c r="A112" s="3" t="s">
        <v>1167</v>
      </c>
      <c r="B112" s="3" t="s">
        <v>192</v>
      </c>
      <c r="C112" s="3" t="n">
        <v>0.03</v>
      </c>
      <c r="D112" s="3" t="s">
        <v>1168</v>
      </c>
      <c r="E112" s="35" t="s">
        <v>87</v>
      </c>
    </row>
    <row r="113" customFormat="false" ht="15" hidden="false" customHeight="false" outlineLevel="0" collapsed="false">
      <c r="A113" s="3" t="s">
        <v>1167</v>
      </c>
      <c r="B113" s="3" t="s">
        <v>408</v>
      </c>
      <c r="C113" s="3" t="n">
        <v>0.1</v>
      </c>
      <c r="D113" s="3" t="s">
        <v>1169</v>
      </c>
      <c r="E113" s="35" t="s">
        <v>87</v>
      </c>
    </row>
    <row r="114" customFormat="false" ht="15" hidden="false" customHeight="false" outlineLevel="0" collapsed="false">
      <c r="A114" s="3" t="s">
        <v>1170</v>
      </c>
      <c r="B114" s="3" t="s">
        <v>192</v>
      </c>
      <c r="C114" s="3" t="n">
        <v>0.1</v>
      </c>
      <c r="D114" s="3" t="s">
        <v>1171</v>
      </c>
      <c r="E114" s="35" t="s">
        <v>87</v>
      </c>
    </row>
    <row r="115" customFormat="false" ht="15" hidden="false" customHeight="false" outlineLevel="0" collapsed="false">
      <c r="A115" s="3" t="s">
        <v>1170</v>
      </c>
      <c r="B115" s="3" t="s">
        <v>1012</v>
      </c>
      <c r="C115" s="3" t="n">
        <v>0.15</v>
      </c>
      <c r="D115" s="3" t="s">
        <v>1172</v>
      </c>
      <c r="E115" s="35" t="s">
        <v>87</v>
      </c>
    </row>
    <row r="116" customFormat="false" ht="15" hidden="false" customHeight="false" outlineLevel="0" collapsed="false">
      <c r="A116" s="3" t="s">
        <v>1173</v>
      </c>
      <c r="B116" s="3" t="s">
        <v>192</v>
      </c>
      <c r="C116" s="3" t="n">
        <v>0.1</v>
      </c>
      <c r="D116" s="3" t="s">
        <v>1174</v>
      </c>
      <c r="E116" s="35" t="s">
        <v>87</v>
      </c>
    </row>
    <row r="117" customFormat="false" ht="15" hidden="false" customHeight="false" outlineLevel="0" collapsed="false">
      <c r="A117" s="3" t="s">
        <v>1173</v>
      </c>
      <c r="B117" s="3" t="s">
        <v>411</v>
      </c>
      <c r="C117" s="3" t="n">
        <v>0.4</v>
      </c>
      <c r="D117" s="3" t="s">
        <v>1175</v>
      </c>
      <c r="E117" s="35" t="s">
        <v>87</v>
      </c>
    </row>
    <row r="118" customFormat="false" ht="15" hidden="false" customHeight="false" outlineLevel="0" collapsed="false">
      <c r="A118" s="3" t="s">
        <v>1176</v>
      </c>
      <c r="B118" s="3" t="s">
        <v>192</v>
      </c>
      <c r="C118" s="3" t="n">
        <v>2</v>
      </c>
      <c r="D118" s="3" t="s">
        <v>808</v>
      </c>
      <c r="E118" s="35" t="s">
        <v>87</v>
      </c>
    </row>
    <row r="119" customFormat="false" ht="15" hidden="false" customHeight="false" outlineLevel="0" collapsed="false">
      <c r="A119" s="3" t="s">
        <v>1177</v>
      </c>
      <c r="B119" s="3" t="s">
        <v>192</v>
      </c>
      <c r="C119" s="3" t="n">
        <v>0.1</v>
      </c>
      <c r="D119" s="3" t="s">
        <v>1178</v>
      </c>
      <c r="E119" s="35" t="s">
        <v>87</v>
      </c>
    </row>
    <row r="120" customFormat="false" ht="15" hidden="false" customHeight="false" outlineLevel="0" collapsed="false">
      <c r="A120" s="3" t="s">
        <v>1179</v>
      </c>
      <c r="B120" s="3" t="s">
        <v>192</v>
      </c>
      <c r="C120" s="3" t="n">
        <v>1.5</v>
      </c>
      <c r="D120" s="3" t="s">
        <v>1180</v>
      </c>
      <c r="E120" s="35" t="s">
        <v>87</v>
      </c>
    </row>
    <row r="121" customFormat="false" ht="15" hidden="false" customHeight="false" outlineLevel="0" collapsed="false">
      <c r="A121" s="3" t="s">
        <v>1181</v>
      </c>
      <c r="B121" s="3" t="s">
        <v>192</v>
      </c>
      <c r="C121" s="3" t="n">
        <v>0.6</v>
      </c>
      <c r="D121" s="3" t="s">
        <v>1182</v>
      </c>
      <c r="E121" s="35" t="s">
        <v>87</v>
      </c>
    </row>
    <row r="122" customFormat="false" ht="15" hidden="false" customHeight="false" outlineLevel="0" collapsed="false">
      <c r="A122" s="3" t="s">
        <v>1183</v>
      </c>
      <c r="B122" s="3" t="s">
        <v>192</v>
      </c>
      <c r="C122" s="3" t="n">
        <v>0.4</v>
      </c>
      <c r="D122" s="3" t="s">
        <v>1184</v>
      </c>
      <c r="E122" s="35" t="s">
        <v>87</v>
      </c>
    </row>
    <row r="123" customFormat="false" ht="23.85" hidden="false" customHeight="false" outlineLevel="0" collapsed="false">
      <c r="A123" s="3" t="s">
        <v>1185</v>
      </c>
      <c r="B123" s="3" t="s">
        <v>192</v>
      </c>
      <c r="C123" s="3" t="n">
        <v>4</v>
      </c>
      <c r="D123" s="3" t="s">
        <v>1186</v>
      </c>
      <c r="E123" s="35" t="s">
        <v>87</v>
      </c>
    </row>
    <row r="125" customFormat="false" ht="15" hidden="false" customHeight="false" outlineLevel="0" collapsed="false">
      <c r="A125" s="4" t="s">
        <v>1187</v>
      </c>
      <c r="B125" s="4" t="s">
        <v>1188</v>
      </c>
      <c r="C125" s="5"/>
      <c r="D125" s="5"/>
      <c r="E125" s="5"/>
      <c r="F125" s="5"/>
      <c r="G125" s="5"/>
    </row>
    <row r="126" customFormat="false" ht="15" hidden="false" customHeight="false" outlineLevel="0" collapsed="false">
      <c r="A126" s="25" t="s">
        <v>1139</v>
      </c>
      <c r="B126" s="25" t="s">
        <v>996</v>
      </c>
      <c r="C126" s="25" t="s">
        <v>1189</v>
      </c>
      <c r="D126" s="25" t="s">
        <v>1190</v>
      </c>
      <c r="E126" s="25" t="s">
        <v>1141</v>
      </c>
    </row>
    <row r="127" customFormat="false" ht="15" hidden="false" customHeight="false" outlineLevel="0" collapsed="false">
      <c r="A127" s="3" t="s">
        <v>1191</v>
      </c>
      <c r="B127" s="3" t="n">
        <v>1.05</v>
      </c>
      <c r="C127" s="3" t="s">
        <v>1192</v>
      </c>
      <c r="D127" s="3" t="s">
        <v>1193</v>
      </c>
      <c r="E127" s="35" t="s">
        <v>87</v>
      </c>
    </row>
    <row r="129" customFormat="false" ht="15" hidden="false" customHeight="false" outlineLevel="0" collapsed="false">
      <c r="A129" s="4" t="s">
        <v>1194</v>
      </c>
      <c r="B129" s="4" t="s">
        <v>1195</v>
      </c>
      <c r="C129" s="5"/>
      <c r="D129" s="5"/>
      <c r="E129" s="5"/>
      <c r="F129" s="5"/>
      <c r="G129" s="5"/>
    </row>
    <row r="130" customFormat="false" ht="15" hidden="false" customHeight="false" outlineLevel="0" collapsed="false">
      <c r="A130" s="25" t="s">
        <v>1005</v>
      </c>
      <c r="B130" s="25" t="s">
        <v>1196</v>
      </c>
      <c r="C130" s="25" t="s">
        <v>1197</v>
      </c>
      <c r="D130" s="25" t="s">
        <v>1198</v>
      </c>
      <c r="E130" s="25" t="s">
        <v>1199</v>
      </c>
      <c r="F130" s="25" t="s">
        <v>1200</v>
      </c>
    </row>
    <row r="131" customFormat="false" ht="15" hidden="false" customHeight="false" outlineLevel="0" collapsed="false">
      <c r="A131" s="3" t="s">
        <v>1201</v>
      </c>
      <c r="B131" s="3" t="s">
        <v>1202</v>
      </c>
      <c r="C131" s="3" t="s">
        <v>1203</v>
      </c>
      <c r="D131" s="3" t="s">
        <v>1204</v>
      </c>
      <c r="E131" s="3" t="n">
        <v>8</v>
      </c>
      <c r="F131" s="3" t="n">
        <v>10</v>
      </c>
    </row>
    <row r="132" customFormat="false" ht="15" hidden="false" customHeight="false" outlineLevel="0" collapsed="false">
      <c r="A132" s="3" t="s">
        <v>1201</v>
      </c>
      <c r="B132" s="3" t="s">
        <v>1202</v>
      </c>
      <c r="C132" s="3" t="s">
        <v>1205</v>
      </c>
      <c r="D132" s="3" t="s">
        <v>1206</v>
      </c>
      <c r="E132" s="3" t="n">
        <v>2</v>
      </c>
      <c r="F132" s="3" t="n">
        <v>12</v>
      </c>
    </row>
    <row r="133" customFormat="false" ht="15" hidden="false" customHeight="false" outlineLevel="0" collapsed="false">
      <c r="A133" s="3" t="s">
        <v>1201</v>
      </c>
      <c r="B133" s="3" t="s">
        <v>1202</v>
      </c>
      <c r="C133" s="3" t="s">
        <v>1205</v>
      </c>
      <c r="D133" s="3" t="s">
        <v>1207</v>
      </c>
      <c r="E133" s="3" t="n">
        <v>1</v>
      </c>
      <c r="F133" s="3" t="n">
        <v>11</v>
      </c>
    </row>
    <row r="134" customFormat="false" ht="15" hidden="false" customHeight="false" outlineLevel="0" collapsed="false">
      <c r="A134" s="3" t="s">
        <v>1201</v>
      </c>
      <c r="B134" s="3" t="s">
        <v>1202</v>
      </c>
      <c r="C134" s="3" t="s">
        <v>1205</v>
      </c>
      <c r="D134" s="3" t="s">
        <v>1208</v>
      </c>
      <c r="E134" s="3" t="n">
        <v>0.5</v>
      </c>
      <c r="F134" s="3" t="n">
        <v>10</v>
      </c>
    </row>
    <row r="135" customFormat="false" ht="15" hidden="false" customHeight="false" outlineLevel="0" collapsed="false">
      <c r="A135" s="3" t="s">
        <v>1201</v>
      </c>
      <c r="B135" s="3" t="s">
        <v>1202</v>
      </c>
      <c r="C135" s="3" t="s">
        <v>1205</v>
      </c>
      <c r="D135" s="3" t="s">
        <v>1209</v>
      </c>
      <c r="E135" s="3" t="n">
        <v>0.5</v>
      </c>
      <c r="F135" s="3" t="n">
        <v>10</v>
      </c>
    </row>
    <row r="136" customFormat="false" ht="15" hidden="false" customHeight="false" outlineLevel="0" collapsed="false">
      <c r="A136" s="3" t="s">
        <v>1201</v>
      </c>
      <c r="B136" s="3" t="s">
        <v>1202</v>
      </c>
      <c r="C136" s="3" t="s">
        <v>1205</v>
      </c>
      <c r="D136" s="3" t="s">
        <v>1210</v>
      </c>
      <c r="E136" s="3" t="n">
        <v>0.5</v>
      </c>
      <c r="F136" s="3" t="n">
        <v>10</v>
      </c>
    </row>
    <row r="137" customFormat="false" ht="15" hidden="false" customHeight="false" outlineLevel="0" collapsed="false">
      <c r="A137" s="3" t="s">
        <v>1211</v>
      </c>
      <c r="B137" s="3" t="s">
        <v>1212</v>
      </c>
      <c r="C137" s="3" t="s">
        <v>1213</v>
      </c>
      <c r="D137" s="3" t="s">
        <v>1214</v>
      </c>
      <c r="E137" s="3" t="n">
        <v>11</v>
      </c>
      <c r="F137" s="3"/>
    </row>
    <row r="138" customFormat="false" ht="15" hidden="false" customHeight="false" outlineLevel="0" collapsed="false">
      <c r="A138" s="3" t="s">
        <v>1211</v>
      </c>
      <c r="B138" s="3" t="s">
        <v>1212</v>
      </c>
      <c r="C138" s="3" t="s">
        <v>1213</v>
      </c>
      <c r="D138" s="3" t="s">
        <v>1215</v>
      </c>
      <c r="E138" s="3" t="n">
        <v>9.5</v>
      </c>
      <c r="F138" s="3"/>
    </row>
    <row r="139" customFormat="false" ht="15" hidden="false" customHeight="false" outlineLevel="0" collapsed="false">
      <c r="A139" s="3" t="s">
        <v>1211</v>
      </c>
      <c r="B139" s="3" t="s">
        <v>1212</v>
      </c>
      <c r="C139" s="3" t="s">
        <v>1213</v>
      </c>
      <c r="D139" s="3" t="s">
        <v>1216</v>
      </c>
      <c r="E139" s="3" t="n">
        <v>8.5</v>
      </c>
      <c r="F139" s="3"/>
    </row>
    <row r="140" customFormat="false" ht="15" hidden="false" customHeight="false" outlineLevel="0" collapsed="false">
      <c r="A140" s="3" t="s">
        <v>1217</v>
      </c>
      <c r="B140" s="3" t="s">
        <v>1218</v>
      </c>
      <c r="C140" s="3" t="s">
        <v>1203</v>
      </c>
      <c r="D140" s="3" t="s">
        <v>1219</v>
      </c>
      <c r="E140" s="3" t="n">
        <v>13.5</v>
      </c>
      <c r="F140" s="3"/>
    </row>
    <row r="141" customFormat="false" ht="15" hidden="false" customHeight="false" outlineLevel="0" collapsed="false">
      <c r="A141" s="3" t="s">
        <v>1217</v>
      </c>
      <c r="B141" s="3" t="s">
        <v>1218</v>
      </c>
      <c r="C141" s="3" t="s">
        <v>1203</v>
      </c>
      <c r="D141" s="3" t="s">
        <v>1220</v>
      </c>
      <c r="E141" s="3" t="n">
        <v>11.5</v>
      </c>
      <c r="F141" s="3"/>
    </row>
    <row r="142" customFormat="false" ht="15" hidden="false" customHeight="false" outlineLevel="0" collapsed="false">
      <c r="A142" s="3" t="s">
        <v>1217</v>
      </c>
      <c r="B142" s="3" t="s">
        <v>1218</v>
      </c>
      <c r="C142" s="3" t="s">
        <v>1203</v>
      </c>
      <c r="D142" s="3" t="s">
        <v>1221</v>
      </c>
      <c r="E142" s="3" t="n">
        <v>8.5</v>
      </c>
      <c r="F142" s="3"/>
    </row>
    <row r="143" customFormat="false" ht="15" hidden="false" customHeight="false" outlineLevel="0" collapsed="false">
      <c r="A143" s="3" t="s">
        <v>1217</v>
      </c>
      <c r="B143" s="3" t="s">
        <v>1218</v>
      </c>
      <c r="C143" s="3" t="s">
        <v>1203</v>
      </c>
      <c r="D143" s="3" t="s">
        <v>1222</v>
      </c>
      <c r="E143" s="3" t="n">
        <v>6</v>
      </c>
      <c r="F143" s="3"/>
    </row>
    <row r="144" customFormat="false" ht="15" hidden="false" customHeight="false" outlineLevel="0" collapsed="false">
      <c r="A144" s="3" t="s">
        <v>1217</v>
      </c>
      <c r="B144" s="3" t="s">
        <v>1218</v>
      </c>
      <c r="C144" s="3" t="s">
        <v>1205</v>
      </c>
      <c r="D144" s="3" t="s">
        <v>1306</v>
      </c>
      <c r="E144" s="3" t="n">
        <v>1.5</v>
      </c>
      <c r="F144" s="3"/>
    </row>
    <row r="145" customFormat="false" ht="15" hidden="false" customHeight="false" outlineLevel="0" collapsed="false">
      <c r="A145" s="3" t="s">
        <v>1217</v>
      </c>
      <c r="B145" s="3" t="s">
        <v>1218</v>
      </c>
      <c r="C145" s="3" t="s">
        <v>1205</v>
      </c>
      <c r="D145" s="3" t="s">
        <v>1224</v>
      </c>
      <c r="E145" s="3" t="n">
        <v>1</v>
      </c>
      <c r="F145" s="3"/>
    </row>
    <row r="146" customFormat="false" ht="35.05" hidden="false" customHeight="false" outlineLevel="0" collapsed="false">
      <c r="A146" s="3" t="s">
        <v>1217</v>
      </c>
      <c r="B146" s="3" t="s">
        <v>1218</v>
      </c>
      <c r="C146" s="3" t="s">
        <v>1205</v>
      </c>
      <c r="D146" s="3" t="s">
        <v>1225</v>
      </c>
      <c r="E146" s="3" t="n">
        <v>2</v>
      </c>
      <c r="F146" s="3"/>
    </row>
    <row r="147" customFormat="false" ht="15" hidden="false" customHeight="false" outlineLevel="0" collapsed="false">
      <c r="A147" s="3" t="s">
        <v>1226</v>
      </c>
      <c r="B147" s="3" t="s">
        <v>1227</v>
      </c>
      <c r="C147" s="3" t="s">
        <v>1203</v>
      </c>
      <c r="D147" s="3" t="s">
        <v>1228</v>
      </c>
      <c r="E147" s="3" t="n">
        <v>3.5</v>
      </c>
      <c r="F147" s="3"/>
    </row>
    <row r="148" customFormat="false" ht="15" hidden="false" customHeight="false" outlineLevel="0" collapsed="false">
      <c r="A148" s="3" t="s">
        <v>1226</v>
      </c>
      <c r="B148" s="3" t="s">
        <v>1227</v>
      </c>
      <c r="C148" s="3" t="s">
        <v>1203</v>
      </c>
      <c r="D148" s="3" t="s">
        <v>1229</v>
      </c>
      <c r="E148" s="3" t="n">
        <v>4</v>
      </c>
      <c r="F148" s="3"/>
    </row>
    <row r="149" customFormat="false" ht="15" hidden="false" customHeight="false" outlineLevel="0" collapsed="false">
      <c r="A149" s="3" t="s">
        <v>1226</v>
      </c>
      <c r="B149" s="3" t="s">
        <v>1227</v>
      </c>
      <c r="C149" s="3" t="s">
        <v>1203</v>
      </c>
      <c r="D149" s="3" t="s">
        <v>1230</v>
      </c>
      <c r="E149" s="3" t="n">
        <v>4</v>
      </c>
      <c r="F149" s="3"/>
    </row>
    <row r="150" customFormat="false" ht="15" hidden="false" customHeight="false" outlineLevel="0" collapsed="false">
      <c r="A150" s="3" t="s">
        <v>1226</v>
      </c>
      <c r="B150" s="3" t="s">
        <v>1227</v>
      </c>
      <c r="C150" s="3" t="s">
        <v>1203</v>
      </c>
      <c r="D150" s="3" t="s">
        <v>1231</v>
      </c>
      <c r="E150" s="3" t="n">
        <v>2.5</v>
      </c>
      <c r="F150" s="3"/>
    </row>
    <row r="151" customFormat="false" ht="15" hidden="false" customHeight="false" outlineLevel="0" collapsed="false">
      <c r="A151" s="3" t="s">
        <v>1226</v>
      </c>
      <c r="B151" s="3" t="s">
        <v>1227</v>
      </c>
      <c r="C151" s="3" t="s">
        <v>1203</v>
      </c>
      <c r="D151" s="3" t="s">
        <v>1232</v>
      </c>
      <c r="E151" s="3" t="n">
        <v>2</v>
      </c>
      <c r="F151" s="3"/>
    </row>
    <row r="152" customFormat="false" ht="15" hidden="false" customHeight="false" outlineLevel="0" collapsed="false">
      <c r="A152" s="3" t="s">
        <v>1226</v>
      </c>
      <c r="B152" s="3" t="s">
        <v>1227</v>
      </c>
      <c r="C152" s="3" t="s">
        <v>1203</v>
      </c>
      <c r="D152" s="3" t="s">
        <v>1233</v>
      </c>
      <c r="E152" s="3" t="n">
        <v>3</v>
      </c>
      <c r="F152" s="3"/>
    </row>
    <row r="153" customFormat="false" ht="15" hidden="false" customHeight="false" outlineLevel="0" collapsed="false">
      <c r="A153" s="3" t="s">
        <v>1226</v>
      </c>
      <c r="B153" s="3" t="s">
        <v>1227</v>
      </c>
      <c r="C153" s="3" t="s">
        <v>1205</v>
      </c>
      <c r="D153" s="3" t="s">
        <v>1234</v>
      </c>
      <c r="E153" s="3" t="n">
        <v>0.5</v>
      </c>
      <c r="F153" s="3"/>
    </row>
    <row r="154" customFormat="false" ht="35.05" hidden="false" customHeight="false" outlineLevel="0" collapsed="false">
      <c r="A154" s="3" t="s">
        <v>1226</v>
      </c>
      <c r="B154" s="3" t="s">
        <v>1227</v>
      </c>
      <c r="C154" s="3" t="s">
        <v>1203</v>
      </c>
      <c r="D154" s="3" t="s">
        <v>1235</v>
      </c>
      <c r="E154" s="3" t="n">
        <v>4</v>
      </c>
      <c r="F154" s="3"/>
    </row>
    <row r="155" customFormat="false" ht="15" hidden="false" customHeight="false" outlineLevel="0" collapsed="false">
      <c r="A155" s="3" t="s">
        <v>1236</v>
      </c>
      <c r="B155" s="3" t="s">
        <v>1237</v>
      </c>
      <c r="C155" s="3" t="s">
        <v>1203</v>
      </c>
      <c r="D155" s="3" t="s">
        <v>1238</v>
      </c>
      <c r="E155" s="3" t="n">
        <v>5</v>
      </c>
      <c r="F155" s="3" t="n">
        <v>10</v>
      </c>
    </row>
    <row r="156" customFormat="false" ht="15" hidden="false" customHeight="false" outlineLevel="0" collapsed="false">
      <c r="A156" s="3" t="s">
        <v>1236</v>
      </c>
      <c r="B156" s="3" t="s">
        <v>1237</v>
      </c>
      <c r="C156" s="3" t="s">
        <v>1205</v>
      </c>
      <c r="D156" s="3" t="s">
        <v>1239</v>
      </c>
      <c r="E156" s="3" t="n">
        <v>2</v>
      </c>
      <c r="F156" s="3" t="n">
        <v>10</v>
      </c>
    </row>
    <row r="157" customFormat="false" ht="15" hidden="false" customHeight="false" outlineLevel="0" collapsed="false">
      <c r="A157" s="3" t="s">
        <v>1236</v>
      </c>
      <c r="B157" s="3" t="s">
        <v>1237</v>
      </c>
      <c r="C157" s="3" t="s">
        <v>1205</v>
      </c>
      <c r="D157" s="3" t="s">
        <v>1240</v>
      </c>
      <c r="E157" s="3" t="n">
        <v>2</v>
      </c>
      <c r="F157" s="3" t="n">
        <v>10</v>
      </c>
    </row>
    <row r="158" customFormat="false" ht="15" hidden="false" customHeight="false" outlineLevel="0" collapsed="false">
      <c r="A158" s="3" t="s">
        <v>1236</v>
      </c>
      <c r="B158" s="3" t="s">
        <v>1237</v>
      </c>
      <c r="C158" s="3" t="s">
        <v>1205</v>
      </c>
      <c r="D158" s="3" t="s">
        <v>1241</v>
      </c>
      <c r="E158" s="3" t="n">
        <v>1.5</v>
      </c>
      <c r="F158" s="3" t="n">
        <v>10</v>
      </c>
    </row>
    <row r="159" customFormat="false" ht="15" hidden="false" customHeight="false" outlineLevel="0" collapsed="false">
      <c r="A159" s="3" t="s">
        <v>1236</v>
      </c>
      <c r="B159" s="3" t="s">
        <v>1237</v>
      </c>
      <c r="C159" s="3" t="s">
        <v>1205</v>
      </c>
      <c r="D159" s="3" t="s">
        <v>1242</v>
      </c>
      <c r="E159" s="3" t="n">
        <v>1.5</v>
      </c>
      <c r="F159" s="3" t="n">
        <v>10</v>
      </c>
    </row>
    <row r="160" customFormat="false" ht="15" hidden="false" customHeight="false" outlineLevel="0" collapsed="false">
      <c r="A160" s="3" t="s">
        <v>1236</v>
      </c>
      <c r="B160" s="3" t="s">
        <v>1237</v>
      </c>
      <c r="C160" s="3" t="s">
        <v>1205</v>
      </c>
      <c r="D160" s="3" t="s">
        <v>1243</v>
      </c>
      <c r="E160" s="3" t="n">
        <v>1</v>
      </c>
      <c r="F160" s="3" t="n">
        <v>10</v>
      </c>
    </row>
    <row r="161" customFormat="false" ht="15" hidden="false" customHeight="false" outlineLevel="0" collapsed="false">
      <c r="A161" s="3" t="s">
        <v>1236</v>
      </c>
      <c r="B161" s="3" t="s">
        <v>1237</v>
      </c>
      <c r="C161" s="3" t="s">
        <v>1205</v>
      </c>
      <c r="D161" s="3" t="s">
        <v>1244</v>
      </c>
      <c r="E161" s="3" t="n">
        <v>0.5</v>
      </c>
      <c r="F161" s="3" t="n">
        <v>10</v>
      </c>
    </row>
    <row r="162" customFormat="false" ht="15" hidden="false" customHeight="false" outlineLevel="0" collapsed="false">
      <c r="A162" s="3" t="s">
        <v>1236</v>
      </c>
      <c r="B162" s="3" t="s">
        <v>1237</v>
      </c>
      <c r="C162" s="3" t="s">
        <v>1205</v>
      </c>
      <c r="D162" s="3" t="s">
        <v>1245</v>
      </c>
      <c r="E162" s="3" t="n">
        <v>0.5</v>
      </c>
      <c r="F162" s="3" t="n">
        <v>10</v>
      </c>
    </row>
    <row r="163" customFormat="false" ht="15" hidden="false" customHeight="false" outlineLevel="0" collapsed="false">
      <c r="A163" s="3" t="s">
        <v>1236</v>
      </c>
      <c r="B163" s="3" t="s">
        <v>1237</v>
      </c>
      <c r="C163" s="3" t="s">
        <v>1205</v>
      </c>
      <c r="D163" s="3" t="s">
        <v>1246</v>
      </c>
      <c r="E163" s="3" t="n">
        <v>0.5</v>
      </c>
      <c r="F163" s="3" t="n">
        <v>10</v>
      </c>
    </row>
    <row r="164" customFormat="false" ht="15" hidden="false" customHeight="false" outlineLevel="0" collapsed="false">
      <c r="A164" s="3" t="s">
        <v>1236</v>
      </c>
      <c r="B164" s="3" t="s">
        <v>1237</v>
      </c>
      <c r="C164" s="3" t="s">
        <v>1205</v>
      </c>
      <c r="D164" s="3" t="s">
        <v>1247</v>
      </c>
      <c r="E164" s="3" t="n">
        <v>0.5</v>
      </c>
      <c r="F164" s="3" t="n">
        <v>10</v>
      </c>
    </row>
    <row r="165" customFormat="false" ht="15" hidden="false" customHeight="false" outlineLevel="0" collapsed="false">
      <c r="A165" s="3" t="s">
        <v>1236</v>
      </c>
      <c r="B165" s="3" t="s">
        <v>1237</v>
      </c>
      <c r="C165" s="3" t="s">
        <v>1205</v>
      </c>
      <c r="D165" s="3" t="s">
        <v>1248</v>
      </c>
      <c r="E165" s="3" t="n">
        <v>1</v>
      </c>
      <c r="F165" s="3" t="n">
        <v>10</v>
      </c>
    </row>
    <row r="166" customFormat="false" ht="15" hidden="false" customHeight="false" outlineLevel="0" collapsed="false">
      <c r="A166" s="3" t="s">
        <v>1236</v>
      </c>
      <c r="B166" s="3" t="s">
        <v>1237</v>
      </c>
      <c r="C166" s="3" t="s">
        <v>1205</v>
      </c>
      <c r="D166" s="3" t="s">
        <v>1206</v>
      </c>
      <c r="E166" s="3" t="n">
        <v>0.5</v>
      </c>
      <c r="F166" s="3" t="n">
        <v>10</v>
      </c>
    </row>
    <row r="167" customFormat="false" ht="23.85" hidden="false" customHeight="false" outlineLevel="0" collapsed="false">
      <c r="A167" s="3" t="s">
        <v>1249</v>
      </c>
      <c r="B167" s="3" t="s">
        <v>1250</v>
      </c>
      <c r="C167" s="3" t="s">
        <v>1251</v>
      </c>
      <c r="D167" s="3" t="s">
        <v>1252</v>
      </c>
      <c r="E167" s="3" t="n">
        <v>5</v>
      </c>
      <c r="F167" s="3" t="n">
        <v>5</v>
      </c>
    </row>
    <row r="168" customFormat="false" ht="15" hidden="false" customHeight="false" outlineLevel="0" collapsed="false">
      <c r="A168" s="3" t="s">
        <v>1253</v>
      </c>
      <c r="B168" s="3" t="s">
        <v>1254</v>
      </c>
      <c r="C168" s="3" t="s">
        <v>1255</v>
      </c>
      <c r="D168" s="3" t="s">
        <v>1256</v>
      </c>
      <c r="E168" s="3" t="n">
        <v>0</v>
      </c>
      <c r="F168" s="3" t="n">
        <v>12</v>
      </c>
    </row>
    <row r="169" customFormat="false" ht="15" hidden="false" customHeight="false" outlineLevel="0" collapsed="false">
      <c r="A169" s="3" t="s">
        <v>1253</v>
      </c>
      <c r="B169" s="3" t="s">
        <v>1254</v>
      </c>
      <c r="C169" s="3" t="s">
        <v>1255</v>
      </c>
      <c r="D169" s="3" t="s">
        <v>1257</v>
      </c>
      <c r="E169" s="3" t="n">
        <v>2</v>
      </c>
      <c r="F169" s="3" t="n">
        <v>12</v>
      </c>
    </row>
    <row r="170" customFormat="false" ht="15" hidden="false" customHeight="false" outlineLevel="0" collapsed="false">
      <c r="A170" s="3" t="s">
        <v>1253</v>
      </c>
      <c r="B170" s="3" t="s">
        <v>1254</v>
      </c>
      <c r="C170" s="3" t="s">
        <v>1255</v>
      </c>
      <c r="D170" s="3" t="s">
        <v>1258</v>
      </c>
      <c r="E170" s="3" t="n">
        <v>4</v>
      </c>
      <c r="F170" s="3" t="n">
        <v>12</v>
      </c>
    </row>
    <row r="171" customFormat="false" ht="15" hidden="false" customHeight="false" outlineLevel="0" collapsed="false">
      <c r="A171" s="3" t="s">
        <v>1253</v>
      </c>
      <c r="B171" s="3" t="s">
        <v>1254</v>
      </c>
      <c r="C171" s="3" t="s">
        <v>1255</v>
      </c>
      <c r="D171" s="3" t="s">
        <v>1259</v>
      </c>
      <c r="E171" s="3" t="n">
        <v>6</v>
      </c>
      <c r="F171" s="3" t="n">
        <v>12</v>
      </c>
    </row>
    <row r="172" customFormat="false" ht="15" hidden="false" customHeight="false" outlineLevel="0" collapsed="false">
      <c r="A172" s="3" t="s">
        <v>1253</v>
      </c>
      <c r="B172" s="3" t="s">
        <v>1260</v>
      </c>
      <c r="C172" s="3" t="s">
        <v>1255</v>
      </c>
      <c r="D172" s="3" t="s">
        <v>1261</v>
      </c>
      <c r="E172" s="3" t="n">
        <v>1</v>
      </c>
      <c r="F172" s="3" t="n">
        <v>12</v>
      </c>
    </row>
    <row r="173" customFormat="false" ht="15" hidden="false" customHeight="false" outlineLevel="0" collapsed="false">
      <c r="A173" s="3" t="s">
        <v>1253</v>
      </c>
      <c r="B173" s="3" t="s">
        <v>1260</v>
      </c>
      <c r="C173" s="3" t="s">
        <v>1255</v>
      </c>
      <c r="D173" s="3" t="s">
        <v>1262</v>
      </c>
      <c r="E173" s="3" t="n">
        <v>2</v>
      </c>
      <c r="F173" s="3" t="n">
        <v>12</v>
      </c>
    </row>
    <row r="174" customFormat="false" ht="15" hidden="false" customHeight="false" outlineLevel="0" collapsed="false">
      <c r="A174" s="3" t="s">
        <v>1253</v>
      </c>
      <c r="B174" s="3" t="s">
        <v>1260</v>
      </c>
      <c r="C174" s="3" t="s">
        <v>1255</v>
      </c>
      <c r="D174" s="3" t="s">
        <v>1263</v>
      </c>
      <c r="E174" s="3" t="n">
        <v>3</v>
      </c>
      <c r="F174" s="3" t="n">
        <v>12</v>
      </c>
    </row>
    <row r="175" customFormat="false" ht="15" hidden="false" customHeight="false" outlineLevel="0" collapsed="false">
      <c r="A175" s="3" t="s">
        <v>1253</v>
      </c>
      <c r="B175" s="3" t="s">
        <v>1260</v>
      </c>
      <c r="C175" s="3" t="s">
        <v>1255</v>
      </c>
      <c r="D175" s="3" t="s">
        <v>1264</v>
      </c>
      <c r="E175" s="3" t="n">
        <v>4</v>
      </c>
      <c r="F175" s="3" t="n">
        <v>12</v>
      </c>
    </row>
    <row r="176" customFormat="false" ht="15" hidden="false" customHeight="false" outlineLevel="0" collapsed="false">
      <c r="A176" s="3" t="s">
        <v>1253</v>
      </c>
      <c r="B176" s="3" t="s">
        <v>1260</v>
      </c>
      <c r="C176" s="3" t="s">
        <v>1255</v>
      </c>
      <c r="D176" s="3" t="s">
        <v>1265</v>
      </c>
      <c r="E176" s="3" t="n">
        <v>5</v>
      </c>
      <c r="F176" s="3" t="n">
        <v>12</v>
      </c>
    </row>
    <row r="177" customFormat="false" ht="23.85" hidden="false" customHeight="false" outlineLevel="0" collapsed="false">
      <c r="A177" s="3" t="s">
        <v>1266</v>
      </c>
      <c r="B177" s="3" t="s">
        <v>1267</v>
      </c>
      <c r="C177" s="3" t="s">
        <v>1251</v>
      </c>
      <c r="D177" s="3" t="s">
        <v>1268</v>
      </c>
      <c r="E177" s="3" t="n">
        <v>20</v>
      </c>
      <c r="F177" s="3" t="n">
        <v>20</v>
      </c>
    </row>
    <row r="179" customFormat="false" ht="15" hidden="false" customHeight="false" outlineLevel="0" collapsed="false">
      <c r="A179" s="4" t="s">
        <v>1269</v>
      </c>
      <c r="B179" s="4" t="s">
        <v>1270</v>
      </c>
      <c r="C179" s="5"/>
      <c r="D179" s="5"/>
      <c r="E179" s="5"/>
      <c r="F179" s="5"/>
      <c r="G179" s="5"/>
    </row>
    <row r="180" customFormat="false" ht="15" hidden="false" customHeight="false" outlineLevel="0" collapsed="false">
      <c r="A180" s="25" t="s">
        <v>1271</v>
      </c>
      <c r="B180" s="25" t="s">
        <v>1272</v>
      </c>
      <c r="C180" s="25" t="s">
        <v>1273</v>
      </c>
      <c r="D180" s="25" t="s">
        <v>1274</v>
      </c>
      <c r="E180" s="25" t="s">
        <v>999</v>
      </c>
    </row>
    <row r="181" customFormat="false" ht="15" hidden="false" customHeight="false" outlineLevel="0" collapsed="false">
      <c r="A181" s="3" t="s">
        <v>465</v>
      </c>
      <c r="B181" s="3" t="s">
        <v>1275</v>
      </c>
      <c r="C181" s="3" t="s">
        <v>1276</v>
      </c>
      <c r="D181" s="3" t="s">
        <v>1277</v>
      </c>
      <c r="E181" s="3" t="s">
        <v>1000</v>
      </c>
    </row>
    <row r="182" customFormat="false" ht="15" hidden="false" customHeight="false" outlineLevel="0" collapsed="false">
      <c r="A182" s="3" t="s">
        <v>1278</v>
      </c>
      <c r="B182" s="3" t="s">
        <v>1279</v>
      </c>
      <c r="C182" s="3" t="s">
        <v>1276</v>
      </c>
      <c r="D182" s="3" t="s">
        <v>1280</v>
      </c>
      <c r="E182" s="3" t="s">
        <v>1000</v>
      </c>
    </row>
    <row r="183" customFormat="false" ht="15" hidden="false" customHeight="false" outlineLevel="0" collapsed="false">
      <c r="A183" s="3" t="s">
        <v>1281</v>
      </c>
      <c r="B183" s="3" t="s">
        <v>1282</v>
      </c>
      <c r="C183" s="3" t="s">
        <v>1276</v>
      </c>
      <c r="D183" s="3" t="s">
        <v>1283</v>
      </c>
      <c r="E183" s="3" t="s">
        <v>1000</v>
      </c>
    </row>
    <row r="184" customFormat="false" ht="15" hidden="false" customHeight="false" outlineLevel="0" collapsed="false">
      <c r="A184" s="3" t="s">
        <v>1284</v>
      </c>
      <c r="B184" s="3" t="s">
        <v>1285</v>
      </c>
      <c r="C184" s="3" t="s">
        <v>1276</v>
      </c>
      <c r="D184" s="3" t="s">
        <v>1286</v>
      </c>
      <c r="E184" s="3" t="s">
        <v>1000</v>
      </c>
    </row>
    <row r="185" customFormat="false" ht="15" hidden="false" customHeight="false" outlineLevel="0" collapsed="false">
      <c r="A185" s="3" t="s">
        <v>1287</v>
      </c>
      <c r="B185" s="3" t="s">
        <v>1288</v>
      </c>
      <c r="C185" s="3" t="s">
        <v>1276</v>
      </c>
      <c r="D185" s="3" t="s">
        <v>1289</v>
      </c>
      <c r="E185" s="3" t="s">
        <v>1000</v>
      </c>
    </row>
    <row r="186" customFormat="false" ht="15" hidden="false" customHeight="false" outlineLevel="0" collapsed="false">
      <c r="A186" s="3" t="s">
        <v>1290</v>
      </c>
      <c r="B186" s="3" t="s">
        <v>1291</v>
      </c>
      <c r="C186" s="3" t="s">
        <v>1276</v>
      </c>
      <c r="D186" s="3" t="s">
        <v>1292</v>
      </c>
      <c r="E186" s="3" t="s">
        <v>1000</v>
      </c>
    </row>
    <row r="187" customFormat="false" ht="15" hidden="false" customHeight="false" outlineLevel="0" collapsed="false">
      <c r="A187" s="3" t="s">
        <v>1293</v>
      </c>
      <c r="B187" s="3" t="s">
        <v>1294</v>
      </c>
      <c r="C187" s="3" t="s">
        <v>1276</v>
      </c>
      <c r="D187" s="3" t="s">
        <v>1295</v>
      </c>
      <c r="E187" s="3" t="s">
        <v>1000</v>
      </c>
    </row>
    <row r="188" customFormat="false" ht="15" hidden="false" customHeight="false" outlineLevel="0" collapsed="false">
      <c r="A188" s="3" t="s">
        <v>1296</v>
      </c>
      <c r="B188" s="3" t="s">
        <v>1297</v>
      </c>
      <c r="C188" s="3" t="s">
        <v>1276</v>
      </c>
      <c r="D188" s="3" t="s">
        <v>1298</v>
      </c>
      <c r="E188" s="3" t="s">
        <v>1000</v>
      </c>
    </row>
    <row r="189" customFormat="false" ht="23.85" hidden="false" customHeight="false" outlineLevel="0" collapsed="false">
      <c r="A189" s="3" t="s">
        <v>1299</v>
      </c>
      <c r="B189" s="3" t="s">
        <v>1300</v>
      </c>
      <c r="C189" s="3" t="s">
        <v>1276</v>
      </c>
      <c r="D189" s="3" t="s">
        <v>1301</v>
      </c>
      <c r="E189" s="3" t="s">
        <v>1000</v>
      </c>
    </row>
    <row r="191" customFormat="false" ht="15" hidden="false" customHeight="false" outlineLevel="0" collapsed="false">
      <c r="A191" s="4" t="s">
        <v>1310</v>
      </c>
      <c r="B191" s="4" t="s">
        <v>1311</v>
      </c>
      <c r="C191" s="5"/>
      <c r="D191" s="5"/>
      <c r="E191" s="5"/>
      <c r="F191" s="5"/>
      <c r="G191" s="5"/>
    </row>
    <row r="192" customFormat="false" ht="15" hidden="false" customHeight="false" outlineLevel="0" collapsed="false">
      <c r="A192" s="25" t="s">
        <v>1312</v>
      </c>
      <c r="B192" s="25" t="s">
        <v>1074</v>
      </c>
      <c r="C192" s="25" t="s">
        <v>1055</v>
      </c>
      <c r="D192" s="25" t="s">
        <v>183</v>
      </c>
    </row>
    <row r="193" customFormat="false" ht="15" hidden="false" customHeight="false" outlineLevel="0" collapsed="false">
      <c r="A193" s="3" t="s">
        <v>1201</v>
      </c>
      <c r="B193" s="3" t="n">
        <v>0.9</v>
      </c>
      <c r="C193" s="3" t="n">
        <v>1.1</v>
      </c>
      <c r="D193" s="3" t="s">
        <v>1313</v>
      </c>
    </row>
    <row r="194" customFormat="false" ht="15" hidden="false" customHeight="false" outlineLevel="0" collapsed="false">
      <c r="A194" s="3" t="s">
        <v>1211</v>
      </c>
      <c r="B194" s="3" t="n">
        <v>0.85</v>
      </c>
      <c r="C194" s="3" t="n">
        <v>1.15</v>
      </c>
    </row>
    <row r="195" customFormat="false" ht="15" hidden="false" customHeight="false" outlineLevel="0" collapsed="false">
      <c r="A195" s="3" t="s">
        <v>1217</v>
      </c>
      <c r="B195" s="3" t="n">
        <v>0.8</v>
      </c>
      <c r="C195" s="3" t="n">
        <v>1.25</v>
      </c>
    </row>
    <row r="196" customFormat="false" ht="15" hidden="false" customHeight="false" outlineLevel="0" collapsed="false">
      <c r="A196" s="3" t="s">
        <v>1226</v>
      </c>
      <c r="B196" s="3" t="n">
        <v>0.75</v>
      </c>
      <c r="C196" s="3" t="n">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2026-09-23T11:59:34Z</dcterms:created>
  <dc:creator>openpyxl</dc:creator>
  <dc:description/>
  <dc:language>en-US</dc:language>
  <cp:lastModifiedBy/>
  <dcterms:modified xsi:type="dcterms:W3CDTF">2026-09-23T11:59:34Z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